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w\Downloads\claude-code\test3\"/>
    </mc:Choice>
  </mc:AlternateContent>
  <bookViews>
    <workbookView xWindow="0" yWindow="0" windowWidth="16380" windowHeight="8190" tabRatio="500"/>
  </bookViews>
  <sheets>
    <sheet name="הערכת סיכונים" sheetId="1" r:id="rId1"/>
    <sheet name="נתוני_חישוב" sheetId="2" r:id="rId2"/>
    <sheet name="דשבורד מנהלים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3" l="1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Y6" i="3"/>
  <c r="U6" i="3"/>
  <c r="E6" i="3"/>
  <c r="A6" i="3"/>
  <c r="I8" i="2"/>
  <c r="F4" i="2"/>
  <c r="W3" i="2"/>
  <c r="F3" i="2"/>
  <c r="W2" i="2"/>
  <c r="F2" i="2"/>
  <c r="I5" i="2"/>
  <c r="I4" i="2"/>
  <c r="I3" i="2"/>
  <c r="W2" i="1"/>
  <c r="Q2" i="1"/>
  <c r="R2" i="1" s="1"/>
  <c r="J2" i="1"/>
  <c r="I11" i="2" l="1"/>
  <c r="I13" i="2"/>
  <c r="I2" i="2"/>
  <c r="Q6" i="3"/>
  <c r="K2" i="1"/>
  <c r="I10" i="2"/>
  <c r="I12" i="2"/>
  <c r="S5" i="2"/>
  <c r="C2" i="2"/>
  <c r="S2" i="1"/>
  <c r="T2" i="1" s="1"/>
  <c r="O4" i="2"/>
  <c r="I6" i="2"/>
  <c r="O5" i="2"/>
  <c r="C4" i="2"/>
  <c r="I7" i="2"/>
  <c r="I9" i="2"/>
  <c r="S3" i="2" l="1"/>
  <c r="S4" i="2"/>
  <c r="M6" i="3"/>
  <c r="L5" i="2"/>
  <c r="L4" i="2"/>
  <c r="T2" i="2"/>
  <c r="L3" i="2"/>
  <c r="L2" i="2"/>
  <c r="I6" i="3"/>
  <c r="T5" i="2"/>
  <c r="T4" i="2"/>
  <c r="T3" i="2"/>
  <c r="R3" i="2"/>
  <c r="B2" i="2"/>
  <c r="R4" i="2"/>
  <c r="R5" i="2"/>
  <c r="B3" i="2"/>
  <c r="B4" i="2"/>
  <c r="B5" i="2"/>
  <c r="R2" i="2"/>
  <c r="C5" i="2"/>
  <c r="S2" i="2"/>
  <c r="O3" i="2"/>
  <c r="O2" i="2"/>
  <c r="C3" i="2"/>
</calcChain>
</file>

<file path=xl/comments1.xml><?xml version="1.0" encoding="utf-8"?>
<comments xmlns="http://schemas.openxmlformats.org/spreadsheetml/2006/main">
  <authors>
    <author>Unknown Author</author>
  </authors>
  <commentList>
    <comment ref="J1" authorId="0" shapeId="0">
      <text>
        <r>
          <rPr>
            <sz val="10"/>
            <rFont val="FreeSans"/>
            <family val="2"/>
          </rPr>
          <t>ציון = הסתברות × השפעה (</t>
        </r>
        <r>
          <rPr>
            <sz val="10"/>
            <rFont val="Arial"/>
            <family val="2"/>
          </rPr>
          <t>1-25). ריק כאשר הבקרה לא רלוונטית.</t>
        </r>
      </text>
    </comment>
    <comment ref="X1" authorId="0" shapeId="0">
      <text>
        <r>
          <rPr>
            <sz val="10"/>
            <rFont val="FreeSans"/>
            <family val="2"/>
          </rPr>
          <t>בחר 'כן' כדי לסמן את הבקרה כלא רלוונטית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>שורה כזו אפורה ומוחרגת אוטומטית מכל הספירות, הממוצעים, מפת החום והגרפים בדשבורד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<sst xmlns="http://schemas.openxmlformats.org/spreadsheetml/2006/main" count="95" uniqueCount="79">
  <si>
    <t>מזהה בקרה</t>
  </si>
  <si>
    <t>משפחת בקרה</t>
  </si>
  <si>
    <t>קוד משפחה</t>
  </si>
  <si>
    <t>שם הבקרה</t>
  </si>
  <si>
    <t>תיאור הבקרה</t>
  </si>
  <si>
    <t>תחום ברשת</t>
  </si>
  <si>
    <t>תרחיש איום/סיכון</t>
  </si>
  <si>
    <t>הסתברות (1-5)</t>
  </si>
  <si>
    <t>השפעה (1-5)</t>
  </si>
  <si>
    <t>ציון סיכון</t>
  </si>
  <si>
    <t>רמת סיכון</t>
  </si>
  <si>
    <t>מבצע (R)</t>
  </si>
  <si>
    <t>פעולות מיטיגציה</t>
  </si>
  <si>
    <t>הסתברות שיורית</t>
  </si>
  <si>
    <t>השפעה שיורית</t>
  </si>
  <si>
    <t>סיכון שיורי</t>
  </si>
  <si>
    <t>רמת סיכון שיורי</t>
  </si>
  <si>
    <t>סיכון נוכחי (לפי סטטוס)</t>
  </si>
  <si>
    <t>רמת סיכון נוכחי</t>
  </si>
  <si>
    <t>סטטוס</t>
  </si>
  <si>
    <t>תאריך יעד</t>
  </si>
  <si>
    <t>החלטת הנהלה לטיפול בסיכון</t>
  </si>
  <si>
    <t>בקרה לא רלוונטית</t>
  </si>
  <si>
    <t>ממשל וניהול סיכונים</t>
  </si>
  <si>
    <t>הושלם</t>
  </si>
  <si>
    <t>לא</t>
  </si>
  <si>
    <t>בתהליך</t>
  </si>
  <si>
    <t>זיהוי ומיפוי נכסים</t>
  </si>
  <si>
    <t>לא התחיל</t>
  </si>
  <si>
    <t>הגנה — גישה וזהות</t>
  </si>
  <si>
    <t>הגנה — רשת ותשתית</t>
  </si>
  <si>
    <t>הגנה — קצה ושרתים</t>
  </si>
  <si>
    <t>הגנה — מידע</t>
  </si>
  <si>
    <t>גילוי וניטור</t>
  </si>
  <si>
    <t>תגובה לאירוע</t>
  </si>
  <si>
    <t>התאוששות</t>
  </si>
  <si>
    <t>מודעות והדרכה</t>
  </si>
  <si>
    <t>הגנה פיזית</t>
  </si>
  <si>
    <t>סיכון מובנה</t>
  </si>
  <si>
    <t>כמות</t>
  </si>
  <si>
    <t>ציון ממוצע</t>
  </si>
  <si>
    <t>רמה</t>
  </si>
  <si>
    <t>סיכון נוכחי</t>
  </si>
  <si>
    <t>החלטת הנהלה</t>
  </si>
  <si>
    <t>מובנה</t>
  </si>
  <si>
    <t>שיורי</t>
  </si>
  <si>
    <t>נוכחי</t>
  </si>
  <si>
    <t>רלוונטיות</t>
  </si>
  <si>
    <t>קריטי</t>
  </si>
  <si>
    <r>
      <rPr>
        <sz val="11"/>
        <color theme="1"/>
        <rFont val="FreeSans"/>
        <family val="2"/>
      </rPr>
      <t xml:space="preserve">הפחתת סיכון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הוספת בקרות מונעות</t>
    </r>
  </si>
  <si>
    <t>רלוונטית</t>
  </si>
  <si>
    <t>גבוה</t>
  </si>
  <si>
    <t>העברת הסיכון</t>
  </si>
  <si>
    <t>לא רלוונטית</t>
  </si>
  <si>
    <t>בינוני</t>
  </si>
  <si>
    <t>קבלת הסיכון</t>
  </si>
  <si>
    <t>נמוך</t>
  </si>
  <si>
    <t>הימנעות מהסיכון</t>
  </si>
  <si>
    <r>
      <rPr>
        <sz val="11"/>
        <color theme="1"/>
        <rFont val="FreeSans"/>
        <family val="2"/>
      </rPr>
      <t>שרשרת אספקה וצד ג</t>
    </r>
    <r>
      <rPr>
        <sz val="11"/>
        <color theme="1"/>
        <rFont val="Calibri"/>
        <family val="2"/>
        <charset val="1"/>
      </rPr>
      <t>'</t>
    </r>
  </si>
  <si>
    <t>דשבורד מנהלים  |  הערכת סיכונים  —  תורת ההגנה בסייבר 2.0 (מערך הסייבר הלאומי)</t>
  </si>
  <si>
    <t>תמונת מצב נוכחית</t>
  </si>
  <si>
    <t>בקרות רלוונטיות</t>
  </si>
  <si>
    <t>בקרות לא
רלוונטיות</t>
  </si>
  <si>
    <t>חשיפה קריטית
נוכחית</t>
  </si>
  <si>
    <t>חשיפה גבוהה
נוכחית</t>
  </si>
  <si>
    <t>ציון ממוצע
(רלוונטיות)</t>
  </si>
  <si>
    <t>הושלמו</t>
  </si>
  <si>
    <t>פתוחות
(לא התחיל)</t>
  </si>
  <si>
    <t>מפת חום סיכונים 5×5 (לא כולל בקרות לא רלוונטיות)</t>
  </si>
  <si>
    <t>כמות הסיכונים לפי רמה — מובנה / שיורי / נוכחי</t>
  </si>
  <si>
    <t>סטטוס טיפול</t>
  </si>
  <si>
    <t>הסת\השפ</t>
  </si>
  <si>
    <t>השפעה ←</t>
  </si>
  <si>
    <t>התפלגות החלטות הנהלה לטיפול בסיכון</t>
  </si>
  <si>
    <t>חשיפה נוכחית בפועל (לפי רמה)</t>
  </si>
  <si>
    <t>ציון סיכון ממוצע לפי משפחת בקרה</t>
  </si>
  <si>
    <t>רלוונטיות הבקרות</t>
  </si>
  <si>
    <t>הערה: בקרות המסומנות 'כן' בעמודת 'בקרה לא רלוונטית' מוחרגות אוטומטית מכל הספירות, הממוצעים, מפת החום והגרפים.</t>
  </si>
  <si>
    <t>פעולות מיטיגציה לפי nist800-53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</si>
</sst>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0"/>
      <name val="FreeSans"/>
      <family val="2"/>
    </font>
    <font>
      <sz val="10"/>
      <name val="Arial"/>
      <family val="2"/>
    </font>
    <font>
      <b/>
      <sz val="9"/>
      <color rgb="FFFFFFFF"/>
      <name val="Arial"/>
      <charset val="1"/>
    </font>
    <font>
      <sz val="11"/>
      <color theme="1"/>
      <name val="FreeSans"/>
      <family val="2"/>
    </font>
    <font>
      <b/>
      <sz val="15"/>
      <color rgb="FFFFFFFF"/>
      <name val="Arial"/>
      <charset val="1"/>
    </font>
    <font>
      <b/>
      <sz val="11"/>
      <color rgb="FF1F3864"/>
      <name val="Arial"/>
      <charset val="1"/>
    </font>
    <font>
      <b/>
      <sz val="24"/>
      <color rgb="FF1F3864"/>
      <name val="Arial"/>
      <charset val="1"/>
    </font>
    <font>
      <b/>
      <sz val="24"/>
      <color rgb="FF808080"/>
      <name val="Arial"/>
      <charset val="1"/>
    </font>
    <font>
      <b/>
      <sz val="24"/>
      <color rgb="FFC00000"/>
      <name val="Arial"/>
      <charset val="1"/>
    </font>
    <font>
      <b/>
      <sz val="24"/>
      <color rgb="FFED7D31"/>
      <name val="Arial"/>
      <charset val="1"/>
    </font>
    <font>
      <b/>
      <sz val="24"/>
      <color rgb="FF2E5496"/>
      <name val="Arial"/>
      <charset val="1"/>
    </font>
    <font>
      <b/>
      <sz val="24"/>
      <color rgb="FF548235"/>
      <name val="Arial"/>
      <charset val="1"/>
    </font>
    <font>
      <b/>
      <sz val="11"/>
      <color rgb="FFFFFFFF"/>
      <name val="Arial"/>
      <charset val="1"/>
    </font>
    <font>
      <b/>
      <sz val="8"/>
      <name val="Arial"/>
      <charset val="1"/>
    </font>
    <font>
      <b/>
      <sz val="10"/>
      <name val="Arial"/>
      <charset val="1"/>
    </font>
    <font>
      <b/>
      <sz val="13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i/>
      <sz val="9"/>
      <color rgb="FF80808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808080"/>
        <bgColor rgb="FF878787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808080"/>
      </patternFill>
    </fill>
    <fill>
      <patternFill patternType="solid">
        <fgColor rgb="FFD9D9D9"/>
        <bgColor rgb="FFD0D0D0"/>
      </patternFill>
    </fill>
    <fill>
      <patternFill patternType="solid">
        <fgColor rgb="FFBFBFBF"/>
        <bgColor rgb="FFD0D0D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9BBB5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7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5" fillId="3" borderId="0" xfId="0" applyFont="1" applyFill="1"/>
    <xf numFmtId="0" fontId="5" fillId="2" borderId="0" xfId="0" applyFont="1" applyFill="1"/>
    <xf numFmtId="0" fontId="6" fillId="0" borderId="0" xfId="0" applyFont="1"/>
    <xf numFmtId="0" fontId="16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20" fillId="0" borderId="0" xfId="0" applyFont="1"/>
    <xf numFmtId="0" fontId="0" fillId="11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0" fillId="5" borderId="1" xfId="0" applyFill="1" applyBorder="1"/>
    <xf numFmtId="0" fontId="15" fillId="2" borderId="0" xfId="0" applyFont="1" applyFill="1" applyBorder="1" applyAlignment="1">
      <alignment horizontal="center" vertical="center" wrapText="1"/>
    </xf>
    <xf numFmtId="0" fontId="21" fillId="0" borderId="0" xfId="0" applyFont="1" applyBorder="1"/>
  </cellXfs>
  <cellStyles count="1">
    <cellStyle name="Normal" xfId="0" builtinId="0"/>
  </cellStyles>
  <dxfs count="17">
    <dxf>
      <font>
        <i/>
        <sz val="9"/>
        <color rgb="FF808080"/>
        <name val="Arial"/>
      </font>
      <fill>
        <patternFill>
          <bgColor rgb="FFD9D9D9"/>
        </patternFill>
      </fill>
    </dxf>
    <dxf>
      <font>
        <b/>
        <sz val="9"/>
        <color rgb="FFFFFFFF"/>
        <name val="Arial"/>
      </font>
      <fill>
        <patternFill>
          <bgColor rgb="FFA6A6A6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  <dxf>
      <font>
        <sz val="9"/>
        <color rgb="FF000000"/>
        <name val="Arial"/>
      </font>
      <fill>
        <patternFill>
          <bgColor rgb="FF70AD47"/>
        </patternFill>
      </fill>
    </dxf>
    <dxf>
      <font>
        <sz val="9"/>
        <color rgb="FF000000"/>
        <name val="Arial"/>
      </font>
      <fill>
        <patternFill>
          <bgColor rgb="FFFFC000"/>
        </patternFill>
      </fill>
    </dxf>
    <dxf>
      <font>
        <sz val="9"/>
        <color rgb="FF000000"/>
        <name val="Arial"/>
      </font>
      <fill>
        <patternFill>
          <bgColor rgb="FFED7D31"/>
        </patternFill>
      </fill>
    </dxf>
    <dxf>
      <font>
        <b/>
        <sz val="9"/>
        <color rgb="FFFFFFFF"/>
        <name val="Arial"/>
      </font>
      <fill>
        <patternFill>
          <bgColor rgb="FFC00000"/>
        </patternFill>
      </fill>
    </dxf>
    <dxf>
      <font>
        <sz val="9"/>
        <color rgb="FF000000"/>
        <name val="Arial"/>
      </font>
      <fill>
        <patternFill>
          <bgColor rgb="FF70AD47"/>
        </patternFill>
      </fill>
    </dxf>
    <dxf>
      <font>
        <sz val="9"/>
        <color rgb="FF000000"/>
        <name val="Arial"/>
      </font>
      <fill>
        <patternFill>
          <bgColor rgb="FFFFC000"/>
        </patternFill>
      </fill>
    </dxf>
    <dxf>
      <font>
        <sz val="9"/>
        <color rgb="FF000000"/>
        <name val="Arial"/>
      </font>
      <fill>
        <patternFill>
          <bgColor rgb="FFED7D31"/>
        </patternFill>
      </fill>
    </dxf>
    <dxf>
      <font>
        <b/>
        <sz val="9"/>
        <color rgb="FFFFFFFF"/>
        <name val="Arial"/>
      </font>
      <fill>
        <patternFill>
          <bgColor rgb="FFC00000"/>
        </patternFill>
      </fill>
    </dxf>
    <dxf>
      <font>
        <sz val="9"/>
        <color rgb="FF000000"/>
        <name val="Arial"/>
      </font>
      <fill>
        <patternFill>
          <bgColor rgb="FF70AD47"/>
        </patternFill>
      </fill>
    </dxf>
    <dxf>
      <font>
        <sz val="9"/>
        <color rgb="FF000000"/>
        <name val="Arial"/>
      </font>
      <fill>
        <patternFill>
          <bgColor rgb="FFFFC000"/>
        </patternFill>
      </fill>
    </dxf>
    <dxf>
      <font>
        <sz val="9"/>
        <color rgb="FF000000"/>
        <name val="Arial"/>
      </font>
      <fill>
        <patternFill>
          <bgColor rgb="FFED7D31"/>
        </patternFill>
      </fill>
    </dxf>
    <dxf>
      <font>
        <b/>
        <sz val="9"/>
        <color rgb="FFFFFFFF"/>
        <name val="Arial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A6A6A6"/>
      <rgbColor rgb="FFC0504D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A9D08E"/>
      <rgbColor rgb="FFFF99CC"/>
      <rgbColor rgb="FFCC99FF"/>
      <rgbColor rgb="FFF4B6B6"/>
      <rgbColor rgb="FF4F81BD"/>
      <rgbColor rgb="FF33CCCC"/>
      <rgbColor rgb="FF9BBB59"/>
      <rgbColor rgb="FFFFC000"/>
      <rgbColor rgb="FFFF9900"/>
      <rgbColor rgb="FFED7D31"/>
      <rgbColor rgb="FF8064A2"/>
      <rgbColor rgb="FF878787"/>
      <rgbColor rgb="FF1F3864"/>
      <rgbColor rgb="FF70AD47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נתוני_חישוב!$R$1</c:f>
              <c:strCache>
                <c:ptCount val="1"/>
                <c:pt idx="0">
                  <c:v>מובנה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נתוני_חישוב!$Q$2:$Q$5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נתוני_חישוב!$R$2:$R$5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6-456D-9EEA-48D166E9DE0D}"/>
            </c:ext>
          </c:extLst>
        </c:ser>
        <c:ser>
          <c:idx val="1"/>
          <c:order val="1"/>
          <c:tx>
            <c:strRef>
              <c:f>נתוני_חישוב!$S$1</c:f>
              <c:strCache>
                <c:ptCount val="1"/>
                <c:pt idx="0">
                  <c:v>שיורי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נתוני_חישוב!$Q$2:$Q$5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נתוני_חישוב!$S$2:$S$5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6-456D-9EEA-48D166E9DE0D}"/>
            </c:ext>
          </c:extLst>
        </c:ser>
        <c:ser>
          <c:idx val="2"/>
          <c:order val="2"/>
          <c:tx>
            <c:strRef>
              <c:f>נתוני_חישוב!$T$1</c:f>
              <c:strCache>
                <c:ptCount val="1"/>
                <c:pt idx="0">
                  <c:v>נוכחי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נתוני_חישוב!$Q$2:$Q$5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נתוני_חישוב!$T$2:$T$5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66-456D-9EEA-48D166E9D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9197"/>
        <c:axId val="67108425"/>
      </c:barChart>
      <c:catAx>
        <c:axId val="24991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08425"/>
        <c:crosses val="autoZero"/>
        <c:auto val="1"/>
        <c:lblAlgn val="ctr"/>
        <c:lblOffset val="100"/>
        <c:noMultiLvlLbl val="0"/>
      </c:catAx>
      <c:valAx>
        <c:axId val="67108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9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נתוני_חישוב!$F$1</c:f>
              <c:strCache>
                <c:ptCount val="1"/>
                <c:pt idx="0">
                  <c:v>כמות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B09-42CC-99AF-D0F080029C8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B09-42CC-99AF-D0F080029C8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B09-42CC-99AF-D0F080029C8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B09-42CC-99AF-D0F080029C8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B09-42CC-99AF-D0F080029C8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B09-42CC-99AF-D0F080029C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נתוני_חישוב!$E$2:$E$4</c:f>
              <c:strCache>
                <c:ptCount val="3"/>
                <c:pt idx="0">
                  <c:v>הושלם</c:v>
                </c:pt>
                <c:pt idx="1">
                  <c:v>בתהליך</c:v>
                </c:pt>
                <c:pt idx="2">
                  <c:v>לא התחיל</c:v>
                </c:pt>
              </c:strCache>
            </c:strRef>
          </c:cat>
          <c:val>
            <c:numRef>
              <c:f>נתוני_חישוב!$F$2:$F$4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2CC-99AF-D0F080029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נתוני_חישוב!$O$1</c:f>
              <c:strCache>
                <c:ptCount val="1"/>
                <c:pt idx="0">
                  <c:v>כמות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נתוני_חישוב!$N$2:$N$5</c:f>
              <c:strCache>
                <c:ptCount val="4"/>
                <c:pt idx="0">
                  <c:v>הפחתת סיכון - הוספת בקרות מונעות</c:v>
                </c:pt>
                <c:pt idx="1">
                  <c:v>העברת הסיכון</c:v>
                </c:pt>
                <c:pt idx="2">
                  <c:v>קבלת הסיכון</c:v>
                </c:pt>
                <c:pt idx="3">
                  <c:v>הימנעות מהסיכון</c:v>
                </c:pt>
              </c:strCache>
            </c:strRef>
          </c:cat>
          <c:val>
            <c:numRef>
              <c:f>נתוני_חישוב!$O$2:$O$5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2-42FA-BA7E-4C4E8883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43339"/>
        <c:axId val="58739656"/>
      </c:barChart>
      <c:catAx>
        <c:axId val="292433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739656"/>
        <c:crosses val="autoZero"/>
        <c:auto val="1"/>
        <c:lblAlgn val="ctr"/>
        <c:lblOffset val="100"/>
        <c:noMultiLvlLbl val="0"/>
      </c:catAx>
      <c:valAx>
        <c:axId val="587396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43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נתוני_חישוב!$L$1</c:f>
              <c:strCache>
                <c:ptCount val="1"/>
                <c:pt idx="0">
                  <c:v>סיכון נוכחי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E1F-4923-9C1F-CBEBB25CEEA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E1F-4923-9C1F-CBEBB25CEEA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E1F-4923-9C1F-CBEBB25CEEA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E1F-4923-9C1F-CBEBB25CEEA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E1F-4923-9C1F-CBEBB25CEEA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E1F-4923-9C1F-CBEBB25CEEA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E1F-4923-9C1F-CBEBB25CEEA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E1F-4923-9C1F-CBEBB25CEE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נתוני_חישוב!$K$2:$K$5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נתוני_חישוב!$L$2:$L$5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1F-4923-9C1F-CBEBB25CE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נתוני_חישוב!$I$1</c:f>
              <c:strCache>
                <c:ptCount val="1"/>
                <c:pt idx="0">
                  <c:v>ציון ממוצע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נתוני_חישוב!$H$2:$H$13</c:f>
              <c:strCache>
                <c:ptCount val="12"/>
                <c:pt idx="0">
                  <c:v>ממשל וניהול סיכונים</c:v>
                </c:pt>
                <c:pt idx="1">
                  <c:v>זיהוי ומיפוי נכסים</c:v>
                </c:pt>
                <c:pt idx="2">
                  <c:v>הגנה — גישה וזהות</c:v>
                </c:pt>
                <c:pt idx="3">
                  <c:v>הגנה — רשת ותשתית</c:v>
                </c:pt>
                <c:pt idx="4">
                  <c:v>הגנה — קצה ושרתים</c:v>
                </c:pt>
                <c:pt idx="5">
                  <c:v>הגנה — מידע</c:v>
                </c:pt>
                <c:pt idx="6">
                  <c:v>גילוי וניטור</c:v>
                </c:pt>
                <c:pt idx="7">
                  <c:v>תגובה לאירוע</c:v>
                </c:pt>
                <c:pt idx="8">
                  <c:v>התאוששות</c:v>
                </c:pt>
                <c:pt idx="9">
                  <c:v>מודעות והדרכה</c:v>
                </c:pt>
                <c:pt idx="10">
                  <c:v>שרשרת אספקה וצד ג'</c:v>
                </c:pt>
                <c:pt idx="11">
                  <c:v>הגנה פיזית</c:v>
                </c:pt>
              </c:strCache>
            </c:strRef>
          </c:cat>
          <c:val>
            <c:numRef>
              <c:f>נתוני_חישוב!$I$2:$I$13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6-4F3D-989D-BCA757114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1446"/>
        <c:axId val="67725627"/>
      </c:barChart>
      <c:catAx>
        <c:axId val="158114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25627"/>
        <c:crosses val="autoZero"/>
        <c:auto val="1"/>
        <c:lblAlgn val="ctr"/>
        <c:lblOffset val="100"/>
        <c:noMultiLvlLbl val="0"/>
      </c:catAx>
      <c:valAx>
        <c:axId val="677256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11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נתוני_חישוב!$W$1</c:f>
              <c:strCache>
                <c:ptCount val="1"/>
                <c:pt idx="0">
                  <c:v>כמות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A39-4EB5-AD12-04FC0932789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A39-4EB5-AD12-04FC0932789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A39-4EB5-AD12-04FC0932789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A39-4EB5-AD12-04FC093278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נתוני_חישוב!$V$2:$V$3</c:f>
              <c:strCache>
                <c:ptCount val="2"/>
                <c:pt idx="0">
                  <c:v>רלוונטית</c:v>
                </c:pt>
                <c:pt idx="1">
                  <c:v>לא רלוונטית</c:v>
                </c:pt>
              </c:strCache>
            </c:strRef>
          </c:cat>
          <c:val>
            <c:numRef>
              <c:f>נתוני_חישוב!$W$2:$W$3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39-4EB5-AD12-04FC09327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-480960</xdr:colOff>
      <xdr:row>9</xdr:row>
      <xdr:rowOff>39960</xdr:rowOff>
    </xdr:from>
    <xdr:to>
      <xdr:col>29</xdr:col>
      <xdr:colOff>0</xdr:colOff>
      <xdr:row>18</xdr:row>
      <xdr:rowOff>150840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-199080</xdr:colOff>
      <xdr:row>9</xdr:row>
      <xdr:rowOff>39960</xdr:rowOff>
    </xdr:from>
    <xdr:to>
      <xdr:col>31</xdr:col>
      <xdr:colOff>0</xdr:colOff>
      <xdr:row>18</xdr:row>
      <xdr:rowOff>150840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-151200</xdr:colOff>
      <xdr:row>20</xdr:row>
      <xdr:rowOff>40320</xdr:rowOff>
    </xdr:from>
    <xdr:to>
      <xdr:col>25</xdr:col>
      <xdr:colOff>0</xdr:colOff>
      <xdr:row>33</xdr:row>
      <xdr:rowOff>83160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-481320</xdr:colOff>
      <xdr:row>20</xdr:row>
      <xdr:rowOff>40320</xdr:rowOff>
    </xdr:from>
    <xdr:to>
      <xdr:col>30</xdr:col>
      <xdr:colOff>0</xdr:colOff>
      <xdr:row>33</xdr:row>
      <xdr:rowOff>83160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-151200</xdr:colOff>
      <xdr:row>36</xdr:row>
      <xdr:rowOff>39960</xdr:rowOff>
    </xdr:from>
    <xdr:to>
      <xdr:col>25</xdr:col>
      <xdr:colOff>0</xdr:colOff>
      <xdr:row>51</xdr:row>
      <xdr:rowOff>61920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-481320</xdr:colOff>
      <xdr:row>36</xdr:row>
      <xdr:rowOff>39960</xdr:rowOff>
    </xdr:from>
    <xdr:to>
      <xdr:col>30</xdr:col>
      <xdr:colOff>0</xdr:colOff>
      <xdr:row>51</xdr:row>
      <xdr:rowOff>61920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3"/>
  <sheetViews>
    <sheetView rightToLeft="1" tabSelected="1" topLeftCell="D1" zoomScaleNormal="100" workbookViewId="0">
      <pane ySplit="1" topLeftCell="A2" activePane="bottomLeft" state="frozen"/>
      <selection pane="bottomLeft" activeCell="M2" sqref="M2"/>
    </sheetView>
  </sheetViews>
  <sheetFormatPr defaultColWidth="8.7109375" defaultRowHeight="15"/>
  <cols>
    <col min="1" max="1" width="20" customWidth="1"/>
    <col min="2" max="2" width="16" customWidth="1"/>
    <col min="3" max="3" width="11" customWidth="1"/>
    <col min="4" max="4" width="20" customWidth="1"/>
    <col min="5" max="5" width="34" customWidth="1"/>
    <col min="6" max="6" width="13" customWidth="1"/>
    <col min="7" max="7" width="28" customWidth="1"/>
    <col min="8" max="9" width="9" customWidth="1"/>
    <col min="10" max="10" width="8" customWidth="1"/>
    <col min="11" max="11" width="11" customWidth="1"/>
    <col min="12" max="13" width="12" customWidth="1"/>
    <col min="14" max="14" width="30" customWidth="1"/>
    <col min="15" max="16" width="10" customWidth="1"/>
    <col min="17" max="17" width="9" customWidth="1"/>
    <col min="18" max="18" width="12" customWidth="1"/>
    <col min="19" max="19" width="13" customWidth="1"/>
    <col min="20" max="20" width="12" customWidth="1"/>
    <col min="21" max="21" width="11" customWidth="1"/>
    <col min="22" max="22" width="12" customWidth="1"/>
    <col min="23" max="23" width="24" customWidth="1"/>
    <col min="24" max="24" width="13" customWidth="1"/>
  </cols>
  <sheetData>
    <row r="1" spans="1:24" ht="42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78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</row>
    <row r="2" spans="1:24">
      <c r="A2" s="16"/>
      <c r="B2" s="16"/>
      <c r="C2" s="16"/>
      <c r="D2" s="17"/>
      <c r="E2" s="17"/>
      <c r="F2" s="16"/>
      <c r="G2" s="17"/>
      <c r="H2" s="16">
        <v>1</v>
      </c>
      <c r="I2" s="16">
        <v>1</v>
      </c>
      <c r="J2" s="16">
        <f>IF(X2="כן","",H2*I2)</f>
        <v>1</v>
      </c>
      <c r="K2" s="16" t="str">
        <f>IF(X2="כן","",IF(J2="","",IF(J2&gt;=15,"קריטי",IF(J2&gt;=10,"גבוה",IF(J2&gt;=5,"בינוני","נמוך")))))</f>
        <v>נמוך</v>
      </c>
      <c r="L2" s="17"/>
      <c r="M2" s="17"/>
      <c r="N2" s="17"/>
      <c r="O2" s="16">
        <v>1</v>
      </c>
      <c r="P2" s="16">
        <v>1</v>
      </c>
      <c r="Q2" s="16">
        <f t="shared" ref="Q2" si="0">IF(X2="כן","",O2*P2)</f>
        <v>1</v>
      </c>
      <c r="R2" s="16" t="str">
        <f t="shared" ref="R2" si="1">IF(X2="כן","",IF(Q2="","",IF(Q2&gt;=15,"קריטי",IF(Q2&gt;=10,"גבוה",IF(Q2&gt;=5,"בינוני","נמוך")))))</f>
        <v>נמוך</v>
      </c>
      <c r="S2" s="16">
        <f>IF(X2="כן","",IF(U2="הושלם",Q2,IF(U2="בתהליך",ROUNDUP((J2+Q2)/2,0),J2)))</f>
        <v>1</v>
      </c>
      <c r="T2" s="16" t="str">
        <f t="shared" ref="T2" si="2">IF(X2="כן","",IF(S2="","",IF(S2&gt;=15,"קריטי",IF(S2&gt;=10,"גבוה",IF(S2&gt;=5,"בינוני","נמוך")))))</f>
        <v>נמוך</v>
      </c>
      <c r="U2" s="16" t="s">
        <v>24</v>
      </c>
      <c r="V2" s="16"/>
      <c r="W2" s="17" t="str">
        <f t="shared" ref="W2" si="3">IF(X2="כן","לא רלוונטי",IF(U2="הושלם","קבלת הסיכון",IF(OR(T2="קריטי",T2="גבוה"),"הפחתת סיכון - הוספת בקרות מונעות","קבלת הסיכון")))</f>
        <v>קבלת הסיכון</v>
      </c>
      <c r="X2" s="16" t="s">
        <v>25</v>
      </c>
    </row>
    <row r="3" spans="1:24">
      <c r="A3" s="16"/>
      <c r="B3" s="16"/>
      <c r="C3" s="16"/>
      <c r="D3" s="17"/>
      <c r="E3" s="17"/>
      <c r="F3" s="16"/>
      <c r="G3" s="17"/>
      <c r="H3" s="16"/>
      <c r="I3" s="16"/>
      <c r="J3" s="16"/>
      <c r="K3" s="16"/>
      <c r="L3" s="17"/>
      <c r="M3" s="17"/>
      <c r="N3" s="17"/>
      <c r="O3" s="16"/>
      <c r="P3" s="16"/>
      <c r="Q3" s="16"/>
      <c r="R3" s="16"/>
      <c r="S3" s="16"/>
      <c r="T3" s="16"/>
      <c r="U3" s="16"/>
      <c r="V3" s="16"/>
      <c r="W3" s="17"/>
      <c r="X3" s="16"/>
    </row>
    <row r="4" spans="1:24">
      <c r="A4" s="16"/>
      <c r="B4" s="16"/>
      <c r="C4" s="16"/>
      <c r="D4" s="17"/>
      <c r="E4" s="17"/>
      <c r="F4" s="16"/>
      <c r="G4" s="17"/>
      <c r="H4" s="16"/>
      <c r="I4" s="16"/>
      <c r="J4" s="16"/>
      <c r="K4" s="16"/>
      <c r="L4" s="17"/>
      <c r="M4" s="17"/>
      <c r="N4" s="17"/>
      <c r="O4" s="16"/>
      <c r="P4" s="16"/>
      <c r="Q4" s="16"/>
      <c r="R4" s="16"/>
      <c r="S4" s="16"/>
      <c r="T4" s="16"/>
      <c r="U4" s="16"/>
      <c r="V4" s="16"/>
      <c r="W4" s="17"/>
      <c r="X4" s="16"/>
    </row>
    <row r="5" spans="1:24">
      <c r="A5" s="16"/>
      <c r="B5" s="16"/>
      <c r="C5" s="16"/>
      <c r="D5" s="17"/>
      <c r="E5" s="17"/>
      <c r="F5" s="16"/>
      <c r="G5" s="17"/>
      <c r="H5" s="16"/>
      <c r="I5" s="16"/>
      <c r="J5" s="16"/>
      <c r="K5" s="16"/>
      <c r="L5" s="17"/>
      <c r="M5" s="17"/>
      <c r="N5" s="17"/>
      <c r="O5" s="16"/>
      <c r="P5" s="16"/>
      <c r="Q5" s="16"/>
      <c r="R5" s="16"/>
      <c r="S5" s="16"/>
      <c r="T5" s="16"/>
      <c r="U5" s="16"/>
      <c r="V5" s="16"/>
      <c r="W5" s="17"/>
      <c r="X5" s="16"/>
    </row>
    <row r="6" spans="1:24">
      <c r="A6" s="16"/>
      <c r="B6" s="16"/>
      <c r="C6" s="16"/>
      <c r="D6" s="17"/>
      <c r="E6" s="17"/>
      <c r="F6" s="16"/>
      <c r="G6" s="17"/>
      <c r="H6" s="16"/>
      <c r="I6" s="16"/>
      <c r="J6" s="16"/>
      <c r="K6" s="16"/>
      <c r="L6" s="17"/>
      <c r="M6" s="17"/>
      <c r="N6" s="17"/>
      <c r="O6" s="16"/>
      <c r="P6" s="16"/>
      <c r="Q6" s="16"/>
      <c r="R6" s="16"/>
      <c r="S6" s="16"/>
      <c r="T6" s="16"/>
      <c r="U6" s="16"/>
      <c r="V6" s="16"/>
      <c r="W6" s="17"/>
      <c r="X6" s="16"/>
    </row>
    <row r="7" spans="1:24">
      <c r="A7" s="16"/>
      <c r="B7" s="16"/>
      <c r="C7" s="16"/>
      <c r="D7" s="17"/>
      <c r="E7" s="17"/>
      <c r="F7" s="16"/>
      <c r="G7" s="17"/>
      <c r="H7" s="16"/>
      <c r="I7" s="16"/>
      <c r="J7" s="16"/>
      <c r="K7" s="16"/>
      <c r="L7" s="17"/>
      <c r="M7" s="17"/>
      <c r="N7" s="17"/>
      <c r="O7" s="16"/>
      <c r="P7" s="16"/>
      <c r="Q7" s="16"/>
      <c r="R7" s="16"/>
      <c r="S7" s="16"/>
      <c r="T7" s="16"/>
      <c r="U7" s="16"/>
      <c r="V7" s="16"/>
      <c r="W7" s="17"/>
      <c r="X7" s="16"/>
    </row>
    <row r="8" spans="1:24">
      <c r="A8" s="16"/>
      <c r="B8" s="16"/>
      <c r="C8" s="16"/>
      <c r="D8" s="17"/>
      <c r="E8" s="17"/>
      <c r="F8" s="16"/>
      <c r="G8" s="17"/>
      <c r="H8" s="16"/>
      <c r="I8" s="16"/>
      <c r="J8" s="16"/>
      <c r="K8" s="16"/>
      <c r="L8" s="17"/>
      <c r="M8" s="17"/>
      <c r="N8" s="17"/>
      <c r="O8" s="16"/>
      <c r="P8" s="16"/>
      <c r="Q8" s="16"/>
      <c r="R8" s="16"/>
      <c r="S8" s="16"/>
      <c r="T8" s="16"/>
      <c r="U8" s="16"/>
      <c r="V8" s="16"/>
      <c r="W8" s="17"/>
      <c r="X8" s="16"/>
    </row>
    <row r="9" spans="1:24">
      <c r="A9" s="16"/>
      <c r="B9" s="16"/>
      <c r="C9" s="16"/>
      <c r="D9" s="17"/>
      <c r="E9" s="17"/>
      <c r="F9" s="16"/>
      <c r="G9" s="17"/>
      <c r="H9" s="16"/>
      <c r="I9" s="16"/>
      <c r="J9" s="16"/>
      <c r="K9" s="16"/>
      <c r="L9" s="17"/>
      <c r="M9" s="17"/>
      <c r="N9" s="17"/>
      <c r="O9" s="16"/>
      <c r="P9" s="16"/>
      <c r="Q9" s="16"/>
      <c r="R9" s="16"/>
      <c r="S9" s="16"/>
      <c r="T9" s="16"/>
      <c r="U9" s="16"/>
      <c r="V9" s="16"/>
      <c r="W9" s="17"/>
      <c r="X9" s="16"/>
    </row>
    <row r="10" spans="1:24">
      <c r="A10" s="16"/>
      <c r="B10" s="16"/>
      <c r="C10" s="16"/>
      <c r="D10" s="17"/>
      <c r="E10" s="17"/>
      <c r="F10" s="16"/>
      <c r="G10" s="17"/>
      <c r="H10" s="16"/>
      <c r="I10" s="16"/>
      <c r="J10" s="16"/>
      <c r="K10" s="16"/>
      <c r="L10" s="17"/>
      <c r="M10" s="17"/>
      <c r="N10" s="17"/>
      <c r="O10" s="16"/>
      <c r="P10" s="16"/>
      <c r="Q10" s="16"/>
      <c r="R10" s="16"/>
      <c r="S10" s="16"/>
      <c r="T10" s="16"/>
      <c r="U10" s="16"/>
      <c r="V10" s="16"/>
      <c r="W10" s="17"/>
      <c r="X10" s="16"/>
    </row>
    <row r="11" spans="1:24">
      <c r="A11" s="16"/>
      <c r="B11" s="16"/>
      <c r="C11" s="16"/>
      <c r="D11" s="17"/>
      <c r="E11" s="17"/>
      <c r="F11" s="16"/>
      <c r="G11" s="17"/>
      <c r="H11" s="16"/>
      <c r="I11" s="16"/>
      <c r="J11" s="16"/>
      <c r="K11" s="16"/>
      <c r="L11" s="17"/>
      <c r="M11" s="17"/>
      <c r="N11" s="17"/>
      <c r="O11" s="16"/>
      <c r="P11" s="16"/>
      <c r="Q11" s="16"/>
      <c r="R11" s="16"/>
      <c r="S11" s="16"/>
      <c r="T11" s="16"/>
      <c r="U11" s="16"/>
      <c r="V11" s="16"/>
      <c r="W11" s="17"/>
      <c r="X11" s="16"/>
    </row>
    <row r="12" spans="1:24">
      <c r="A12" s="16"/>
      <c r="B12" s="16"/>
      <c r="C12" s="16"/>
      <c r="D12" s="17"/>
      <c r="E12" s="17"/>
      <c r="F12" s="16"/>
      <c r="G12" s="17"/>
      <c r="H12" s="16"/>
      <c r="I12" s="16"/>
      <c r="J12" s="16"/>
      <c r="K12" s="16"/>
      <c r="L12" s="17"/>
      <c r="M12" s="17"/>
      <c r="N12" s="17"/>
      <c r="O12" s="16"/>
      <c r="P12" s="16"/>
      <c r="Q12" s="16"/>
      <c r="R12" s="16"/>
      <c r="S12" s="16"/>
      <c r="T12" s="16"/>
      <c r="U12" s="16"/>
      <c r="V12" s="16"/>
      <c r="W12" s="17"/>
      <c r="X12" s="16"/>
    </row>
    <row r="13" spans="1:24">
      <c r="A13" s="16"/>
      <c r="B13" s="16"/>
      <c r="C13" s="16"/>
      <c r="D13" s="17"/>
      <c r="E13" s="17"/>
      <c r="F13" s="16"/>
      <c r="G13" s="17"/>
      <c r="H13" s="16"/>
      <c r="I13" s="16"/>
      <c r="J13" s="16"/>
      <c r="K13" s="16"/>
      <c r="L13" s="17"/>
      <c r="M13" s="17"/>
      <c r="N13" s="17"/>
      <c r="O13" s="16"/>
      <c r="P13" s="16"/>
      <c r="Q13" s="16"/>
      <c r="R13" s="16"/>
      <c r="S13" s="16"/>
      <c r="T13" s="16"/>
      <c r="U13" s="16"/>
      <c r="V13" s="16"/>
      <c r="W13" s="17"/>
      <c r="X13" s="16"/>
    </row>
    <row r="14" spans="1:24">
      <c r="A14" s="16"/>
      <c r="B14" s="16"/>
      <c r="C14" s="16"/>
      <c r="D14" s="17"/>
      <c r="E14" s="17"/>
      <c r="F14" s="16"/>
      <c r="G14" s="17"/>
      <c r="H14" s="16"/>
      <c r="I14" s="16"/>
      <c r="J14" s="16"/>
      <c r="K14" s="16"/>
      <c r="L14" s="17"/>
      <c r="M14" s="17"/>
      <c r="N14" s="17"/>
      <c r="O14" s="16"/>
      <c r="P14" s="16"/>
      <c r="Q14" s="16"/>
      <c r="R14" s="16"/>
      <c r="S14" s="16"/>
      <c r="T14" s="16"/>
      <c r="U14" s="16"/>
      <c r="V14" s="16"/>
      <c r="W14" s="17"/>
      <c r="X14" s="16"/>
    </row>
    <row r="15" spans="1:24">
      <c r="A15" s="16"/>
      <c r="B15" s="16"/>
      <c r="C15" s="16"/>
      <c r="D15" s="17"/>
      <c r="E15" s="17"/>
      <c r="F15" s="16"/>
      <c r="G15" s="17"/>
      <c r="H15" s="16"/>
      <c r="I15" s="16"/>
      <c r="J15" s="16"/>
      <c r="K15" s="16"/>
      <c r="L15" s="17"/>
      <c r="M15" s="17"/>
      <c r="N15" s="17"/>
      <c r="O15" s="16"/>
      <c r="P15" s="16"/>
      <c r="Q15" s="16"/>
      <c r="R15" s="16"/>
      <c r="S15" s="16"/>
      <c r="T15" s="16"/>
      <c r="U15" s="16"/>
      <c r="V15" s="16"/>
      <c r="W15" s="17"/>
      <c r="X15" s="16"/>
    </row>
    <row r="16" spans="1:24">
      <c r="A16" s="16"/>
      <c r="B16" s="16"/>
      <c r="C16" s="16"/>
      <c r="D16" s="17"/>
      <c r="E16" s="17"/>
      <c r="F16" s="16"/>
      <c r="G16" s="17"/>
      <c r="H16" s="16"/>
      <c r="I16" s="16"/>
      <c r="J16" s="16"/>
      <c r="K16" s="16"/>
      <c r="L16" s="17"/>
      <c r="M16" s="17"/>
      <c r="N16" s="17"/>
      <c r="O16" s="16"/>
      <c r="P16" s="16"/>
      <c r="Q16" s="16"/>
      <c r="R16" s="16"/>
      <c r="S16" s="16"/>
      <c r="T16" s="16"/>
      <c r="U16" s="16"/>
      <c r="V16" s="16"/>
      <c r="W16" s="17"/>
      <c r="X16" s="16"/>
    </row>
    <row r="17" spans="1:24">
      <c r="A17" s="16"/>
      <c r="B17" s="16"/>
      <c r="C17" s="16"/>
      <c r="D17" s="17"/>
      <c r="E17" s="17"/>
      <c r="F17" s="16"/>
      <c r="G17" s="17"/>
      <c r="H17" s="16"/>
      <c r="I17" s="16"/>
      <c r="J17" s="16"/>
      <c r="K17" s="16"/>
      <c r="L17" s="17"/>
      <c r="M17" s="17"/>
      <c r="N17" s="17"/>
      <c r="O17" s="16"/>
      <c r="P17" s="16"/>
      <c r="Q17" s="16"/>
      <c r="R17" s="16"/>
      <c r="S17" s="16"/>
      <c r="T17" s="16"/>
      <c r="U17" s="16"/>
      <c r="V17" s="16"/>
      <c r="W17" s="17"/>
      <c r="X17" s="16"/>
    </row>
    <row r="18" spans="1:24">
      <c r="A18" s="16"/>
      <c r="B18" s="16"/>
      <c r="C18" s="16"/>
      <c r="D18" s="17"/>
      <c r="E18" s="17"/>
      <c r="F18" s="16"/>
      <c r="G18" s="17"/>
      <c r="H18" s="16"/>
      <c r="I18" s="16"/>
      <c r="J18" s="16"/>
      <c r="K18" s="16"/>
      <c r="L18" s="17"/>
      <c r="M18" s="17"/>
      <c r="N18" s="17"/>
      <c r="O18" s="16"/>
      <c r="P18" s="16"/>
      <c r="Q18" s="16"/>
      <c r="R18" s="16"/>
      <c r="S18" s="16"/>
      <c r="T18" s="16"/>
      <c r="U18" s="16"/>
      <c r="V18" s="16"/>
      <c r="W18" s="17"/>
      <c r="X18" s="16"/>
    </row>
    <row r="19" spans="1:24">
      <c r="A19" s="16"/>
      <c r="B19" s="16"/>
      <c r="C19" s="16"/>
      <c r="D19" s="17"/>
      <c r="E19" s="17"/>
      <c r="F19" s="16"/>
      <c r="G19" s="17"/>
      <c r="H19" s="16"/>
      <c r="I19" s="16"/>
      <c r="J19" s="16"/>
      <c r="K19" s="16"/>
      <c r="L19" s="17"/>
      <c r="M19" s="17"/>
      <c r="N19" s="17"/>
      <c r="O19" s="16"/>
      <c r="P19" s="16"/>
      <c r="Q19" s="16"/>
      <c r="R19" s="16"/>
      <c r="S19" s="16"/>
      <c r="T19" s="16"/>
      <c r="U19" s="16"/>
      <c r="V19" s="16"/>
      <c r="W19" s="17"/>
      <c r="X19" s="16"/>
    </row>
    <row r="20" spans="1:24">
      <c r="A20" s="16"/>
      <c r="B20" s="16"/>
      <c r="C20" s="16"/>
      <c r="D20" s="17"/>
      <c r="E20" s="17"/>
      <c r="F20" s="16"/>
      <c r="G20" s="17"/>
      <c r="H20" s="16"/>
      <c r="I20" s="16"/>
      <c r="J20" s="16"/>
      <c r="K20" s="16"/>
      <c r="L20" s="17"/>
      <c r="M20" s="17"/>
      <c r="N20" s="17"/>
      <c r="O20" s="16"/>
      <c r="P20" s="16"/>
      <c r="Q20" s="16"/>
      <c r="R20" s="16"/>
      <c r="S20" s="16"/>
      <c r="T20" s="16"/>
      <c r="U20" s="16"/>
      <c r="V20" s="16"/>
      <c r="W20" s="17"/>
      <c r="X20" s="16"/>
    </row>
    <row r="21" spans="1:24">
      <c r="A21" s="16"/>
      <c r="B21" s="16"/>
      <c r="C21" s="16"/>
      <c r="D21" s="17"/>
      <c r="E21" s="17"/>
      <c r="F21" s="16"/>
      <c r="G21" s="17"/>
      <c r="H21" s="16"/>
      <c r="I21" s="16"/>
      <c r="J21" s="16"/>
      <c r="K21" s="16"/>
      <c r="L21" s="17"/>
      <c r="M21" s="17"/>
      <c r="N21" s="17"/>
      <c r="O21" s="16"/>
      <c r="P21" s="16"/>
      <c r="Q21" s="16"/>
      <c r="R21" s="16"/>
      <c r="S21" s="16"/>
      <c r="T21" s="16"/>
      <c r="U21" s="16"/>
      <c r="V21" s="16"/>
      <c r="W21" s="17"/>
      <c r="X21" s="16"/>
    </row>
    <row r="22" spans="1:24">
      <c r="A22" s="16"/>
      <c r="B22" s="16"/>
      <c r="C22" s="16"/>
      <c r="D22" s="17"/>
      <c r="E22" s="17"/>
      <c r="F22" s="16"/>
      <c r="G22" s="17"/>
      <c r="H22" s="16"/>
      <c r="I22" s="16"/>
      <c r="J22" s="16"/>
      <c r="K22" s="16"/>
      <c r="L22" s="17"/>
      <c r="M22" s="17"/>
      <c r="N22" s="17"/>
      <c r="O22" s="16"/>
      <c r="P22" s="16"/>
      <c r="Q22" s="16"/>
      <c r="R22" s="16"/>
      <c r="S22" s="16"/>
      <c r="T22" s="16"/>
      <c r="U22" s="16"/>
      <c r="V22" s="16"/>
      <c r="W22" s="17"/>
      <c r="X22" s="16"/>
    </row>
    <row r="23" spans="1:24">
      <c r="A23" s="16"/>
      <c r="B23" s="16"/>
      <c r="C23" s="16"/>
      <c r="D23" s="17"/>
      <c r="E23" s="17"/>
      <c r="F23" s="16"/>
      <c r="G23" s="17"/>
      <c r="H23" s="16"/>
      <c r="I23" s="16"/>
      <c r="J23" s="16"/>
      <c r="K23" s="16"/>
      <c r="L23" s="17"/>
      <c r="M23" s="17"/>
      <c r="N23" s="17"/>
      <c r="O23" s="16"/>
      <c r="P23" s="16"/>
      <c r="Q23" s="16"/>
      <c r="R23" s="16"/>
      <c r="S23" s="16"/>
      <c r="T23" s="16"/>
      <c r="U23" s="16"/>
      <c r="V23" s="16"/>
      <c r="W23" s="17"/>
      <c r="X23" s="16"/>
    </row>
    <row r="24" spans="1:24">
      <c r="A24" s="16"/>
      <c r="B24" s="16"/>
      <c r="C24" s="16"/>
      <c r="D24" s="17"/>
      <c r="E24" s="17"/>
      <c r="F24" s="16"/>
      <c r="G24" s="17"/>
      <c r="H24" s="16"/>
      <c r="I24" s="16"/>
      <c r="J24" s="16"/>
      <c r="K24" s="16"/>
      <c r="L24" s="17"/>
      <c r="M24" s="17"/>
      <c r="N24" s="17"/>
      <c r="O24" s="16"/>
      <c r="P24" s="16"/>
      <c r="Q24" s="16"/>
      <c r="R24" s="16"/>
      <c r="S24" s="16"/>
      <c r="T24" s="16"/>
      <c r="U24" s="16"/>
      <c r="V24" s="16"/>
      <c r="W24" s="17"/>
      <c r="X24" s="16"/>
    </row>
    <row r="25" spans="1:24">
      <c r="A25" s="16"/>
      <c r="B25" s="16"/>
      <c r="C25" s="16"/>
      <c r="D25" s="17"/>
      <c r="E25" s="17"/>
      <c r="F25" s="16"/>
      <c r="G25" s="17"/>
      <c r="H25" s="16"/>
      <c r="I25" s="16"/>
      <c r="J25" s="16"/>
      <c r="K25" s="16"/>
      <c r="L25" s="17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7"/>
      <c r="X25" s="16"/>
    </row>
    <row r="26" spans="1:24">
      <c r="A26" s="16"/>
      <c r="B26" s="16"/>
      <c r="C26" s="16"/>
      <c r="D26" s="17"/>
      <c r="E26" s="17"/>
      <c r="F26" s="16"/>
      <c r="G26" s="17"/>
      <c r="H26" s="16"/>
      <c r="I26" s="16"/>
      <c r="J26" s="16"/>
      <c r="K26" s="16"/>
      <c r="L26" s="17"/>
      <c r="M26" s="17"/>
      <c r="N26" s="17"/>
      <c r="O26" s="16"/>
      <c r="P26" s="16"/>
      <c r="Q26" s="16"/>
      <c r="R26" s="16"/>
      <c r="S26" s="16"/>
      <c r="T26" s="16"/>
      <c r="U26" s="16"/>
      <c r="V26" s="16"/>
      <c r="W26" s="17"/>
      <c r="X26" s="16"/>
    </row>
    <row r="27" spans="1:24">
      <c r="A27" s="16"/>
      <c r="B27" s="16"/>
      <c r="C27" s="16"/>
      <c r="D27" s="17"/>
      <c r="E27" s="17"/>
      <c r="F27" s="16"/>
      <c r="G27" s="17"/>
      <c r="H27" s="16"/>
      <c r="I27" s="16"/>
      <c r="J27" s="16"/>
      <c r="K27" s="16"/>
      <c r="L27" s="17"/>
      <c r="M27" s="17"/>
      <c r="N27" s="17"/>
      <c r="O27" s="16"/>
      <c r="P27" s="16"/>
      <c r="Q27" s="16"/>
      <c r="R27" s="16"/>
      <c r="S27" s="16"/>
      <c r="T27" s="16"/>
      <c r="U27" s="16"/>
      <c r="V27" s="16"/>
      <c r="W27" s="17"/>
      <c r="X27" s="16"/>
    </row>
    <row r="28" spans="1:24">
      <c r="A28" s="16"/>
      <c r="B28" s="16"/>
      <c r="C28" s="16"/>
      <c r="D28" s="17"/>
      <c r="E28" s="17"/>
      <c r="F28" s="16"/>
      <c r="G28" s="17"/>
      <c r="H28" s="16"/>
      <c r="I28" s="16"/>
      <c r="J28" s="16"/>
      <c r="K28" s="16"/>
      <c r="L28" s="17"/>
      <c r="M28" s="17"/>
      <c r="N28" s="17"/>
      <c r="O28" s="16"/>
      <c r="P28" s="16"/>
      <c r="Q28" s="16"/>
      <c r="R28" s="16"/>
      <c r="S28" s="16"/>
      <c r="T28" s="16"/>
      <c r="U28" s="16"/>
      <c r="V28" s="16"/>
      <c r="W28" s="17"/>
      <c r="X28" s="16"/>
    </row>
    <row r="29" spans="1:24">
      <c r="A29" s="16"/>
      <c r="B29" s="16"/>
      <c r="C29" s="16"/>
      <c r="D29" s="17"/>
      <c r="E29" s="17"/>
      <c r="F29" s="16"/>
      <c r="G29" s="17"/>
      <c r="H29" s="16"/>
      <c r="I29" s="16"/>
      <c r="J29" s="16"/>
      <c r="K29" s="16"/>
      <c r="L29" s="17"/>
      <c r="M29" s="17"/>
      <c r="N29" s="17"/>
      <c r="O29" s="16"/>
      <c r="P29" s="16"/>
      <c r="Q29" s="16"/>
      <c r="R29" s="16"/>
      <c r="S29" s="16"/>
      <c r="T29" s="16"/>
      <c r="U29" s="16"/>
      <c r="V29" s="16"/>
      <c r="W29" s="17"/>
      <c r="X29" s="16"/>
    </row>
    <row r="30" spans="1:24">
      <c r="A30" s="16"/>
      <c r="B30" s="16"/>
      <c r="C30" s="16"/>
      <c r="D30" s="17"/>
      <c r="E30" s="17"/>
      <c r="F30" s="16"/>
      <c r="G30" s="17"/>
      <c r="H30" s="16"/>
      <c r="I30" s="16"/>
      <c r="J30" s="16"/>
      <c r="K30" s="16"/>
      <c r="L30" s="17"/>
      <c r="M30" s="17"/>
      <c r="N30" s="17"/>
      <c r="O30" s="16"/>
      <c r="P30" s="16"/>
      <c r="Q30" s="16"/>
      <c r="R30" s="16"/>
      <c r="S30" s="16"/>
      <c r="T30" s="16"/>
      <c r="U30" s="16"/>
      <c r="V30" s="16"/>
      <c r="W30" s="17"/>
      <c r="X30" s="16"/>
    </row>
    <row r="31" spans="1:24">
      <c r="A31" s="16"/>
      <c r="B31" s="16"/>
      <c r="C31" s="16"/>
      <c r="D31" s="17"/>
      <c r="E31" s="17"/>
      <c r="F31" s="16"/>
      <c r="G31" s="17"/>
      <c r="H31" s="16"/>
      <c r="I31" s="16"/>
      <c r="J31" s="16"/>
      <c r="K31" s="16"/>
      <c r="L31" s="17"/>
      <c r="M31" s="17"/>
      <c r="N31" s="17"/>
      <c r="O31" s="16"/>
      <c r="P31" s="16"/>
      <c r="Q31" s="16"/>
      <c r="R31" s="16"/>
      <c r="S31" s="16"/>
      <c r="T31" s="16"/>
      <c r="U31" s="16"/>
      <c r="V31" s="16"/>
      <c r="W31" s="17"/>
      <c r="X31" s="16"/>
    </row>
    <row r="32" spans="1:24">
      <c r="A32" s="16"/>
      <c r="B32" s="16"/>
      <c r="C32" s="16"/>
      <c r="D32" s="17"/>
      <c r="E32" s="17"/>
      <c r="F32" s="16"/>
      <c r="G32" s="17"/>
      <c r="H32" s="16"/>
      <c r="I32" s="16"/>
      <c r="J32" s="16"/>
      <c r="K32" s="16"/>
      <c r="L32" s="17"/>
      <c r="M32" s="17"/>
      <c r="N32" s="17"/>
      <c r="O32" s="16"/>
      <c r="P32" s="16"/>
      <c r="Q32" s="16"/>
      <c r="R32" s="16"/>
      <c r="S32" s="16"/>
      <c r="T32" s="16"/>
      <c r="U32" s="16"/>
      <c r="V32" s="16"/>
      <c r="W32" s="17"/>
      <c r="X32" s="16"/>
    </row>
    <row r="33" spans="1:24">
      <c r="A33" s="16"/>
      <c r="B33" s="16"/>
      <c r="C33" s="16"/>
      <c r="D33" s="17"/>
      <c r="E33" s="17"/>
      <c r="F33" s="16"/>
      <c r="G33" s="17"/>
      <c r="H33" s="16"/>
      <c r="I33" s="16"/>
      <c r="J33" s="16"/>
      <c r="K33" s="16"/>
      <c r="L33" s="17"/>
      <c r="M33" s="17"/>
      <c r="N33" s="17"/>
      <c r="O33" s="16"/>
      <c r="P33" s="16"/>
      <c r="Q33" s="16"/>
      <c r="R33" s="16"/>
      <c r="S33" s="16"/>
      <c r="T33" s="16"/>
      <c r="U33" s="16"/>
      <c r="V33" s="16"/>
      <c r="W33" s="17"/>
      <c r="X33" s="16"/>
    </row>
    <row r="34" spans="1:24">
      <c r="A34" s="16"/>
      <c r="B34" s="16"/>
      <c r="C34" s="16"/>
      <c r="D34" s="17"/>
      <c r="E34" s="17"/>
      <c r="F34" s="16"/>
      <c r="G34" s="17"/>
      <c r="H34" s="16"/>
      <c r="I34" s="16"/>
      <c r="J34" s="16"/>
      <c r="K34" s="16"/>
      <c r="L34" s="17"/>
      <c r="M34" s="17"/>
      <c r="N34" s="17"/>
      <c r="O34" s="16"/>
      <c r="P34" s="16"/>
      <c r="Q34" s="16"/>
      <c r="R34" s="16"/>
      <c r="S34" s="16"/>
      <c r="T34" s="16"/>
      <c r="U34" s="16"/>
      <c r="V34" s="16"/>
      <c r="W34" s="17"/>
      <c r="X34" s="16"/>
    </row>
    <row r="35" spans="1:24">
      <c r="A35" s="16"/>
      <c r="B35" s="16"/>
      <c r="C35" s="16"/>
      <c r="D35" s="17"/>
      <c r="E35" s="17"/>
      <c r="F35" s="16"/>
      <c r="G35" s="17"/>
      <c r="H35" s="16"/>
      <c r="I35" s="16"/>
      <c r="J35" s="16"/>
      <c r="K35" s="16"/>
      <c r="L35" s="17"/>
      <c r="M35" s="17"/>
      <c r="N35" s="17"/>
      <c r="O35" s="16"/>
      <c r="P35" s="16"/>
      <c r="Q35" s="16"/>
      <c r="R35" s="16"/>
      <c r="S35" s="16"/>
      <c r="T35" s="16"/>
      <c r="U35" s="16"/>
      <c r="V35" s="16"/>
      <c r="W35" s="17"/>
      <c r="X35" s="16"/>
    </row>
    <row r="36" spans="1:24">
      <c r="A36" s="16"/>
      <c r="B36" s="16"/>
      <c r="C36" s="16"/>
      <c r="D36" s="17"/>
      <c r="E36" s="17"/>
      <c r="F36" s="16"/>
      <c r="G36" s="17"/>
      <c r="H36" s="16"/>
      <c r="I36" s="16"/>
      <c r="J36" s="16"/>
      <c r="K36" s="16"/>
      <c r="L36" s="17"/>
      <c r="M36" s="17"/>
      <c r="N36" s="17"/>
      <c r="O36" s="16"/>
      <c r="P36" s="16"/>
      <c r="Q36" s="16"/>
      <c r="R36" s="16"/>
      <c r="S36" s="16"/>
      <c r="T36" s="16"/>
      <c r="U36" s="16"/>
      <c r="V36" s="16"/>
      <c r="W36" s="17"/>
      <c r="X36" s="16"/>
    </row>
    <row r="37" spans="1:24">
      <c r="A37" s="16"/>
      <c r="B37" s="16"/>
      <c r="C37" s="16"/>
      <c r="D37" s="17"/>
      <c r="E37" s="17"/>
      <c r="F37" s="16"/>
      <c r="G37" s="17"/>
      <c r="H37" s="16"/>
      <c r="I37" s="16"/>
      <c r="J37" s="16"/>
      <c r="K37" s="16"/>
      <c r="L37" s="17"/>
      <c r="M37" s="17"/>
      <c r="N37" s="17"/>
      <c r="O37" s="16"/>
      <c r="P37" s="16"/>
      <c r="Q37" s="16"/>
      <c r="R37" s="16"/>
      <c r="S37" s="16"/>
      <c r="T37" s="16"/>
      <c r="U37" s="16"/>
      <c r="V37" s="16"/>
      <c r="W37" s="17"/>
      <c r="X37" s="16"/>
    </row>
    <row r="38" spans="1:24">
      <c r="A38" s="16"/>
      <c r="B38" s="16"/>
      <c r="C38" s="16"/>
      <c r="D38" s="17"/>
      <c r="E38" s="17"/>
      <c r="F38" s="16"/>
      <c r="G38" s="17"/>
      <c r="H38" s="16"/>
      <c r="I38" s="16"/>
      <c r="J38" s="16"/>
      <c r="K38" s="16"/>
      <c r="L38" s="17"/>
      <c r="M38" s="17"/>
      <c r="N38" s="17"/>
      <c r="O38" s="16"/>
      <c r="P38" s="16"/>
      <c r="Q38" s="16"/>
      <c r="R38" s="16"/>
      <c r="S38" s="16"/>
      <c r="T38" s="16"/>
      <c r="U38" s="16"/>
      <c r="V38" s="16"/>
      <c r="W38" s="17"/>
      <c r="X38" s="16"/>
    </row>
    <row r="39" spans="1:24">
      <c r="A39" s="16"/>
      <c r="B39" s="16"/>
      <c r="C39" s="16"/>
      <c r="D39" s="17"/>
      <c r="E39" s="17"/>
      <c r="F39" s="16"/>
      <c r="G39" s="17"/>
      <c r="H39" s="16"/>
      <c r="I39" s="16"/>
      <c r="J39" s="16"/>
      <c r="K39" s="16"/>
      <c r="L39" s="17"/>
      <c r="M39" s="17"/>
      <c r="N39" s="17"/>
      <c r="O39" s="16"/>
      <c r="P39" s="16"/>
      <c r="Q39" s="16"/>
      <c r="R39" s="16"/>
      <c r="S39" s="16"/>
      <c r="T39" s="16"/>
      <c r="U39" s="16"/>
      <c r="V39" s="16"/>
      <c r="W39" s="17"/>
      <c r="X39" s="16"/>
    </row>
    <row r="40" spans="1:24">
      <c r="A40" s="16"/>
      <c r="B40" s="16"/>
      <c r="C40" s="16"/>
      <c r="D40" s="17"/>
      <c r="E40" s="17"/>
      <c r="F40" s="16"/>
      <c r="G40" s="17"/>
      <c r="H40" s="16"/>
      <c r="I40" s="16"/>
      <c r="J40" s="16"/>
      <c r="K40" s="16"/>
      <c r="L40" s="17"/>
      <c r="M40" s="17"/>
      <c r="N40" s="17"/>
      <c r="O40" s="16"/>
      <c r="P40" s="16"/>
      <c r="Q40" s="16"/>
      <c r="R40" s="16"/>
      <c r="S40" s="16"/>
      <c r="T40" s="16"/>
      <c r="U40" s="16"/>
      <c r="V40" s="16"/>
      <c r="W40" s="17"/>
      <c r="X40" s="16"/>
    </row>
    <row r="41" spans="1:24">
      <c r="A41" s="16"/>
      <c r="B41" s="16"/>
      <c r="C41" s="16"/>
      <c r="D41" s="17"/>
      <c r="E41" s="17"/>
      <c r="F41" s="16"/>
      <c r="G41" s="17"/>
      <c r="H41" s="16"/>
      <c r="I41" s="16"/>
      <c r="J41" s="16"/>
      <c r="K41" s="16"/>
      <c r="L41" s="17"/>
      <c r="M41" s="17"/>
      <c r="N41" s="17"/>
      <c r="O41" s="16"/>
      <c r="P41" s="16"/>
      <c r="Q41" s="16"/>
      <c r="R41" s="16"/>
      <c r="S41" s="16"/>
      <c r="T41" s="16"/>
      <c r="U41" s="16"/>
      <c r="V41" s="16"/>
      <c r="W41" s="17"/>
      <c r="X41" s="16"/>
    </row>
    <row r="42" spans="1:24">
      <c r="A42" s="16"/>
      <c r="B42" s="16"/>
      <c r="C42" s="16"/>
      <c r="D42" s="17"/>
      <c r="E42" s="17"/>
      <c r="F42" s="16"/>
      <c r="G42" s="17"/>
      <c r="H42" s="16"/>
      <c r="I42" s="16"/>
      <c r="J42" s="16"/>
      <c r="K42" s="16"/>
      <c r="L42" s="17"/>
      <c r="M42" s="17"/>
      <c r="N42" s="17"/>
      <c r="O42" s="16"/>
      <c r="P42" s="16"/>
      <c r="Q42" s="16"/>
      <c r="R42" s="16"/>
      <c r="S42" s="16"/>
      <c r="T42" s="16"/>
      <c r="U42" s="16"/>
      <c r="V42" s="16"/>
      <c r="W42" s="17"/>
      <c r="X42" s="16"/>
    </row>
    <row r="43" spans="1:24">
      <c r="A43" s="16"/>
      <c r="B43" s="16"/>
      <c r="C43" s="16"/>
      <c r="D43" s="17"/>
      <c r="E43" s="17"/>
      <c r="F43" s="16"/>
      <c r="G43" s="17"/>
      <c r="H43" s="16"/>
      <c r="I43" s="16"/>
      <c r="J43" s="16"/>
      <c r="K43" s="16"/>
      <c r="L43" s="17"/>
      <c r="M43" s="17"/>
      <c r="N43" s="17"/>
      <c r="O43" s="16"/>
      <c r="P43" s="16"/>
      <c r="Q43" s="16"/>
      <c r="R43" s="16"/>
      <c r="S43" s="16"/>
      <c r="T43" s="16"/>
      <c r="U43" s="16"/>
      <c r="V43" s="16"/>
      <c r="W43" s="17"/>
      <c r="X43" s="16"/>
    </row>
    <row r="44" spans="1:24">
      <c r="A44" s="16"/>
      <c r="B44" s="16"/>
      <c r="C44" s="16"/>
      <c r="D44" s="17"/>
      <c r="E44" s="17"/>
      <c r="F44" s="16"/>
      <c r="G44" s="17"/>
      <c r="H44" s="16"/>
      <c r="I44" s="16"/>
      <c r="J44" s="16"/>
      <c r="K44" s="16"/>
      <c r="L44" s="17"/>
      <c r="M44" s="17"/>
      <c r="N44" s="17"/>
      <c r="O44" s="16"/>
      <c r="P44" s="16"/>
      <c r="Q44" s="16"/>
      <c r="R44" s="16"/>
      <c r="S44" s="16"/>
      <c r="T44" s="16"/>
      <c r="U44" s="16"/>
      <c r="V44" s="16"/>
      <c r="W44" s="17"/>
      <c r="X44" s="16"/>
    </row>
    <row r="45" spans="1:24">
      <c r="A45" s="16"/>
      <c r="B45" s="16"/>
      <c r="C45" s="16"/>
      <c r="D45" s="17"/>
      <c r="E45" s="17"/>
      <c r="F45" s="16"/>
      <c r="G45" s="17"/>
      <c r="H45" s="16"/>
      <c r="I45" s="16"/>
      <c r="J45" s="16"/>
      <c r="K45" s="16"/>
      <c r="L45" s="17"/>
      <c r="M45" s="17"/>
      <c r="N45" s="17"/>
      <c r="O45" s="16"/>
      <c r="P45" s="16"/>
      <c r="Q45" s="16"/>
      <c r="R45" s="16"/>
      <c r="S45" s="16"/>
      <c r="T45" s="16"/>
      <c r="U45" s="16"/>
      <c r="V45" s="16"/>
      <c r="W45" s="17"/>
      <c r="X45" s="16"/>
    </row>
    <row r="46" spans="1:24">
      <c r="A46" s="16"/>
      <c r="B46" s="16"/>
      <c r="C46" s="16"/>
      <c r="D46" s="17"/>
      <c r="E46" s="17"/>
      <c r="F46" s="16"/>
      <c r="G46" s="17"/>
      <c r="H46" s="16"/>
      <c r="I46" s="16"/>
      <c r="J46" s="16"/>
      <c r="K46" s="16"/>
      <c r="L46" s="17"/>
      <c r="M46" s="17"/>
      <c r="N46" s="17"/>
      <c r="O46" s="16"/>
      <c r="P46" s="16"/>
      <c r="Q46" s="16"/>
      <c r="R46" s="16"/>
      <c r="S46" s="16"/>
      <c r="T46" s="16"/>
      <c r="U46" s="16"/>
      <c r="V46" s="16"/>
      <c r="W46" s="17"/>
      <c r="X46" s="16"/>
    </row>
    <row r="47" spans="1:24">
      <c r="A47" s="16"/>
      <c r="B47" s="16"/>
      <c r="C47" s="16"/>
      <c r="D47" s="17"/>
      <c r="E47" s="17"/>
      <c r="F47" s="16"/>
      <c r="G47" s="17"/>
      <c r="H47" s="16"/>
      <c r="I47" s="16"/>
      <c r="J47" s="16"/>
      <c r="K47" s="16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7"/>
      <c r="X47" s="16"/>
    </row>
    <row r="48" spans="1:24">
      <c r="A48" s="16"/>
      <c r="B48" s="16"/>
      <c r="C48" s="16"/>
      <c r="D48" s="17"/>
      <c r="E48" s="17"/>
      <c r="F48" s="16"/>
      <c r="G48" s="17"/>
      <c r="H48" s="16"/>
      <c r="I48" s="16"/>
      <c r="J48" s="16"/>
      <c r="K48" s="16"/>
      <c r="L48" s="17"/>
      <c r="M48" s="17"/>
      <c r="N48" s="17"/>
      <c r="O48" s="16"/>
      <c r="P48" s="16"/>
      <c r="Q48" s="16"/>
      <c r="R48" s="16"/>
      <c r="S48" s="16"/>
      <c r="T48" s="16"/>
      <c r="U48" s="16"/>
      <c r="V48" s="16"/>
      <c r="W48" s="17"/>
      <c r="X48" s="16"/>
    </row>
    <row r="49" spans="1:24">
      <c r="A49" s="16"/>
      <c r="B49" s="16"/>
      <c r="C49" s="16"/>
      <c r="D49" s="17"/>
      <c r="E49" s="17"/>
      <c r="F49" s="16"/>
      <c r="G49" s="17"/>
      <c r="H49" s="16"/>
      <c r="I49" s="16"/>
      <c r="J49" s="16"/>
      <c r="K49" s="16"/>
      <c r="L49" s="17"/>
      <c r="M49" s="17"/>
      <c r="N49" s="17"/>
      <c r="O49" s="16"/>
      <c r="P49" s="16"/>
      <c r="Q49" s="16"/>
      <c r="R49" s="16"/>
      <c r="S49" s="16"/>
      <c r="T49" s="16"/>
      <c r="U49" s="16"/>
      <c r="V49" s="16"/>
      <c r="W49" s="17"/>
      <c r="X49" s="16"/>
    </row>
    <row r="50" spans="1:24">
      <c r="A50" s="16"/>
      <c r="B50" s="16"/>
      <c r="C50" s="16"/>
      <c r="D50" s="17"/>
      <c r="E50" s="17"/>
      <c r="F50" s="16"/>
      <c r="G50" s="17"/>
      <c r="H50" s="16"/>
      <c r="I50" s="16"/>
      <c r="J50" s="16"/>
      <c r="K50" s="16"/>
      <c r="L50" s="17"/>
      <c r="M50" s="17"/>
      <c r="N50" s="17"/>
      <c r="O50" s="16"/>
      <c r="P50" s="16"/>
      <c r="Q50" s="16"/>
      <c r="R50" s="16"/>
      <c r="S50" s="16"/>
      <c r="T50" s="16"/>
      <c r="U50" s="16"/>
      <c r="V50" s="16"/>
      <c r="W50" s="17"/>
      <c r="X50" s="16"/>
    </row>
    <row r="51" spans="1:24">
      <c r="A51" s="16"/>
      <c r="B51" s="16"/>
      <c r="C51" s="16"/>
      <c r="D51" s="17"/>
      <c r="E51" s="17"/>
      <c r="F51" s="16"/>
      <c r="G51" s="17"/>
      <c r="H51" s="16"/>
      <c r="I51" s="16"/>
      <c r="J51" s="16"/>
      <c r="K51" s="16"/>
      <c r="L51" s="17"/>
      <c r="M51" s="17"/>
      <c r="N51" s="17"/>
      <c r="O51" s="16"/>
      <c r="P51" s="16"/>
      <c r="Q51" s="16"/>
      <c r="R51" s="16"/>
      <c r="S51" s="16"/>
      <c r="T51" s="16"/>
      <c r="U51" s="16"/>
      <c r="V51" s="16"/>
      <c r="W51" s="17"/>
      <c r="X51" s="16"/>
    </row>
    <row r="52" spans="1:24">
      <c r="A52" s="16"/>
      <c r="B52" s="16"/>
      <c r="C52" s="16"/>
      <c r="D52" s="17"/>
      <c r="E52" s="17"/>
      <c r="F52" s="16"/>
      <c r="G52" s="17"/>
      <c r="H52" s="16"/>
      <c r="I52" s="16"/>
      <c r="J52" s="16"/>
      <c r="K52" s="16"/>
      <c r="L52" s="17"/>
      <c r="M52" s="17"/>
      <c r="N52" s="17"/>
      <c r="O52" s="16"/>
      <c r="P52" s="16"/>
      <c r="Q52" s="16"/>
      <c r="R52" s="16"/>
      <c r="S52" s="16"/>
      <c r="T52" s="16"/>
      <c r="U52" s="16"/>
      <c r="V52" s="16"/>
      <c r="W52" s="17"/>
      <c r="X52" s="16"/>
    </row>
    <row r="53" spans="1:24">
      <c r="A53" s="16"/>
      <c r="B53" s="16"/>
      <c r="C53" s="16"/>
      <c r="D53" s="17"/>
      <c r="E53" s="17"/>
      <c r="F53" s="16"/>
      <c r="G53" s="17"/>
      <c r="H53" s="16"/>
      <c r="I53" s="16"/>
      <c r="J53" s="16"/>
      <c r="K53" s="16"/>
      <c r="L53" s="17"/>
      <c r="M53" s="17"/>
      <c r="N53" s="17"/>
      <c r="O53" s="16"/>
      <c r="P53" s="16"/>
      <c r="Q53" s="16"/>
      <c r="R53" s="16"/>
      <c r="S53" s="16"/>
      <c r="T53" s="16"/>
      <c r="U53" s="16"/>
      <c r="V53" s="16"/>
      <c r="W53" s="17"/>
      <c r="X53" s="16"/>
    </row>
    <row r="54" spans="1:24">
      <c r="A54" s="16"/>
      <c r="B54" s="16"/>
      <c r="C54" s="16"/>
      <c r="D54" s="17"/>
      <c r="E54" s="17"/>
      <c r="F54" s="16"/>
      <c r="G54" s="17"/>
      <c r="H54" s="16"/>
      <c r="I54" s="16"/>
      <c r="J54" s="16"/>
      <c r="K54" s="16"/>
      <c r="L54" s="17"/>
      <c r="M54" s="17"/>
      <c r="N54" s="17"/>
      <c r="O54" s="16"/>
      <c r="P54" s="16"/>
      <c r="Q54" s="16"/>
      <c r="R54" s="16"/>
      <c r="S54" s="16"/>
      <c r="T54" s="16"/>
      <c r="U54" s="16"/>
      <c r="V54" s="16"/>
      <c r="W54" s="17"/>
      <c r="X54" s="16"/>
    </row>
    <row r="55" spans="1:24">
      <c r="A55" s="16"/>
      <c r="B55" s="16"/>
      <c r="C55" s="16"/>
      <c r="D55" s="17"/>
      <c r="E55" s="17"/>
      <c r="F55" s="16"/>
      <c r="G55" s="17"/>
      <c r="H55" s="16"/>
      <c r="I55" s="16"/>
      <c r="J55" s="16"/>
      <c r="K55" s="16"/>
      <c r="L55" s="17"/>
      <c r="M55" s="17"/>
      <c r="N55" s="17"/>
      <c r="O55" s="16"/>
      <c r="P55" s="16"/>
      <c r="Q55" s="16"/>
      <c r="R55" s="16"/>
      <c r="S55" s="16"/>
      <c r="T55" s="16"/>
      <c r="U55" s="16"/>
      <c r="V55" s="16"/>
      <c r="W55" s="17"/>
      <c r="X55" s="16"/>
    </row>
    <row r="56" spans="1:24">
      <c r="A56" s="16"/>
      <c r="B56" s="16"/>
      <c r="C56" s="16"/>
      <c r="D56" s="17"/>
      <c r="E56" s="17"/>
      <c r="F56" s="16"/>
      <c r="G56" s="17"/>
      <c r="H56" s="16"/>
      <c r="I56" s="16"/>
      <c r="J56" s="16"/>
      <c r="K56" s="16"/>
      <c r="L56" s="17"/>
      <c r="M56" s="17"/>
      <c r="N56" s="17"/>
      <c r="O56" s="16"/>
      <c r="P56" s="16"/>
      <c r="Q56" s="16"/>
      <c r="R56" s="16"/>
      <c r="S56" s="16"/>
      <c r="T56" s="16"/>
      <c r="U56" s="16"/>
      <c r="V56" s="16"/>
      <c r="W56" s="17"/>
      <c r="X56" s="16"/>
    </row>
    <row r="57" spans="1:24">
      <c r="A57" s="16"/>
      <c r="B57" s="16"/>
      <c r="C57" s="16"/>
      <c r="D57" s="17"/>
      <c r="E57" s="17"/>
      <c r="F57" s="16"/>
      <c r="G57" s="17"/>
      <c r="H57" s="16"/>
      <c r="I57" s="16"/>
      <c r="J57" s="16"/>
      <c r="K57" s="16"/>
      <c r="L57" s="17"/>
      <c r="M57" s="17"/>
      <c r="N57" s="17"/>
      <c r="O57" s="16"/>
      <c r="P57" s="16"/>
      <c r="Q57" s="16"/>
      <c r="R57" s="16"/>
      <c r="S57" s="16"/>
      <c r="T57" s="16"/>
      <c r="U57" s="16"/>
      <c r="V57" s="16"/>
      <c r="W57" s="17"/>
      <c r="X57" s="16"/>
    </row>
    <row r="58" spans="1:24">
      <c r="A58" s="16"/>
      <c r="B58" s="16"/>
      <c r="C58" s="16"/>
      <c r="D58" s="17"/>
      <c r="E58" s="17"/>
      <c r="F58" s="16"/>
      <c r="G58" s="17"/>
      <c r="H58" s="16"/>
      <c r="I58" s="16"/>
      <c r="J58" s="16"/>
      <c r="K58" s="16"/>
      <c r="L58" s="17"/>
      <c r="M58" s="17"/>
      <c r="N58" s="17"/>
      <c r="O58" s="16"/>
      <c r="P58" s="16"/>
      <c r="Q58" s="16"/>
      <c r="R58" s="16"/>
      <c r="S58" s="16"/>
      <c r="T58" s="16"/>
      <c r="U58" s="16"/>
      <c r="V58" s="16"/>
      <c r="W58" s="17"/>
      <c r="X58" s="16"/>
    </row>
    <row r="59" spans="1:24">
      <c r="A59" s="16"/>
      <c r="B59" s="16"/>
      <c r="C59" s="16"/>
      <c r="D59" s="17"/>
      <c r="E59" s="17"/>
      <c r="F59" s="16"/>
      <c r="G59" s="17"/>
      <c r="H59" s="16"/>
      <c r="I59" s="16"/>
      <c r="J59" s="16"/>
      <c r="K59" s="16"/>
      <c r="L59" s="17"/>
      <c r="M59" s="17"/>
      <c r="N59" s="17"/>
      <c r="O59" s="16"/>
      <c r="P59" s="16"/>
      <c r="Q59" s="16"/>
      <c r="R59" s="16"/>
      <c r="S59" s="16"/>
      <c r="T59" s="16"/>
      <c r="U59" s="16"/>
      <c r="V59" s="16"/>
      <c r="W59" s="17"/>
      <c r="X59" s="16"/>
    </row>
    <row r="60" spans="1:24">
      <c r="A60" s="16"/>
      <c r="B60" s="16"/>
      <c r="C60" s="16"/>
      <c r="D60" s="17"/>
      <c r="E60" s="17"/>
      <c r="F60" s="16"/>
      <c r="G60" s="17"/>
      <c r="H60" s="16"/>
      <c r="I60" s="16"/>
      <c r="J60" s="16"/>
      <c r="K60" s="16"/>
      <c r="L60" s="17"/>
      <c r="M60" s="17"/>
      <c r="N60" s="17"/>
      <c r="O60" s="16"/>
      <c r="P60" s="16"/>
      <c r="Q60" s="16"/>
      <c r="R60" s="16"/>
      <c r="S60" s="16"/>
      <c r="T60" s="16"/>
      <c r="U60" s="16"/>
      <c r="V60" s="16"/>
      <c r="W60" s="17"/>
      <c r="X60" s="16"/>
    </row>
    <row r="61" spans="1:24">
      <c r="A61" s="16"/>
      <c r="B61" s="16"/>
      <c r="C61" s="16"/>
      <c r="D61" s="17"/>
      <c r="E61" s="17"/>
      <c r="F61" s="16"/>
      <c r="G61" s="17"/>
      <c r="H61" s="16"/>
      <c r="I61" s="16"/>
      <c r="J61" s="16"/>
      <c r="K61" s="16"/>
      <c r="L61" s="17"/>
      <c r="M61" s="17"/>
      <c r="N61" s="17"/>
      <c r="O61" s="16"/>
      <c r="P61" s="16"/>
      <c r="Q61" s="16"/>
      <c r="R61" s="16"/>
      <c r="S61" s="16"/>
      <c r="T61" s="16"/>
      <c r="U61" s="16"/>
      <c r="V61" s="16"/>
      <c r="W61" s="17"/>
      <c r="X61" s="16"/>
    </row>
    <row r="62" spans="1:24">
      <c r="A62" s="16"/>
      <c r="B62" s="16"/>
      <c r="C62" s="16"/>
      <c r="D62" s="17"/>
      <c r="E62" s="17"/>
      <c r="F62" s="16"/>
      <c r="G62" s="17"/>
      <c r="H62" s="16"/>
      <c r="I62" s="16"/>
      <c r="J62" s="16"/>
      <c r="K62" s="16"/>
      <c r="L62" s="17"/>
      <c r="M62" s="17"/>
      <c r="N62" s="17"/>
      <c r="O62" s="16"/>
      <c r="P62" s="16"/>
      <c r="Q62" s="16"/>
      <c r="R62" s="16"/>
      <c r="S62" s="16"/>
      <c r="T62" s="16"/>
      <c r="U62" s="16"/>
      <c r="V62" s="16"/>
      <c r="W62" s="17"/>
      <c r="X62" s="16"/>
    </row>
    <row r="63" spans="1:24">
      <c r="A63" s="16"/>
      <c r="B63" s="16"/>
      <c r="C63" s="16"/>
      <c r="D63" s="17"/>
      <c r="E63" s="17"/>
      <c r="F63" s="16"/>
      <c r="G63" s="17"/>
      <c r="H63" s="16"/>
      <c r="I63" s="16"/>
      <c r="J63" s="16"/>
      <c r="K63" s="16"/>
      <c r="L63" s="17"/>
      <c r="M63" s="17"/>
      <c r="N63" s="17"/>
      <c r="O63" s="16"/>
      <c r="P63" s="16"/>
      <c r="Q63" s="16"/>
      <c r="R63" s="16"/>
      <c r="S63" s="16"/>
      <c r="T63" s="16"/>
      <c r="U63" s="16"/>
      <c r="V63" s="16"/>
      <c r="W63" s="17"/>
      <c r="X63" s="16"/>
    </row>
    <row r="64" spans="1:24">
      <c r="A64" s="16"/>
      <c r="B64" s="16"/>
      <c r="C64" s="16"/>
      <c r="D64" s="17"/>
      <c r="E64" s="17"/>
      <c r="F64" s="16"/>
      <c r="G64" s="17"/>
      <c r="H64" s="16"/>
      <c r="I64" s="16"/>
      <c r="J64" s="16"/>
      <c r="K64" s="16"/>
      <c r="L64" s="17"/>
      <c r="M64" s="17"/>
      <c r="N64" s="17"/>
      <c r="O64" s="16"/>
      <c r="P64" s="16"/>
      <c r="Q64" s="16"/>
      <c r="R64" s="16"/>
      <c r="S64" s="16"/>
      <c r="T64" s="16"/>
      <c r="U64" s="16"/>
      <c r="V64" s="16"/>
      <c r="W64" s="17"/>
      <c r="X64" s="16"/>
    </row>
    <row r="65" spans="1:24">
      <c r="A65" s="16"/>
      <c r="B65" s="16"/>
      <c r="C65" s="16"/>
      <c r="D65" s="17"/>
      <c r="E65" s="17"/>
      <c r="F65" s="16"/>
      <c r="G65" s="17"/>
      <c r="H65" s="16"/>
      <c r="I65" s="16"/>
      <c r="J65" s="16"/>
      <c r="K65" s="16"/>
      <c r="L65" s="17"/>
      <c r="M65" s="17"/>
      <c r="N65" s="17"/>
      <c r="O65" s="16"/>
      <c r="P65" s="16"/>
      <c r="Q65" s="16"/>
      <c r="R65" s="16"/>
      <c r="S65" s="16"/>
      <c r="T65" s="16"/>
      <c r="U65" s="16"/>
      <c r="V65" s="16"/>
      <c r="W65" s="17"/>
      <c r="X65" s="16"/>
    </row>
    <row r="66" spans="1:24">
      <c r="A66" s="16"/>
      <c r="B66" s="16"/>
      <c r="C66" s="16"/>
      <c r="D66" s="17"/>
      <c r="E66" s="17"/>
      <c r="F66" s="16"/>
      <c r="G66" s="17"/>
      <c r="H66" s="16"/>
      <c r="I66" s="16"/>
      <c r="J66" s="16"/>
      <c r="K66" s="16"/>
      <c r="L66" s="17"/>
      <c r="M66" s="17"/>
      <c r="N66" s="17"/>
      <c r="O66" s="16"/>
      <c r="P66" s="16"/>
      <c r="Q66" s="16"/>
      <c r="R66" s="16"/>
      <c r="S66" s="16"/>
      <c r="T66" s="16"/>
      <c r="U66" s="16"/>
      <c r="V66" s="16"/>
      <c r="W66" s="17"/>
      <c r="X66" s="16"/>
    </row>
    <row r="67" spans="1:24">
      <c r="A67" s="16"/>
      <c r="B67" s="16"/>
      <c r="C67" s="16"/>
      <c r="D67" s="17"/>
      <c r="E67" s="17"/>
      <c r="F67" s="16"/>
      <c r="G67" s="17"/>
      <c r="H67" s="16"/>
      <c r="I67" s="16"/>
      <c r="J67" s="16"/>
      <c r="K67" s="16"/>
      <c r="L67" s="17"/>
      <c r="M67" s="17"/>
      <c r="N67" s="17"/>
      <c r="O67" s="16"/>
      <c r="P67" s="16"/>
      <c r="Q67" s="16"/>
      <c r="R67" s="16"/>
      <c r="S67" s="16"/>
      <c r="T67" s="16"/>
      <c r="U67" s="16"/>
      <c r="V67" s="16"/>
      <c r="W67" s="17"/>
      <c r="X67" s="16"/>
    </row>
    <row r="68" spans="1:24">
      <c r="A68" s="16"/>
      <c r="B68" s="16"/>
      <c r="C68" s="16"/>
      <c r="D68" s="17"/>
      <c r="E68" s="17"/>
      <c r="F68" s="16"/>
      <c r="G68" s="17"/>
      <c r="H68" s="16"/>
      <c r="I68" s="16"/>
      <c r="J68" s="16"/>
      <c r="K68" s="16"/>
      <c r="L68" s="17"/>
      <c r="M68" s="17"/>
      <c r="N68" s="17"/>
      <c r="O68" s="16"/>
      <c r="P68" s="16"/>
      <c r="Q68" s="16"/>
      <c r="R68" s="16"/>
      <c r="S68" s="16"/>
      <c r="T68" s="16"/>
      <c r="U68" s="16"/>
      <c r="V68" s="16"/>
      <c r="W68" s="17"/>
      <c r="X68" s="16"/>
    </row>
    <row r="69" spans="1:24">
      <c r="A69" s="16"/>
      <c r="B69" s="16"/>
      <c r="C69" s="16"/>
      <c r="D69" s="17"/>
      <c r="E69" s="17"/>
      <c r="F69" s="16"/>
      <c r="G69" s="17"/>
      <c r="H69" s="16"/>
      <c r="I69" s="16"/>
      <c r="J69" s="16"/>
      <c r="K69" s="16"/>
      <c r="L69" s="17"/>
      <c r="M69" s="17"/>
      <c r="N69" s="17"/>
      <c r="O69" s="16"/>
      <c r="P69" s="16"/>
      <c r="Q69" s="16"/>
      <c r="R69" s="16"/>
      <c r="S69" s="16"/>
      <c r="T69" s="16"/>
      <c r="U69" s="16"/>
      <c r="V69" s="16"/>
      <c r="W69" s="17"/>
      <c r="X69" s="16"/>
    </row>
    <row r="70" spans="1:24">
      <c r="A70" s="16"/>
      <c r="B70" s="16"/>
      <c r="C70" s="16"/>
      <c r="D70" s="17"/>
      <c r="E70" s="17"/>
      <c r="F70" s="16"/>
      <c r="G70" s="17"/>
      <c r="H70" s="16"/>
      <c r="I70" s="16"/>
      <c r="J70" s="16"/>
      <c r="K70" s="16"/>
      <c r="L70" s="17"/>
      <c r="M70" s="17"/>
      <c r="N70" s="17"/>
      <c r="O70" s="16"/>
      <c r="P70" s="16"/>
      <c r="Q70" s="16"/>
      <c r="R70" s="16"/>
      <c r="S70" s="16"/>
      <c r="T70" s="16"/>
      <c r="U70" s="16"/>
      <c r="V70" s="16"/>
      <c r="W70" s="17"/>
      <c r="X70" s="16"/>
    </row>
    <row r="71" spans="1:24">
      <c r="A71" s="16"/>
      <c r="B71" s="16"/>
      <c r="C71" s="16"/>
      <c r="D71" s="17"/>
      <c r="E71" s="17"/>
      <c r="F71" s="16"/>
      <c r="G71" s="17"/>
      <c r="H71" s="16"/>
      <c r="I71" s="16"/>
      <c r="J71" s="16"/>
      <c r="K71" s="16"/>
      <c r="L71" s="17"/>
      <c r="M71" s="17"/>
      <c r="N71" s="17"/>
      <c r="O71" s="16"/>
      <c r="P71" s="16"/>
      <c r="Q71" s="16"/>
      <c r="R71" s="16"/>
      <c r="S71" s="16"/>
      <c r="T71" s="16"/>
      <c r="U71" s="16"/>
      <c r="V71" s="16"/>
      <c r="W71" s="17"/>
      <c r="X71" s="16"/>
    </row>
    <row r="72" spans="1:24">
      <c r="A72" s="16"/>
      <c r="B72" s="16"/>
      <c r="C72" s="16"/>
      <c r="D72" s="17"/>
      <c r="E72" s="17"/>
      <c r="F72" s="16"/>
      <c r="G72" s="17"/>
      <c r="H72" s="16"/>
      <c r="I72" s="16"/>
      <c r="J72" s="16"/>
      <c r="K72" s="16"/>
      <c r="L72" s="17"/>
      <c r="M72" s="17"/>
      <c r="N72" s="17"/>
      <c r="O72" s="16"/>
      <c r="P72" s="16"/>
      <c r="Q72" s="16"/>
      <c r="R72" s="16"/>
      <c r="S72" s="16"/>
      <c r="T72" s="16"/>
      <c r="U72" s="16"/>
      <c r="V72" s="16"/>
      <c r="W72" s="17"/>
      <c r="X72" s="16"/>
    </row>
    <row r="73" spans="1:24">
      <c r="A73" s="16"/>
      <c r="B73" s="16"/>
      <c r="C73" s="16"/>
      <c r="D73" s="17"/>
      <c r="E73" s="17"/>
      <c r="F73" s="16"/>
      <c r="G73" s="17"/>
      <c r="H73" s="16"/>
      <c r="I73" s="16"/>
      <c r="J73" s="16"/>
      <c r="K73" s="16"/>
      <c r="L73" s="17"/>
      <c r="M73" s="17"/>
      <c r="N73" s="17"/>
      <c r="O73" s="16"/>
      <c r="P73" s="16"/>
      <c r="Q73" s="16"/>
      <c r="R73" s="16"/>
      <c r="S73" s="16"/>
      <c r="T73" s="16"/>
      <c r="U73" s="16"/>
      <c r="V73" s="16"/>
      <c r="W73" s="17"/>
      <c r="X73" s="16"/>
    </row>
  </sheetData>
  <conditionalFormatting sqref="K2:K73">
    <cfRule type="expression" dxfId="16" priority="2">
      <formula>K2="קריטי"</formula>
    </cfRule>
    <cfRule type="expression" dxfId="15" priority="3">
      <formula>K2="גבוה"</formula>
    </cfRule>
    <cfRule type="expression" dxfId="14" priority="4">
      <formula>K2="בינוני"</formula>
    </cfRule>
    <cfRule type="expression" dxfId="13" priority="5">
      <formula>K2="נמוך"</formula>
    </cfRule>
  </conditionalFormatting>
  <conditionalFormatting sqref="R2:R73">
    <cfRule type="expression" dxfId="12" priority="6">
      <formula>R2="קריטי"</formula>
    </cfRule>
    <cfRule type="expression" dxfId="11" priority="7">
      <formula>R2="גבוה"</formula>
    </cfRule>
    <cfRule type="expression" dxfId="10" priority="8">
      <formula>R2="בינוני"</formula>
    </cfRule>
    <cfRule type="expression" dxfId="9" priority="9">
      <formula>R2="נמוך"</formula>
    </cfRule>
  </conditionalFormatting>
  <conditionalFormatting sqref="T2:T73">
    <cfRule type="expression" dxfId="8" priority="10">
      <formula>T2="קריטי"</formula>
    </cfRule>
    <cfRule type="expression" dxfId="7" priority="11">
      <formula>T2="גבוה"</formula>
    </cfRule>
    <cfRule type="expression" dxfId="6" priority="12">
      <formula>T2="בינוני"</formula>
    </cfRule>
    <cfRule type="expression" dxfId="5" priority="13">
      <formula>T2="נמוך"</formula>
    </cfRule>
  </conditionalFormatting>
  <conditionalFormatting sqref="U2:U73">
    <cfRule type="expression" dxfId="4" priority="14">
      <formula>U2="הושלם"</formula>
    </cfRule>
    <cfRule type="expression" dxfId="3" priority="15">
      <formula>U2="בתהליך"</formula>
    </cfRule>
    <cfRule type="expression" dxfId="2" priority="16">
      <formula>U2="לא התחיל"</formula>
    </cfRule>
  </conditionalFormatting>
  <conditionalFormatting sqref="X2:X73">
    <cfRule type="expression" dxfId="1" priority="18">
      <formula>X2="כן"</formula>
    </cfRule>
  </conditionalFormatting>
  <conditionalFormatting sqref="A2:X73">
    <cfRule type="expression" dxfId="0" priority="19">
      <formula>$X2="כן"</formula>
    </cfRule>
  </conditionalFormatting>
  <dataValidations count="2">
    <dataValidation type="list" allowBlank="1" sqref="U2:U73">
      <formula1>"הושלם,בתהליך,לא התחיל"</formula1>
      <formula2>0</formula2>
    </dataValidation>
    <dataValidation type="list" error="בחר כן/לא" sqref="X2:X73">
      <formula1>"כן,לא"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rightToLeft="1" zoomScaleNormal="100" workbookViewId="0"/>
  </sheetViews>
  <sheetFormatPr defaultColWidth="8.7109375" defaultRowHeight="15"/>
  <cols>
    <col min="1" max="1" width="10" customWidth="1"/>
    <col min="2" max="3" width="12" customWidth="1"/>
    <col min="4" max="4" width="3" customWidth="1"/>
    <col min="5" max="5" width="12" customWidth="1"/>
    <col min="6" max="6" width="8" customWidth="1"/>
    <col min="7" max="7" width="3" customWidth="1"/>
    <col min="8" max="8" width="18" customWidth="1"/>
    <col min="9" max="9" width="11" customWidth="1"/>
    <col min="10" max="10" width="3" customWidth="1"/>
    <col min="11" max="11" width="10" customWidth="1"/>
    <col min="12" max="12" width="12" customWidth="1"/>
    <col min="13" max="13" width="3" customWidth="1"/>
    <col min="14" max="14" width="26" customWidth="1"/>
    <col min="15" max="15" width="8" customWidth="1"/>
    <col min="16" max="16" width="3" customWidth="1"/>
    <col min="17" max="17" width="10" customWidth="1"/>
    <col min="18" max="20" width="8" customWidth="1"/>
    <col min="21" max="21" width="3" customWidth="1"/>
    <col min="22" max="22" width="12" customWidth="1"/>
    <col min="23" max="23" width="8" customWidth="1"/>
  </cols>
  <sheetData>
    <row r="1" spans="1:23">
      <c r="A1" s="18" t="s">
        <v>10</v>
      </c>
      <c r="B1" s="18" t="s">
        <v>38</v>
      </c>
      <c r="C1" s="18" t="s">
        <v>15</v>
      </c>
      <c r="E1" s="18" t="s">
        <v>19</v>
      </c>
      <c r="F1" s="18" t="s">
        <v>39</v>
      </c>
      <c r="H1" s="18" t="s">
        <v>1</v>
      </c>
      <c r="I1" s="18" t="s">
        <v>40</v>
      </c>
      <c r="K1" s="18" t="s">
        <v>41</v>
      </c>
      <c r="L1" s="18" t="s">
        <v>42</v>
      </c>
      <c r="N1" s="19" t="s">
        <v>43</v>
      </c>
      <c r="O1" s="19" t="s">
        <v>39</v>
      </c>
      <c r="Q1" s="19" t="s">
        <v>10</v>
      </c>
      <c r="R1" s="19" t="s">
        <v>44</v>
      </c>
      <c r="S1" s="19" t="s">
        <v>45</v>
      </c>
      <c r="T1" s="19" t="s">
        <v>46</v>
      </c>
      <c r="V1" s="19" t="s">
        <v>47</v>
      </c>
      <c r="W1" s="19" t="s">
        <v>39</v>
      </c>
    </row>
    <row r="2" spans="1:23">
      <c r="A2" s="20" t="s">
        <v>48</v>
      </c>
      <c r="B2">
        <f>COUNTIFS('הערכת סיכונים'!$K$2:$K$73,A2,'הערכת סיכונים'!$X$2:$X$73,"לא")</f>
        <v>0</v>
      </c>
      <c r="C2">
        <f>COUNTIFS('הערכת סיכונים'!$R$2:$R$73,A2,'הערכת סיכונים'!$X$2:$X$73,"לא")</f>
        <v>0</v>
      </c>
      <c r="E2" s="20" t="s">
        <v>24</v>
      </c>
      <c r="F2">
        <f>COUNTIFS('הערכת סיכונים'!$U$2:$U$73,E2,'הערכת סיכונים'!$X$2:$X$73,"לא")</f>
        <v>1</v>
      </c>
      <c r="H2" s="20" t="s">
        <v>23</v>
      </c>
      <c r="I2">
        <f>IFERROR(ROUND(AVERAGEIFS('הערכת סיכונים'!$J$2:$J$73,'הערכת סיכונים'!$B$2:$B$73,H2,'הערכת סיכונים'!$X$2:$X$73,"לא"),1),0)</f>
        <v>0</v>
      </c>
      <c r="K2" s="20" t="s">
        <v>48</v>
      </c>
      <c r="L2">
        <f>COUNTIFS('הערכת סיכונים'!$T$2:$T$73,K2,'הערכת סיכונים'!$X$2:$X$73,"לא")</f>
        <v>0</v>
      </c>
      <c r="N2" s="20" t="s">
        <v>49</v>
      </c>
      <c r="O2">
        <f>COUNTIFS('הערכת סיכונים'!$W$2:$W$73,N2,'הערכת סיכונים'!$X$2:$X$73,"לא")</f>
        <v>0</v>
      </c>
      <c r="Q2" s="20" t="s">
        <v>48</v>
      </c>
      <c r="R2">
        <f>COUNTIFS('הערכת סיכונים'!$K$2:$K$73,Q2,'הערכת סיכונים'!$X$2:$X$73,"לא")</f>
        <v>0</v>
      </c>
      <c r="S2">
        <f>COUNTIFS('הערכת סיכונים'!$R$2:$R$73,Q2,'הערכת סיכונים'!$X$2:$X$73,"לא")</f>
        <v>0</v>
      </c>
      <c r="T2">
        <f>COUNTIFS('הערכת סיכונים'!$T$2:$T$73,Q2,'הערכת סיכונים'!$X$2:$X$73,"לא")</f>
        <v>0</v>
      </c>
      <c r="V2" s="20" t="s">
        <v>50</v>
      </c>
      <c r="W2">
        <f>COUNTIF('הערכת סיכונים'!$X$2:$X$73,"לא")</f>
        <v>1</v>
      </c>
    </row>
    <row r="3" spans="1:23">
      <c r="A3" s="20" t="s">
        <v>51</v>
      </c>
      <c r="B3">
        <f>COUNTIFS('הערכת סיכונים'!$K$2:$K$73,A3,'הערכת סיכונים'!$X$2:$X$73,"לא")</f>
        <v>0</v>
      </c>
      <c r="C3">
        <f>COUNTIFS('הערכת סיכונים'!$R$2:$R$73,A3,'הערכת סיכונים'!$X$2:$X$73,"לא")</f>
        <v>0</v>
      </c>
      <c r="E3" s="20" t="s">
        <v>26</v>
      </c>
      <c r="F3">
        <f>COUNTIFS('הערכת סיכונים'!$U$2:$U$73,E3,'הערכת סיכונים'!$X$2:$X$73,"לא")</f>
        <v>0</v>
      </c>
      <c r="H3" s="20" t="s">
        <v>27</v>
      </c>
      <c r="I3">
        <f>IFERROR(ROUND(AVERAGEIFS('הערכת סיכונים'!$J$2:$J$73,'הערכת סיכונים'!$B$2:$B$73,H3,'הערכת סיכונים'!$X$2:$X$73,"לא"),1),0)</f>
        <v>0</v>
      </c>
      <c r="K3" s="20" t="s">
        <v>51</v>
      </c>
      <c r="L3">
        <f>COUNTIFS('הערכת סיכונים'!$T$2:$T$73,K3,'הערכת סיכונים'!$X$2:$X$73,"לא")</f>
        <v>0</v>
      </c>
      <c r="N3" s="20" t="s">
        <v>52</v>
      </c>
      <c r="O3">
        <f>COUNTIFS('הערכת סיכונים'!$W$2:$W$73,N3,'הערכת סיכונים'!$X$2:$X$73,"לא")</f>
        <v>0</v>
      </c>
      <c r="Q3" s="20" t="s">
        <v>51</v>
      </c>
      <c r="R3">
        <f>COUNTIFS('הערכת סיכונים'!$K$2:$K$73,Q3,'הערכת סיכונים'!$X$2:$X$73,"לא")</f>
        <v>0</v>
      </c>
      <c r="S3">
        <f>COUNTIFS('הערכת סיכונים'!$R$2:$R$73,Q3,'הערכת סיכונים'!$X$2:$X$73,"לא")</f>
        <v>0</v>
      </c>
      <c r="T3">
        <f>COUNTIFS('הערכת סיכונים'!$T$2:$T$73,Q3,'הערכת סיכונים'!$X$2:$X$73,"לא")</f>
        <v>0</v>
      </c>
      <c r="V3" s="20" t="s">
        <v>53</v>
      </c>
      <c r="W3">
        <f>COUNTIF('הערכת סיכונים'!$X$2:$X$73,"כן")</f>
        <v>0</v>
      </c>
    </row>
    <row r="4" spans="1:23">
      <c r="A4" s="20" t="s">
        <v>54</v>
      </c>
      <c r="B4">
        <f>COUNTIFS('הערכת סיכונים'!$K$2:$K$73,A4,'הערכת סיכונים'!$X$2:$X$73,"לא")</f>
        <v>0</v>
      </c>
      <c r="C4">
        <f>COUNTIFS('הערכת סיכונים'!$R$2:$R$73,A4,'הערכת סיכונים'!$X$2:$X$73,"לא")</f>
        <v>0</v>
      </c>
      <c r="E4" s="20" t="s">
        <v>28</v>
      </c>
      <c r="F4">
        <f>COUNTIFS('הערכת סיכונים'!$U$2:$U$73,E4,'הערכת סיכונים'!$X$2:$X$73,"לא")</f>
        <v>0</v>
      </c>
      <c r="H4" s="20" t="s">
        <v>29</v>
      </c>
      <c r="I4">
        <f>IFERROR(ROUND(AVERAGEIFS('הערכת סיכונים'!$J$2:$J$73,'הערכת סיכונים'!$B$2:$B$73,H4,'הערכת סיכונים'!$X$2:$X$73,"לא"),1),0)</f>
        <v>0</v>
      </c>
      <c r="K4" s="20" t="s">
        <v>54</v>
      </c>
      <c r="L4">
        <f>COUNTIFS('הערכת סיכונים'!$T$2:$T$73,K4,'הערכת סיכונים'!$X$2:$X$73,"לא")</f>
        <v>0</v>
      </c>
      <c r="N4" s="20" t="s">
        <v>55</v>
      </c>
      <c r="O4">
        <f>COUNTIFS('הערכת סיכונים'!$W$2:$W$73,N4,'הערכת סיכונים'!$X$2:$X$73,"לא")</f>
        <v>1</v>
      </c>
      <c r="Q4" s="20" t="s">
        <v>54</v>
      </c>
      <c r="R4">
        <f>COUNTIFS('הערכת סיכונים'!$K$2:$K$73,Q4,'הערכת סיכונים'!$X$2:$X$73,"לא")</f>
        <v>0</v>
      </c>
      <c r="S4">
        <f>COUNTIFS('הערכת סיכונים'!$R$2:$R$73,Q4,'הערכת סיכונים'!$X$2:$X$73,"לא")</f>
        <v>0</v>
      </c>
      <c r="T4">
        <f>COUNTIFS('הערכת סיכונים'!$T$2:$T$73,Q4,'הערכת סיכונים'!$X$2:$X$73,"לא")</f>
        <v>0</v>
      </c>
    </row>
    <row r="5" spans="1:23">
      <c r="A5" s="20" t="s">
        <v>56</v>
      </c>
      <c r="B5">
        <f>COUNTIFS('הערכת סיכונים'!$K$2:$K$73,A5,'הערכת סיכונים'!$X$2:$X$73,"לא")</f>
        <v>1</v>
      </c>
      <c r="C5">
        <f>COUNTIFS('הערכת סיכונים'!$R$2:$R$73,A5,'הערכת סיכונים'!$X$2:$X$73,"לא")</f>
        <v>1</v>
      </c>
      <c r="H5" s="20" t="s">
        <v>30</v>
      </c>
      <c r="I5">
        <f>IFERROR(ROUND(AVERAGEIFS('הערכת סיכונים'!$J$2:$J$73,'הערכת סיכונים'!$B$2:$B$73,H5,'הערכת סיכונים'!$X$2:$X$73,"לא"),1),0)</f>
        <v>0</v>
      </c>
      <c r="K5" s="20" t="s">
        <v>56</v>
      </c>
      <c r="L5">
        <f>COUNTIFS('הערכת סיכונים'!$T$2:$T$73,K5,'הערכת סיכונים'!$X$2:$X$73,"לא")</f>
        <v>1</v>
      </c>
      <c r="N5" s="20" t="s">
        <v>57</v>
      </c>
      <c r="O5">
        <f>COUNTIFS('הערכת סיכונים'!$W$2:$W$73,N5,'הערכת סיכונים'!$X$2:$X$73,"לא")</f>
        <v>0</v>
      </c>
      <c r="Q5" s="20" t="s">
        <v>56</v>
      </c>
      <c r="R5">
        <f>COUNTIFS('הערכת סיכונים'!$K$2:$K$73,Q5,'הערכת סיכונים'!$X$2:$X$73,"לא")</f>
        <v>1</v>
      </c>
      <c r="S5">
        <f>COUNTIFS('הערכת סיכונים'!$R$2:$R$73,Q5,'הערכת סיכונים'!$X$2:$X$73,"לא")</f>
        <v>1</v>
      </c>
      <c r="T5">
        <f>COUNTIFS('הערכת סיכונים'!$T$2:$T$73,Q5,'הערכת סיכונים'!$X$2:$X$73,"לא")</f>
        <v>1</v>
      </c>
    </row>
    <row r="6" spans="1:23">
      <c r="H6" s="20" t="s">
        <v>31</v>
      </c>
      <c r="I6">
        <f>IFERROR(ROUND(AVERAGEIFS('הערכת סיכונים'!$J$2:$J$73,'הערכת סיכונים'!$B$2:$B$73,H6,'הערכת סיכונים'!$X$2:$X$73,"לא"),1),0)</f>
        <v>0</v>
      </c>
    </row>
    <row r="7" spans="1:23">
      <c r="H7" s="20" t="s">
        <v>32</v>
      </c>
      <c r="I7">
        <f>IFERROR(ROUND(AVERAGEIFS('הערכת סיכונים'!$J$2:$J$73,'הערכת סיכונים'!$B$2:$B$73,H7,'הערכת סיכונים'!$X$2:$X$73,"לא"),1),0)</f>
        <v>0</v>
      </c>
    </row>
    <row r="8" spans="1:23">
      <c r="H8" s="20" t="s">
        <v>33</v>
      </c>
      <c r="I8">
        <f>IFERROR(ROUND(AVERAGEIFS('הערכת סיכונים'!$J$2:$J$73,'הערכת סיכונים'!$B$2:$B$73,H8,'הערכת סיכונים'!$X$2:$X$73,"לא"),1),0)</f>
        <v>0</v>
      </c>
    </row>
    <row r="9" spans="1:23">
      <c r="H9" s="20" t="s">
        <v>34</v>
      </c>
      <c r="I9">
        <f>IFERROR(ROUND(AVERAGEIFS('הערכת סיכונים'!$J$2:$J$73,'הערכת סיכונים'!$B$2:$B$73,H9,'הערכת סיכונים'!$X$2:$X$73,"לא"),1),0)</f>
        <v>0</v>
      </c>
    </row>
    <row r="10" spans="1:23">
      <c r="H10" s="20" t="s">
        <v>35</v>
      </c>
      <c r="I10">
        <f>IFERROR(ROUND(AVERAGEIFS('הערכת סיכונים'!$J$2:$J$73,'הערכת סיכונים'!$B$2:$B$73,H10,'הערכת סיכונים'!$X$2:$X$73,"לא"),1),0)</f>
        <v>0</v>
      </c>
    </row>
    <row r="11" spans="1:23">
      <c r="H11" s="20" t="s">
        <v>36</v>
      </c>
      <c r="I11">
        <f>IFERROR(ROUND(AVERAGEIFS('הערכת סיכונים'!$J$2:$J$73,'הערכת סיכונים'!$B$2:$B$73,H11,'הערכת סיכונים'!$X$2:$X$73,"לא"),1),0)</f>
        <v>0</v>
      </c>
    </row>
    <row r="12" spans="1:23">
      <c r="H12" s="20" t="s">
        <v>58</v>
      </c>
      <c r="I12">
        <f>IFERROR(ROUND(AVERAGEIFS('הערכת סיכונים'!$J$2:$J$73,'הערכת סיכונים'!$B$2:$B$73,H12,'הערכת סיכונים'!$X$2:$X$73,"לא"),1),0)</f>
        <v>0</v>
      </c>
    </row>
    <row r="13" spans="1:23">
      <c r="H13" s="20" t="s">
        <v>37</v>
      </c>
      <c r="I13">
        <f>IFERROR(ROUND(AVERAGEIFS('הערכת סיכונים'!$J$2:$J$73,'הערכת סיכונים'!$B$2:$B$73,H13,'הערכת סיכונים'!$X$2:$X$73,"לא"),1),0)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showGridLines="0" rightToLeft="1" zoomScaleNormal="100" workbookViewId="0"/>
  </sheetViews>
  <sheetFormatPr defaultColWidth="8.7109375" defaultRowHeight="15"/>
  <cols>
    <col min="1" max="29" width="4" customWidth="1"/>
  </cols>
  <sheetData>
    <row r="1" spans="1:28" ht="15" customHeight="1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4" spans="1:28">
      <c r="A4" s="13" t="s">
        <v>60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25.5" customHeight="1">
      <c r="A5" s="12" t="s">
        <v>61</v>
      </c>
      <c r="B5" s="12"/>
      <c r="C5" s="12"/>
      <c r="D5" s="12"/>
      <c r="E5" s="11" t="s">
        <v>62</v>
      </c>
      <c r="F5" s="11"/>
      <c r="G5" s="11"/>
      <c r="H5" s="11"/>
      <c r="I5" s="10" t="s">
        <v>63</v>
      </c>
      <c r="J5" s="10"/>
      <c r="K5" s="10"/>
      <c r="L5" s="10"/>
      <c r="M5" s="9" t="s">
        <v>64</v>
      </c>
      <c r="N5" s="9"/>
      <c r="O5" s="9"/>
      <c r="P5" s="9"/>
      <c r="Q5" s="8" t="s">
        <v>65</v>
      </c>
      <c r="R5" s="8"/>
      <c r="S5" s="8"/>
      <c r="T5" s="8"/>
      <c r="U5" s="7" t="s">
        <v>66</v>
      </c>
      <c r="V5" s="7"/>
      <c r="W5" s="7"/>
      <c r="X5" s="7"/>
      <c r="Y5" s="10" t="s">
        <v>67</v>
      </c>
      <c r="Z5" s="10"/>
      <c r="AA5" s="10"/>
      <c r="AB5" s="10"/>
    </row>
    <row r="6" spans="1:28" ht="19.5" customHeight="1">
      <c r="A6" s="6">
        <f>COUNTIF('הערכת סיכונים'!X2:X73,"לא")</f>
        <v>1</v>
      </c>
      <c r="B6" s="6"/>
      <c r="C6" s="6"/>
      <c r="D6" s="6"/>
      <c r="E6" s="5">
        <f>COUNTIF('הערכת סיכונים'!X2:X73,"כן")</f>
        <v>0</v>
      </c>
      <c r="F6" s="5"/>
      <c r="G6" s="5"/>
      <c r="H6" s="5"/>
      <c r="I6" s="4">
        <f>COUNTIFS('הערכת סיכונים'!T2:T73,"קריטי",'הערכת סיכונים'!X2:X73,"לא")</f>
        <v>0</v>
      </c>
      <c r="J6" s="4"/>
      <c r="K6" s="4"/>
      <c r="L6" s="4"/>
      <c r="M6" s="3">
        <f>COUNTIFS('הערכת סיכונים'!T2:T73,"גבוה",'הערכת סיכונים'!X2:X73,"לא")</f>
        <v>0</v>
      </c>
      <c r="N6" s="3"/>
      <c r="O6" s="3"/>
      <c r="P6" s="3"/>
      <c r="Q6" s="2">
        <f>IFERROR(ROUND(AVERAGEIFS('הערכת סיכונים'!J2:J73,'הערכת סיכונים'!X2:X73,"לא"),1),0)</f>
        <v>1</v>
      </c>
      <c r="R6" s="2"/>
      <c r="S6" s="2"/>
      <c r="T6" s="2"/>
      <c r="U6" s="1">
        <f>COUNTIFS('הערכת סיכונים'!U2:U73,"הושלם",'הערכת סיכונים'!X2:X73,"לא")</f>
        <v>1</v>
      </c>
      <c r="V6" s="1"/>
      <c r="W6" s="1"/>
      <c r="X6" s="1"/>
      <c r="Y6" s="4">
        <f>COUNTIFS('הערכת סיכונים'!U2:U73,"לא התחיל",'הערכת סיכונים'!X2:X73,"לא")</f>
        <v>0</v>
      </c>
      <c r="Z6" s="4"/>
      <c r="AA6" s="4"/>
      <c r="AB6" s="4"/>
    </row>
    <row r="7" spans="1:28" ht="21.75" customHeight="1">
      <c r="A7" s="6"/>
      <c r="B7" s="6"/>
      <c r="C7" s="6"/>
      <c r="D7" s="6"/>
      <c r="E7" s="5"/>
      <c r="F7" s="5"/>
      <c r="G7" s="5"/>
      <c r="H7" s="5"/>
      <c r="I7" s="4"/>
      <c r="J7" s="4"/>
      <c r="K7" s="4"/>
      <c r="L7" s="4"/>
      <c r="M7" s="3"/>
      <c r="N7" s="3"/>
      <c r="O7" s="3"/>
      <c r="P7" s="3"/>
      <c r="Q7" s="2"/>
      <c r="R7" s="2"/>
      <c r="S7" s="2"/>
      <c r="T7" s="2"/>
      <c r="U7" s="1"/>
      <c r="V7" s="1"/>
      <c r="W7" s="1"/>
      <c r="X7" s="1"/>
      <c r="Y7" s="4"/>
      <c r="Z7" s="4"/>
      <c r="AA7" s="4"/>
      <c r="AB7" s="4"/>
    </row>
    <row r="9" spans="1:28" ht="26.85" customHeight="1">
      <c r="A9" s="32" t="s">
        <v>68</v>
      </c>
      <c r="B9" s="32"/>
      <c r="C9" s="32"/>
      <c r="D9" s="32"/>
      <c r="E9" s="32"/>
      <c r="F9" s="32"/>
      <c r="G9" s="32"/>
      <c r="H9" s="32"/>
      <c r="J9" s="32" t="s">
        <v>69</v>
      </c>
      <c r="K9" s="32"/>
      <c r="L9" s="32"/>
      <c r="M9" s="32"/>
      <c r="N9" s="32"/>
      <c r="O9" s="32"/>
      <c r="P9" s="32"/>
      <c r="Q9" s="32"/>
      <c r="R9" s="32"/>
      <c r="S9" s="32"/>
      <c r="U9" s="32" t="s">
        <v>70</v>
      </c>
      <c r="V9" s="32"/>
      <c r="W9" s="32"/>
      <c r="X9" s="32"/>
      <c r="Y9" s="32"/>
      <c r="Z9" s="32"/>
      <c r="AA9" s="32"/>
      <c r="AB9" s="32"/>
    </row>
    <row r="11" spans="1:28" ht="21.75" customHeight="1">
      <c r="A11" s="21" t="s">
        <v>71</v>
      </c>
      <c r="B11" s="22">
        <v>1</v>
      </c>
      <c r="C11" s="22">
        <v>2</v>
      </c>
      <c r="D11" s="22">
        <v>3</v>
      </c>
      <c r="E11" s="22">
        <v>4</v>
      </c>
      <c r="F11" s="22">
        <v>5</v>
      </c>
    </row>
    <row r="12" spans="1:28" ht="21.75" customHeight="1">
      <c r="A12" s="22">
        <v>5</v>
      </c>
      <c r="B12" s="23">
        <f>COUNTIFS('הערכת סיכונים'!H:H,5,'הערכת סיכונים'!I:I,1,'הערכת סיכונים'!X:X,"לא")</f>
        <v>0</v>
      </c>
      <c r="C12" s="24">
        <f>COUNTIFS('הערכת סיכונים'!H:H,5,'הערכת סיכונים'!I:I,2,'הערכת סיכונים'!X:X,"לא")</f>
        <v>0</v>
      </c>
      <c r="D12" s="25">
        <f>COUNTIFS('הערכת סיכונים'!H:H,5,'הערכת סיכונים'!I:I,3,'הערכת סיכונים'!X:X,"לא")</f>
        <v>0</v>
      </c>
      <c r="E12" s="25">
        <f>COUNTIFS('הערכת סיכונים'!H:H,5,'הערכת סיכונים'!I:I,4,'הערכת סיכונים'!X:X,"לא")</f>
        <v>0</v>
      </c>
      <c r="F12" s="25">
        <f>COUNTIFS('הערכת סיכונים'!H:H,5,'הערכת סיכונים'!I:I,5,'הערכת סיכונים'!X:X,"לא")</f>
        <v>0</v>
      </c>
    </row>
    <row r="13" spans="1:28" ht="21.75" customHeight="1">
      <c r="A13" s="22">
        <v>4</v>
      </c>
      <c r="B13" s="26">
        <f>COUNTIFS('הערכת סיכונים'!H:H,4,'הערכת סיכונים'!I:I,1,'הערכת סיכונים'!X:X,"לא")</f>
        <v>0</v>
      </c>
      <c r="C13" s="23">
        <f>COUNTIFS('הערכת סיכונים'!H:H,4,'הערכת סיכונים'!I:I,2,'הערכת סיכונים'!X:X,"לא")</f>
        <v>0</v>
      </c>
      <c r="D13" s="24">
        <f>COUNTIFS('הערכת סיכונים'!H:H,4,'הערכת סיכונים'!I:I,3,'הערכת סיכונים'!X:X,"לא")</f>
        <v>0</v>
      </c>
      <c r="E13" s="25">
        <f>COUNTIFS('הערכת סיכונים'!H:H,4,'הערכת סיכונים'!I:I,4,'הערכת סיכונים'!X:X,"לא")</f>
        <v>0</v>
      </c>
      <c r="F13" s="25">
        <f>COUNTIFS('הערכת סיכונים'!H:H,4,'הערכת סיכונים'!I:I,5,'הערכת סיכונים'!X:X,"לא")</f>
        <v>0</v>
      </c>
    </row>
    <row r="14" spans="1:28" ht="21.75" customHeight="1">
      <c r="A14" s="22">
        <v>3</v>
      </c>
      <c r="B14" s="26">
        <f>COUNTIFS('הערכת סיכונים'!H:H,3,'הערכת סיכונים'!I:I,1,'הערכת סיכונים'!X:X,"לא")</f>
        <v>0</v>
      </c>
      <c r="C14" s="23">
        <f>COUNTIFS('הערכת סיכונים'!H:H,3,'הערכת סיכונים'!I:I,2,'הערכת סיכונים'!X:X,"לא")</f>
        <v>0</v>
      </c>
      <c r="D14" s="23">
        <f>COUNTIFS('הערכת סיכונים'!H:H,3,'הערכת סיכונים'!I:I,3,'הערכת סיכונים'!X:X,"לא")</f>
        <v>0</v>
      </c>
      <c r="E14" s="24">
        <f>COUNTIFS('הערכת סיכונים'!H:H,3,'הערכת סיכונים'!I:I,4,'הערכת סיכונים'!X:X,"לא")</f>
        <v>0</v>
      </c>
      <c r="F14" s="25">
        <f>COUNTIFS('הערכת סיכונים'!H:H,3,'הערכת סיכונים'!I:I,5,'הערכת סיכונים'!X:X,"לא")</f>
        <v>0</v>
      </c>
    </row>
    <row r="15" spans="1:28" ht="21.75" customHeight="1">
      <c r="A15" s="22">
        <v>2</v>
      </c>
      <c r="B15" s="26">
        <f>COUNTIFS('הערכת סיכונים'!H:H,2,'הערכת סיכונים'!I:I,1,'הערכת סיכונים'!X:X,"לא")</f>
        <v>0</v>
      </c>
      <c r="C15" s="26">
        <f>COUNTIFS('הערכת סיכונים'!H:H,2,'הערכת סיכונים'!I:I,2,'הערכת סיכונים'!X:X,"לא")</f>
        <v>0</v>
      </c>
      <c r="D15" s="23">
        <f>COUNTIFS('הערכת סיכונים'!H:H,2,'הערכת סיכונים'!I:I,3,'הערכת סיכונים'!X:X,"לא")</f>
        <v>0</v>
      </c>
      <c r="E15" s="23">
        <f>COUNTIFS('הערכת סיכונים'!H:H,2,'הערכת סיכונים'!I:I,4,'הערכת סיכונים'!X:X,"לא")</f>
        <v>0</v>
      </c>
      <c r="F15" s="24">
        <f>COUNTIFS('הערכת סיכונים'!H:H,2,'הערכת סיכונים'!I:I,5,'הערכת סיכונים'!X:X,"לא")</f>
        <v>0</v>
      </c>
    </row>
    <row r="16" spans="1:28" ht="21.75" customHeight="1">
      <c r="A16" s="22">
        <v>1</v>
      </c>
      <c r="B16" s="26">
        <f>COUNTIFS('הערכת סיכונים'!H:H,1,'הערכת סיכונים'!I:I,1,'הערכת סיכונים'!X:X,"לא")</f>
        <v>1</v>
      </c>
      <c r="C16" s="26">
        <f>COUNTIFS('הערכת סיכונים'!H:H,1,'הערכת סיכונים'!I:I,2,'הערכת סיכונים'!X:X,"לא")</f>
        <v>0</v>
      </c>
      <c r="D16" s="26">
        <f>COUNTIFS('הערכת סיכונים'!H:H,1,'הערכת סיכונים'!I:I,3,'הערכת סיכונים'!X:X,"לא")</f>
        <v>0</v>
      </c>
      <c r="E16" s="26">
        <f>COUNTIFS('הערכת סיכונים'!H:H,1,'הערכת סיכונים'!I:I,4,'הערכת סיכונים'!X:X,"לא")</f>
        <v>0</v>
      </c>
      <c r="F16" s="23">
        <f>COUNTIFS('הערכת סיכונים'!H:H,1,'הערכת סיכונים'!I:I,5,'הערכת סיכונים'!X:X,"לא")</f>
        <v>0</v>
      </c>
    </row>
    <row r="17" spans="1:28">
      <c r="C17" s="27" t="s">
        <v>72</v>
      </c>
    </row>
    <row r="18" spans="1:28">
      <c r="A18" s="28"/>
      <c r="B18" s="29"/>
      <c r="C18" s="30"/>
      <c r="D18" s="31"/>
    </row>
    <row r="20" spans="1:28" ht="15" customHeight="1">
      <c r="A20" s="32" t="s">
        <v>73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P20" s="32" t="s">
        <v>74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36" spans="1:28" ht="15" customHeight="1">
      <c r="A36" s="32" t="s">
        <v>75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P36" s="32" t="s">
        <v>76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56" spans="1:28">
      <c r="A56" s="33" t="s">
        <v>77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</sheetData>
  <mergeCells count="24">
    <mergeCell ref="A20:N20"/>
    <mergeCell ref="P20:AB20"/>
    <mergeCell ref="A36:N36"/>
    <mergeCell ref="P36:AB36"/>
    <mergeCell ref="A56:AB56"/>
    <mergeCell ref="U6:X7"/>
    <mergeCell ref="Y6:AB7"/>
    <mergeCell ref="A9:H9"/>
    <mergeCell ref="J9:S9"/>
    <mergeCell ref="U9:AB9"/>
    <mergeCell ref="A6:D7"/>
    <mergeCell ref="E6:H7"/>
    <mergeCell ref="I6:L7"/>
    <mergeCell ref="M6:P7"/>
    <mergeCell ref="Q6:T7"/>
    <mergeCell ref="A1:AB2"/>
    <mergeCell ref="A4:AB4"/>
    <mergeCell ref="A5:D5"/>
    <mergeCell ref="E5:H5"/>
    <mergeCell ref="I5:L5"/>
    <mergeCell ref="M5:P5"/>
    <mergeCell ref="Q5:T5"/>
    <mergeCell ref="U5:X5"/>
    <mergeCell ref="Y5:AB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הערכת סיכונים</vt:lpstr>
      <vt:lpstr>נתוני_חישוב</vt:lpstr>
      <vt:lpstr>דשבורד מנהלים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ew</cp:lastModifiedBy>
  <cp:revision>1</cp:revision>
  <dcterms:created xsi:type="dcterms:W3CDTF">2026-06-14T20:12:23Z</dcterms:created>
  <dcterms:modified xsi:type="dcterms:W3CDTF">2026-06-16T16:22:22Z</dcterms:modified>
  <dc:language>en-US</dc:language>
</cp:coreProperties>
</file>