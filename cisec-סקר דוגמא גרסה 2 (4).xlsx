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ערכת סיכונים" state="visible" r:id="rId4"/>
    <sheet sheetId="2" name="פעולות מיטיגציה" state="visible" r:id="rId5"/>
    <sheet sheetId="3" name="משימות" state="visible" r:id="rId6"/>
    <sheet sheetId="4" name="דשבורד" state="visible" r:id="rId7"/>
  </sheets>
  <calcPr calcId="171027"/>
</workbook>
</file>

<file path=xl/sharedStrings.xml><?xml version="1.0" encoding="utf-8"?>
<sst xmlns="http://schemas.openxmlformats.org/spreadsheetml/2006/main" count="1817" uniqueCount="445">
  <si>
    <t xml:space="preserve">Ci-Sec — סקר דוגמא גרסה 2 (גרסה 2) · רשת: </t>
  </si>
  <si>
    <t>מזהה בקרה</t>
  </si>
  <si>
    <t>משפחת בקרה</t>
  </si>
  <si>
    <t>קוד משפחה</t>
  </si>
  <si>
    <t>שם הבקרה</t>
  </si>
  <si>
    <t>תיאור הבקרה</t>
  </si>
  <si>
    <t>תחום ברשת</t>
  </si>
  <si>
    <t>תרחיש איום/סיכון</t>
  </si>
  <si>
    <t>הסתברות (1-4)</t>
  </si>
  <si>
    <t>השפעה (1-4)</t>
  </si>
  <si>
    <t>ציון סיכון</t>
  </si>
  <si>
    <t>רמת סיכון</t>
  </si>
  <si>
    <t>מבצע (R)</t>
  </si>
  <si>
    <t>פעולות מיטיגציה</t>
  </si>
  <si>
    <t>הסתברות שיורית</t>
  </si>
  <si>
    <t>השפעה שיורית</t>
  </si>
  <si>
    <t>סיכון שיורי</t>
  </si>
  <si>
    <t>רמת סיכון שיורי</t>
  </si>
  <si>
    <t>סיכון נוכחי</t>
  </si>
  <si>
    <t>רמת סיכון נוכחי</t>
  </si>
  <si>
    <t>סטטוס</t>
  </si>
  <si>
    <t>תאריך יעד</t>
  </si>
  <si>
    <t>החלטת הנהלה</t>
  </si>
  <si>
    <t>בקרה לא רלוונטית</t>
  </si>
  <si>
    <t>סה"כ פעולות מיטיגציה</t>
  </si>
  <si>
    <t>בוצעו</t>
  </si>
  <si>
    <t>% ביצוע מיטיגציה</t>
  </si>
  <si>
    <t>מורכבות טיפול</t>
  </si>
  <si>
    <t>הערכה תקציבית</t>
  </si>
  <si>
    <t>מטבע</t>
  </si>
  <si>
    <t>ללא עלות</t>
  </si>
  <si>
    <t>הערכת שעות עבודה</t>
  </si>
  <si>
    <t>פירוט שעות עבודה</t>
  </si>
  <si>
    <t>GOV-01</t>
  </si>
  <si>
    <t>ממשל וניהול סיכונים</t>
  </si>
  <si>
    <t>GOV</t>
  </si>
  <si>
    <t>אחריות ההנהלה להגנת הסייבר מעוגנת ומתוקשרת</t>
  </si>
  <si>
    <t/>
  </si>
  <si>
    <t>היעדר עיגון אחריות ניהולית להגנת סייבר עלול לגרום לפערים בקבלת החלטות, חוסר הקצאת משאבים וכשל מערכתי בהגנה על הארגון מפני מתקפות סייבר</t>
  </si>
  <si>
    <t>מנהל מערכת</t>
  </si>
  <si>
    <t xml:space="preserve">1. הגדרת ואישור מבנה ממשל סייבר ארגוני הכולל תפקידים ואחריות (NIST PM-1, PM-2)
2. עיגון אחריות ההנהלה בנהלים ובמסמכי מדיניות מאושרים (PM-13)
3. קיום סקירות הנהלה תקופתיות למצב הסייבר (PM-6)
4. מינוי נושא אחריות בכיר (Authorizing Official) לכל מערכת קריטית (CA-6)</t>
  </si>
  <si>
    <t>בתהליך</t>
  </si>
  <si>
    <t>לא</t>
  </si>
  <si>
    <t>ILS</t>
  </si>
  <si>
    <t>GOV-02</t>
  </si>
  <si>
    <t>מינוי ממונה הגנת סייבר (CISO) והגדרת סמכויותיו</t>
  </si>
  <si>
    <t>היעדר ממונה הגנת סייבר (CISO) בעל סמכויות מוגדרות עלול להוביל לחוסר אחידות בניהול אבטחת המידע, היעדר דמות מובילה לטיפול באירועים ופערים בממשק עם ההנהלה והרגולטור</t>
  </si>
  <si>
    <t>מהנדס אבטחה</t>
  </si>
  <si>
    <t xml:space="preserve">1. מינוי CISO/ממונה סייבר בכיר עם דיווח ישיר להנהלה (NIST PM-2)
2. הגדרת סמכויות, תחומי אחריות ומנדט פעולה בכתב (PM-1)
3. הקצאת צוות ומשאבים ייעודיים לממונה (PM-3)
4. שיבוץ CISO בפורום הנהלה ובוועדת סיכונים (PM-29)</t>
  </si>
  <si>
    <t>הפחתת סיכון</t>
  </si>
  <si>
    <t>GOV-03</t>
  </si>
  <si>
    <t>מדיניות הגנת סייבר ארגונית נקבעת, מאושרת ומופצת</t>
  </si>
  <si>
    <t>היעדר מדיניות סייבר מאושרת ומופצת עלול לגרום לפעולה ללא הנחיות אחידות, חשיפת הארגון לאיומים שאינם מכוסים ואי-עמידה בדרישות רגולציה</t>
  </si>
  <si>
    <t>מהנדס רשת</t>
  </si>
  <si>
    <t xml:space="preserve">1. גיבוש מדיניות אבטחת מידע ארגונית מקיפה (NIST PL-1)
2. אישור המדיניות ע"י ההנהלה הבכירה והפצה לכלל הגורמים (PL-1)
3. סקירה ועדכון המדיניות לפחות אחת לשנה (PL-1)
4. פיתוח נהלים תומכים לכל משפחת בקרות (PL-2, PM-1)</t>
  </si>
  <si>
    <t>לא התחיל</t>
  </si>
  <si>
    <t>GOV-04</t>
  </si>
  <si>
    <t>תהליך ניהול סיכוני סייבר מתמשך (לא חד-פעמי) מוטמע</t>
  </si>
  <si>
    <t>היעדר תהליך ניהול סיכונים מתמשך עלול לגרום להצטברות סיכונים בלתי מזוהים, אי-זיהוי איומים חדשים ופגיעות שלא טופלו, ולחשיפה הולכת וגדלה של הארגון</t>
  </si>
  <si>
    <t>מנהל IR</t>
  </si>
  <si>
    <t xml:space="preserve">1. הטמעת תהליך ניהול סיכונים מתמשך ומתועד (NIST RA-1, RA-3)
2. עדכון הערכת סיכונים לפחות אחת לשנה ובעקבות שינויים מהותיים (RA-3)
3. שילוב ניהול סיכוני סייבר במסגרת ניהול הסיכונים הארגוני (PM-9, PM-28)
4. שימוש במתודולוגיה מוכרת (NIST RMF) לניהול סיכונים (RA-1)</t>
  </si>
  <si>
    <t>GOV-05</t>
  </si>
  <si>
    <t>תיאבון סיכון וסבילות סיכון מוגדרים ומאושרים בהנהלה</t>
  </si>
  <si>
    <t>היעדר הגדרת תיאבון וסבילות סיכון עלולים לגרום לקבלת החלטות שרירותיות בניהול סיכונים, השקעה בלתי מאוזנת במשאבי הגנה וחשיפה לסיכונים שההנהלה אינה מודעת לקבלתם</t>
  </si>
  <si>
    <t>NetOps</t>
  </si>
  <si>
    <t xml:space="preserve">1. הגדרת רמות תיאבון סיכון (Risk Appetite) ואישורן ע"י ההנהלה (NIST PM-9)
2. קביעת סבילות סיכון (Risk Tolerance) לכל מערכת קריטית (PM-9)
3. תיעוד והפצת מסגרת קבלת סיכונים לבעלי תפקידים רלוונטיים (PM-9)
4. סקירה שנתית והתאמת רמות הסיכון המקובלות (RA-3, PM-28)</t>
  </si>
  <si>
    <t>GOV-06</t>
  </si>
  <si>
    <t>תקציב ומשאבים להגנת סייבר מוקצים בהתאם לפוטנציאל הנזק</t>
  </si>
  <si>
    <t>הקצאה לא מספקת של תקציב ומשאבים להגנת סייבר עלולה להותיר פערי הגנה קריטיים, להגביל יכולת תגובה לאירועים ולחשוף את הארגון לנזקים העולים על עלות ההשקעה בהגנה</t>
  </si>
  <si>
    <t xml:space="preserve">1. הקצאת תקציב ייעודי להגנת סייבר במסגרת התקציב הארגוני (NIST PM-3)
2. ביצוע ניתוח עלות-תועלת (BIA) לתעדוף השקעות אבטחה (PM-3)
3. הקצאת כוח אדם מקצועי ומיומן לתפקידי סייבר (PM-13, PM-15)
4. תכנון תקציב רב-שנתי הכולל הדרכות, כלים ותשתיות (PM-3)</t>
  </si>
  <si>
    <t>GOV-07</t>
  </si>
  <si>
    <t>תוכנית הגנת סייבר רב-שנתית נגזרת מהאסטרטגיה ומנוטרת</t>
  </si>
  <si>
    <t>היעדר תוכנית הגנת סייבר רב-שנתית עלולה לגרום לפעילות אד-הוק, חוסר התאמה בין ההגנה לאסטרטגיה העסקית ולפערים מצטברים ביכולות ההגנה לאורך זמן</t>
  </si>
  <si>
    <t xml:space="preserve">1. גיבוש תוכנית הגנת סייבר רב-שנתית מבוססת אסטרטגיה (NIST PM-1)
2. הגדרת אבני דרך, מדדי הצלחה ולוחות זמנים (PM-4)
3. ניטור התקדמות יישום התוכנית ודיווח תקופתי להנהלה (PM-6)
4. עדכון התוכנית בהתאם לשינויים באיומים ובסביבה העסקית (PM-4)</t>
  </si>
  <si>
    <t>GOV-08</t>
  </si>
  <si>
    <t>עמידה בדרישות רגולציה וחקיקה רלוונטיות לסייבר</t>
  </si>
  <si>
    <t>אי-עמידה בדרישות רגולציה וחקיקה עלולה לחשוף את הארגון לקנסות, תביעות, סנקציות רגולטוריות ופגיעה במוניטין, בנוסף לחשיפת מידע רגיש</t>
  </si>
  <si>
    <t>אנליסט SOC</t>
  </si>
  <si>
    <t xml:space="preserve">1. מיפוי דרישות רגולציה וחקיקה רלוונטיות לסייבר (NIST PM-8, PM-10)
2. ביצוע הערכת ציות (compliance assessment) תקופתית (CA-2, CA-7)
3. הקמת תהליך מעקב אחר שינויי רגולציה ועדכון הבקרות בהתאם (PM-8)
4. תיעוד פערי ציות ותוכנית סגירתם (CA-5, PM-10)</t>
  </si>
  <si>
    <t>GOV-09</t>
  </si>
  <si>
    <t>מדדי בקרה ודיווח תקופתי להנהלה על מצב הסיכון</t>
  </si>
  <si>
    <t>היעדר מדדי בקרה ודיווח תקופתי עלולים לגרום לחוסר מודעות של ההנהלה למצב הסיכון בפועל, עיכוב בקבלת החלטות ואי-זיהוי מגמות שליליות בהגנת הסייבר</t>
  </si>
  <si>
    <t xml:space="preserve">1. הגדרת KPIs ומדדי אפקטיביות להגנת סייבר (NIST PM-6, PM-14)
2. הפקת דוחות תקופתיים להנהלה על מצב הסיכון (PM-6)
3. שימוש בדשבורד ניהולי עם מדדי בקרה מרכזיים (PM-14)
4. ביצוע סקירות רבעוניות של מגמות סיכון ואירועים (CA-7, PM-6)</t>
  </si>
  <si>
    <t>GOV-10</t>
  </si>
  <si>
    <t>מבדקי חוסן ובקרות עצמיות תקופתיים מבוצעים</t>
  </si>
  <si>
    <t>אי-ביצוע מבדקי חוסן ובקרות עצמיות עלול להותיר פגיעויות לא מזוהות, לייצר תחושת ביטחון מוטעית ולאפשר לתוקפים לנצל חולשות שלא נבדקו</t>
  </si>
  <si>
    <t xml:space="preserve">1. ביצוע מבדקי חדירה (penetration testing) תקופתיים (NIST CA-8)
2. ביצוע הערכות בקרה פנימיות לפחות אחת לשנה (CA-2)
3. ביצוע סקירות תצורה ובקרות עצמיות (CA-7)
4. תיעוד ומעקב אחר ממצאים עד לסגירתם (CA-5, POA&amp;M)</t>
  </si>
  <si>
    <t>IDN-01</t>
  </si>
  <si>
    <t>זיהוי ומיפוי נכסים</t>
  </si>
  <si>
    <t>IDN</t>
  </si>
  <si>
    <t>מיפוי ותחזוקת מצאי נכסי מידע (חומרה, תוכנה, שירותים)</t>
  </si>
  <si>
    <t>היעדר מצאי נכסי מידע מעודכן עלול לגרום להגנה חלקית בלבד, נכסים לא מוגנים המהווים וקטור תקיפה, וחוסר יכולת להעריך את היקף הנזק באירוע סייבר</t>
  </si>
  <si>
    <t xml:space="preserve">1. הקמת מצאי נכסים (Asset Inventory) מלא ומעודכן — חומרה, תוכנה ושירותים (NIST CM-8)
2. שימוש בכלי סריקה אוטומטיים לגילוי נכסים ברשת (CM-8(2))
3. עדכון מצאי נכסים בכל שינוי ולפחות רבעונית (CM-8(1))
4. שיוך בעלים (owner) לכל נכס מידע (CM-8(5), PM-5)</t>
  </si>
  <si>
    <t>IDN-02</t>
  </si>
  <si>
    <t>סיווג נכסים לפי קריטיות לתפקוד הארגון</t>
  </si>
  <si>
    <t>היעדר סיווג נכסים לפי קריטיות עלול להוביל להקצאת משאבי הגנה שגויה, הגנה שווה על נכסים בעלי חשיבות שונה וחשיפת נכסים קריטיים ללא הגנה מספקת</t>
  </si>
  <si>
    <t>GRC</t>
  </si>
  <si>
    <t xml:space="preserve">1. סיווג נכסים לפי רמת קריטיות וחשיבות לתפקוד הארגון (NIST RA-2)
2. ביצוע ניתוח השפעה עסקית (BIA) לנכסים קריטיים (RA-2, CP-2)
3. הגדרת רמות סיווג (גבוה/בינוני/נמוך) לנכסים (RA-2)
4. תיעוד ועדכון סיווג נכסים בעקבות שינויים (RA-2, CM-8)</t>
  </si>
  <si>
    <t>IDN-03</t>
  </si>
  <si>
    <t>מיפוי תהליכים עסקיים קריטיים ותלויותיהם</t>
  </si>
  <si>
    <t>היעדר מיפוי תהליכים עסקיים קריטיים ותלויותיהם עלול לגרום לאי-זיהוי נקודות כשל בודדות (SPOF), כשל בתעדוף התאוששות ופגיעה בהמשכיות העסקית</t>
  </si>
  <si>
    <t>ארכיטקט</t>
  </si>
  <si>
    <t xml:space="preserve">1. מיפוי תהליכים עסקיים קריטיים וזיהוי תלויות טכנולוגיות (NIST PM-11, CP-2)
2. ביצוע ניתוח השפעה עסקית (BIA) לתהליכים מרכזיים (CP-2)
3. זיהוי נקודות כשל בודדות (SPOF) בתהליכים (CP-2, SA-14)
4. תיעוד מפת תלויות ועדכונה תקופתי (PM-11, PL-2)</t>
  </si>
  <si>
    <t>IDN-04</t>
  </si>
  <si>
    <t>מיפוי זרימות מידע, ממשקים ונקודות חיבור לאינטרנט</t>
  </si>
  <si>
    <t>היעדר מיפוי זרימות מידע, ממשקים ונקודות חיבור לאינטרנט עלול לחשוף נתיבי תקיפה בלתי מנוטרים, לאפשר דלף מידע דרך ממשקים לא מוגנים ולהקשות על בלימת אירוע</t>
  </si>
  <si>
    <t xml:space="preserve">1. מיפוי מלא של זרימות מידע בין מערכות, ממשקים ונקודות חיבור (NIST AC-4, PL-2)
2. תיעוד כל נקודות החיבור לאינטרנט ולרשתות חיצוניות (CA-3, SA-9)
3. סקירה ואישור של כל ממשק חדש לפני הפעלתו (CA-3)
4. ניטור זרימות מידע חריגות ועדכון מפת הממשקים (AC-4, CM-8)</t>
  </si>
  <si>
    <t>IDN-05</t>
  </si>
  <si>
    <t>מיפוי משתמשים, הרשאות ובעלי גישה לנכסים</t>
  </si>
  <si>
    <t>היעדר מיפוי משתמשים והרשאות עלול לאפשר גישה בלתי מורשית לנכסים, הצטברות הרשאות עודפות (privilege creep) וחוסר יכולת לזהות שימוש לרעה בחשבונות</t>
  </si>
  <si>
    <t xml:space="preserve">1. מיפוי כלל המשתמשים, תפקידיהם והרשאותיהם בכל מערכת (NIST AC-2)
2. ביצוע סקירת הרשאות (access review) תקופתית (AC-2(13))
3. זיהוי וטיפול בהרשאות עודפות ובחשבונות יתומים (AC-2(3))
4. תיעוד מטריצת הרשאות ובעלי גישה לנכסים קריטיים (AC-2, AC-6)</t>
  </si>
  <si>
    <t>IDN-06</t>
  </si>
  <si>
    <t>זיהוי איום הייחוס (תוקף רלוונטי) ותרחישי תקיפה</t>
  </si>
  <si>
    <t>היעדר זיהוי איום ייחוס ותרחישי תקיפה עלול לגרום להגנה שאינה מותאמת לאיומים הרלוונטיים, חוסר מוכנות לתרחישי תקיפה סבירים ובזבוז משאבים על איומים לא רלוונטיים</t>
  </si>
  <si>
    <t xml:space="preserve">1. ביצוע ניתוח איום ייחוס (threat modeling) רלוונטי לארגון (NIST RA-3, RA-5)
2. מיפוי תוקפים רלוונטיים, יכולותיהם ומוטיבציות (RA-3(1))
3. בניית תרחישי תקיפה מבוססי MITRE ATT&amp;CK (RA-3)
4. עדכון פרופיל האיום בהתאם למודיעין סייבר שוטף (PM-16, RA-3)</t>
  </si>
  <si>
    <t>IDN-07</t>
  </si>
  <si>
    <t>מיפוי פערי הגנה מול תרחישי התקיפה הרלוונטיים</t>
  </si>
  <si>
    <t>היעדר מיפוי פערי הגנה מול תרחישי תקיפה עלול להותיר נתיבי תקיפה פתוחים, חשיפה לא מזוהה ביכולות ההגנה וכשל במענה לתקיפות ידועות</t>
  </si>
  <si>
    <t xml:space="preserve">1. ביצוע ניתוח פערים (gap analysis) בין תרחישי תקיפה ליכולות ההגנה (NIST CA-2, RA-3)
2. מיפוי בקרות חסרות או חלקיות מול MITRE ATT&amp;CK (CA-2)
3. תעדוף פערים לפי רמת סיכון וסבירות (RA-3, PM-9)
4. בניית תוכנית פעולה (POA&amp;M) לסגירת פערים (CA-5)</t>
  </si>
  <si>
    <t>PRA-01</t>
  </si>
  <si>
    <t>הגנה — גישה וזהות</t>
  </si>
  <si>
    <t>PRA</t>
  </si>
  <si>
    <t>ניהול זהויות והרשאות לאורך מחזור החיים (JML)</t>
  </si>
  <si>
    <t>היעדר ניהול זהויות והרשאות לאורך מחזור החיים עלול לאפשר חשבונות יתומים, הרשאות עודפות לעובדים שעזבו וניצול חשבונות לא מנוהלים כווקטור תקיפה</t>
  </si>
  <si>
    <t xml:space="preserve">1. הטמעת תהליך Joiner-Mover-Leaver לניהול מחזור חיי זהויות (NIST AC-2)
2. ביטול אוטומטי של חשבונות בעת עזיבה/העברת תפקיד (AC-2(2), AC-2(3))
3. שימוש במערכת IAM מרכזית לניהול זהויות (IA-4, IA-5)
4. סקירה תקופתית של חשבונות פעילים וביטול חשבונות לא פעילים (AC-2(3), AC-2(13))</t>
  </si>
  <si>
    <t>קל</t>
  </si>
  <si>
    <t>PRA-02</t>
  </si>
  <si>
    <t>אכיפת עקרון הרשאות מינימום (least privilege)</t>
  </si>
  <si>
    <t>אי-אכיפת עקרון הרשאות מינימום עלולה לאפשר לתוקף שפרץ לחשבון אחד להגיע למשאבים קריטיים, להרחיב נזק מאירוע בודד ולהקשות על בלימת מתקפה</t>
  </si>
  <si>
    <t xml:space="preserve">1. יישום עקרון least privilege בכל מערכת ואפליקציה (NIST AC-6)
2. הגבלת גישה לפי תפקיד (RBAC) עם הרשאות מינימליות (AC-6(1))
3. ביטול הרשאות ברירת מחדל עודפות (AC-6(2))
4. סקירת הרשאות תקופתית וצמצום הרשאות עודפות (AC-6(7), AC-2(13))</t>
  </si>
  <si>
    <t>בינוני</t>
  </si>
  <si>
    <t>PRA-03</t>
  </si>
  <si>
    <t>אימות רב-גורמי (MFA) לגישות מרחוק ולחשבונות רגישים</t>
  </si>
  <si>
    <t>היעדר אימות רב-גורמי (MFA) עלול לאפשר גישה למערכות רגישות באמצעות סיסמה גנובה בלבד, פריצה דרך תקיפת פישינג ואובדן שליטה על חשבונות בעלי הרשאה גבוהה</t>
  </si>
  <si>
    <t xml:space="preserve">1. הטמעת MFA לכל גישה מרחוק ולמערכות קריטיות (NIST IA-2(1), IA-2(2))
2. חסימת גישת VPN וגישה מרחוק ללא MFA (IA-2(6))
3. אכיפת MFA על חשבונות בעלי הרשאה גבוהה (IA-2(1))
4. שימוש בגורמי אימות עמידים (FIDO2/authenticator app) ולא SMS (IA-2(6))</t>
  </si>
  <si>
    <t>כן</t>
  </si>
  <si>
    <t>PRA-04</t>
  </si>
  <si>
    <t>ניהול והגנה על חשבונות הרשאה גבוהה (PAM)</t>
  </si>
  <si>
    <t>היעדר ניהול חשבונות הרשאה גבוהה (PAM) עלול לאפשר שימוש לרעה בהרשאות אדמין, היעדר מעקב על פעולות מיוחסות ותנועה רוחבית חופשית של תוקף ברשת</t>
  </si>
  <si>
    <t xml:space="preserve">1. הטמעת פתרון PAM לניהול חשבונות הרשאה גבוהה (NIST AC-2(7), AC-6(5))
2. אחסון סיסמאות אדמין בכספת סיסמאות מוצפנת (IA-5(7))
3. הקלטת ומעקב אחר כל session של חשבון מיוחס (AC-2(4), AU-12)
4. הגבלת שימוש בחשבונות אדמין למשימות ניהוליות בלבד (AC-6(5))</t>
  </si>
  <si>
    <t>PRA-05</t>
  </si>
  <si>
    <t>מדיניות סיסמאות חזקה ואיסור סיסמאות ברירת מחדל</t>
  </si>
  <si>
    <t>מדיניות סיסמאות חלשה או שימוש בסיסמאות ברירת מחדל עלולים לאפשר פריצה באמצעות brute-force, ניצול credential stuffing והשתלטות על מערכות עם סיסמאות צפויות</t>
  </si>
  <si>
    <t xml:space="preserve">1. הגדרת מדיניות סיסמאות חזקה — אורך, מורכבות וחילוף (NIST IA-5(1))
2. חסימת סיסמאות נפוצות ומילוניות (IA-5(1)(a))
3. ביטול סיסמאות ברירת מחדל בכל מערכת וציוד (IA-5(1), CM-6)
4. שימוש בכלי בדיקת חוזק סיסמאות ומעקב אחר דליפות (IA-5(2))</t>
  </si>
  <si>
    <t>PRA-06</t>
  </si>
  <si>
    <t>הפרדת תפקידים (SoD) במערכות קריטיות</t>
  </si>
  <si>
    <t>היעדר הפרדת תפקידים (SoD) עלול לאפשר לגורם יחיד לבצע פעולות הונאה ללא בקרה, לשנות הגדרות אבטחה ולמחוק עקבות ללא פיקוח</t>
  </si>
  <si>
    <t xml:space="preserve">1. הגדרת מטריצת הפרדת תפקידים (SoD) במערכות קריטיות (NIST AC-5)
2. מניעת ריכוז הרשאות סותרות באותו משתמש (AC-5)
3. אכיפה טכנולוגית של SoD במערכות ERP ותשתית (AC-5, AC-6)
4. סקירה תקופתית לאיתור הפרות SoD ותיקונן (AC-5, AC-2(13))</t>
  </si>
  <si>
    <t>PRN-01</t>
  </si>
  <si>
    <t>הגנה — רשת ותשתית</t>
  </si>
  <si>
    <t>PRN</t>
  </si>
  <si>
    <t>סגמנטציה והפרדת רשתות לפי רמות אמון</t>
  </si>
  <si>
    <t>היעדר סגמנטציה והפרדת רשתות עלול לאפשר תנועה רוחבית חופשית של תוקף, התפשטות כופרה (ransomware) בכלל הרשת וגישה לנכסים קריטיים ממגזר שנפרץ</t>
  </si>
  <si>
    <t xml:space="preserve">1. ביצוע סגמנטציה פיזית/לוגית בין רשתות לפי רמות אמון (NIST SC-7, SC-7(21))
2. הגדרת VLANs, zones ו-trust boundaries (SC-7(22))
3. שימוש ב-micro-segmentation לנכסים קריטיים (SC-7(29))
4. חסימת תעבורה בין מגזרים אלא אם הותרה מפורשות (SC-7, AC-4)</t>
  </si>
  <si>
    <t>PRN-02</t>
  </si>
  <si>
    <t>הגנת היקף — Firewall/NGFW ומדיניות deny-by-default</t>
  </si>
  <si>
    <t>היעדר הגנת היקף ומדיניות deny-by-default עלולים לאפשר תעבורה זדונית, גישה בלתי מורשית מהאינטרנט וניצול שירותים חשופים כווקטורי תקיפה ראשוניים</t>
  </si>
  <si>
    <t xml:space="preserve">1. הטמעת NGFW עם מדיניות deny-by-default בכל נקודות הגבול (NIST SC-7)
2. הגדרת חוקי Firewall מינימליים ומפורשים (SC-7(5))
3. סקירה תקופתית של חוקי Firewall והסרת חוקים מיותרים (SC-7(4))
4. ניטור והתרעה על תעבורה חסומה וחריגה (SC-7(9), SI-4)</t>
  </si>
  <si>
    <t>PRN-03</t>
  </si>
  <si>
    <t>מערכות מניעת חדירות (IPS) בנקודות הגבול</t>
  </si>
  <si>
    <t>היעדר מערכות IPS בנקודות הגבול עלול לאפשר חדירת תעבורה זדונית, ניצול חולשות ידועות מבחוץ ותקשורת C2 (פיקוד ושליטה) ללא חסימה</t>
  </si>
  <si>
    <t xml:space="preserve">1. הטמעת IPS/IDS בנקודות הגבול ובין מגזרי רשת (NIST SI-4, SC-7)
2. עדכון חתימות IPS באופן שוטף ואוטומטי (SI-4(2))
3. כיול חוקי IPS למניעת false positives/negatives (SI-4(5))
4. שילוב התראות IPS עם מערכת SIEM לתגובה מהירה (SI-4(16))</t>
  </si>
  <si>
    <t>PRN-04</t>
  </si>
  <si>
    <t>הגנה מפני מניעת שירות (DoS/DDoS)</t>
  </si>
  <si>
    <t>היעדר הגנה מפני DoS/DDoS עלול לגרום להשבתת שירותים קריטיים, אובדן זמינות מערכות ופגיעה כלכלית ותדמיתית כתוצאה מהצפת משאבי הרשת</t>
  </si>
  <si>
    <t xml:space="preserve">1. הטמעת פתרון הגנה מפני DDoS (on-prem או cloud-based) (NIST SC-5)
2. הגדרת ספי עומס (rate limiting) וחסימת תעבורה חריגה (SC-5)
3. תכנון יתירות (redundancy) בקישוריות אינטרנט (SC-5, CP-8)
4. הגדרת נהלי תגובה ייעודיים לאירועי DDoS (IR-4, SC-5)</t>
  </si>
  <si>
    <t>PRN-05</t>
  </si>
  <si>
    <t>אבטחת גישה מרחוק ו-VPN מוקשח</t>
  </si>
  <si>
    <t>חולשות באבטחת גישה מרחוק ו-VPN עלולות לאפשר לתוקף חיצוני לחדור לרשת הפנימית, ליירט תעבורה מוצפנת או לנצל תצורה שגויה לגישה בלתי מורשית</t>
  </si>
  <si>
    <t xml:space="preserve">1. הקשחת שירות VPN — פרוטוקולים חזקים, הצפנה מעודכנת (NIST SC-8, SC-12, SC-13)
2. אכיפת MFA על כל חיבור VPN (IA-2(1), IA-2(6))
3. הגבלת גישת VPN לפי תפקיד ונכסים נדרשים בלבד (AC-4, AC-17)
4. ניטור חיבורי VPN ואיתור התנהגות חריגה (AC-17(1), SI-4)</t>
  </si>
  <si>
    <t>PRN-06</t>
  </si>
  <si>
    <t>הקשחת תצורת ציוד רשת לפי best practices</t>
  </si>
  <si>
    <t>היעדר הקשחת ציוד רשת עלולה לאפשר ניצול הגדרות ברירת מחדל, השתלטות על ציוד תשתיתי (נתבים, מתגים) והפניית תעבורה לשרתי תוקף</t>
  </si>
  <si>
    <t xml:space="preserve">1. הקשחת ציוד רשת (נתבים, מתגים, AP) לפי CIS Benchmarks (NIST CM-6, CM-7)
2. ביטול שירותים, פורטים ופרוטוקולים לא נדרשים (CM-7)
3. שימוש ב-SNMPv3, ביטול telnet ושימוש ב-SSH בלבד (SC-8, CM-6)
4. גיבוי תצורות ובקרת שינויים על ציוד רשת (CM-3, CM-6)</t>
  </si>
  <si>
    <t>PRN-07</t>
  </si>
  <si>
    <t>הגנה והקשחת שירותי DNS</t>
  </si>
  <si>
    <t>היעדר הגנה והקשחת DNS עלולים לאפשר מתקפות DNS poisoning/spoofing, הפניית משתמשים לאתרים זדוניים ויירוט תעבורה באמצעות שליטה בתשובות DNS</t>
  </si>
  <si>
    <t xml:space="preserve">1. הקשחת שרתי DNS — הגבלת zone transfer, ביטול רקורסיה מיותרת (NIST SC-20, SC-21)
2. הטמעת DNSSEC לאימות תשובות DNS (SC-20)
3. שימוש ב-DNS sinkhole לחסימת דומיינים זדוניים (SC-20, SC-7)
4. ניטור שאילתות DNS חריגות לזיהוי DNS tunneling ו-C2 (SI-4, SC-7)</t>
  </si>
  <si>
    <t>PRE-01</t>
  </si>
  <si>
    <t>הגנה — קצה ושרתים</t>
  </si>
  <si>
    <t>PRE</t>
  </si>
  <si>
    <t>הקשחת תחנות קצה ושרתים (baseline/CIS)</t>
  </si>
  <si>
    <t>היעדר הקשחת תחנות קצה ושרתים עלולה לאפשר ניצול הגדרות חלשות, הרצת קוד זדוני ושימוש בשירותים מיותרים כנקודות כניסה לתוקף</t>
  </si>
  <si>
    <t xml:space="preserve">1. הקשחת תחנות קצה ושרתים לפי CIS Benchmarks / STIG (NIST CM-6, CM-7)
2. ביטול שירותים ופורטים לא נדרשים (CM-7(1))
3. הפעלת host-based firewall בכל תחנה ושרת (SC-7(12))
4. שימוש ב-GPO/MDM לאכיפת תצורות אחידות (CM-6, CM-2)</t>
  </si>
  <si>
    <t>מורכב</t>
  </si>
  <si>
    <t>PRE-02</t>
  </si>
  <si>
    <t>הגנת קצה מתקדמת (EDR/AV) ומניעת קוד זדוני</t>
  </si>
  <si>
    <t>היעדר הגנת קצה מתקדמת (EDR/AV) עלול לאפשר הרצת קוד זדוני, כופרה ותוכנות ריגול ללא זיהוי, ופעילות תוקף בלתי מזוהה בתחנות הקצה</t>
  </si>
  <si>
    <t xml:space="preserve">1. הטמעת פתרון EDR/AV מתקדם בכל תחנה ושרת (NIST SI-3, SI-4)
2. אכיפת עדכון חתימות אוטומטי ורציף (SI-3(1))
3. הפעלת יכולות behavioral detection וזיכרון (SI-3, SI-4)
4. שילוב התראות EDR עם SIEM לתגובה מהירה (SI-4(16), IR-4)</t>
  </si>
  <si>
    <t>USD</t>
  </si>
  <si>
    <t>PRE-03</t>
  </si>
  <si>
    <t>ניהול עדכוני אבטחה (patching) לפי חומרה ו-SLA</t>
  </si>
  <si>
    <t>היעדר ניהול עדכוני אבטחה (patching) עלול להותיר חולשות ידועות (CVE) פתוחות לניצול, לאפשר תקיפות אוטומטיות ולחשוף את הארגון למתקפות zero-day+1</t>
  </si>
  <si>
    <t xml:space="preserve">1. הגדרת מדיניות patching עם SLA לפי חומרת פגיעות (NIST SI-2)
2. סריקה ויישום עדכונים קריטיים תוך 72 שעות (SI-2(2))
3. בדיקת עדכונים בסביבת בדיקה לפני יישום בייצור (SI-2, CM-3)
4. מעקב ודיווח על מצב patching ואחוזי כיסוי (SI-2, CM-8)</t>
  </si>
  <si>
    <t>PRE-04</t>
  </si>
  <si>
    <t>ניהול פגיעויות וסריקות תקופתיות</t>
  </si>
  <si>
    <t>היעדר ניהול פגיעויות וסריקות תקופתיות עלול להותיר חולשות בלתי מזוהות במערכות, להגדיל את משטח התקיפה ולאפשר לתוקפים לנצל פגיעויות שלא תוקנו</t>
  </si>
  <si>
    <t xml:space="preserve">1. ביצוע סריקות פגיעויות תקופתיות (לפחות חודשיות) בכל המערכות (NIST RA-5)
2. שימוש בכלי סריקה מאושרים ומעודכנים (RA-5(2))
3. תעדוף טיפול בפגיעויות לפי CVSS וקריטיות הנכס (RA-5(3))
4. מעקב אחר סגירת פגיעויות ודיווח תקופתי (RA-5, CA-5)</t>
  </si>
  <si>
    <t>PRE-05</t>
  </si>
  <si>
    <t>מניעת הרצת תוכנה לא מורשית (allow-listing)</t>
  </si>
  <si>
    <t>היעדר מניעת הרצת תוכנה לא מורשית עלול לאפשר הרצת כלי תקיפה, כופרה ותוכנות ריגול על תחנות קצה ושרתים, תוך עקיפת בקרות אבטחה קיימות</t>
  </si>
  <si>
    <t xml:space="preserve">1. הטמעת application whitelisting / allow-listing בתחנות ושרתים (NIST CM-7(5))
2. חסימת הרצת קבצי הפעלה ממיקומים לא מורשים (CM-7(5))
3. ניהול רשימה לבנה מעודכנת של תוכנות מאושרות (CM-7(5), CM-8)
4. ניטור והתרעה על ניסיונות הרצת תוכנה לא מורשית (SI-4, AU-12)</t>
  </si>
  <si>
    <t>PRE-06</t>
  </si>
  <si>
    <t>אבטחת תצורה והקשחה של מערכות הפעלה ויישומים</t>
  </si>
  <si>
    <t>היעדר הקשחת מערכות הפעלה ויישומים עלולה לחשוף את הארגון לניצול הגדרות ברירת מחדל, שירותים פגיעים פתוחים ומשטח תקיפה מורחב</t>
  </si>
  <si>
    <t xml:space="preserve">1. הקשחת מערכות הפעלה ויישומים לפי תקני CIS/STIG (NIST CM-6, CM-7)
2. השבתת שירותים ותכונות שאינם בשימוש (CM-7)
3. אכיפת תצורות baseline מאושרות (CM-2, CM-6)
4. סריקות ציות תקופתיות לאימות עמידה ב-baseline (CM-6, CA-7)</t>
  </si>
  <si>
    <t>PRD-01</t>
  </si>
  <si>
    <t>הגנה — מידע</t>
  </si>
  <si>
    <t>PRD</t>
  </si>
  <si>
    <t>הצפנת מידע רגיש במנוחה (at-rest)</t>
  </si>
  <si>
    <t>היעדר הצפנת מידע רגיש במנוחה עלול לאפשר גישה למידע רגיש במקרה של גניבת דיסקים, גיבויים או גישה פיזית בלתי מורשית לשרתים</t>
  </si>
  <si>
    <t xml:space="preserve">1. הצפנת מידע רגיש במנוחה באמצעות AES-256 או חזק יותר (NIST SC-28)
2. הצפנת דיסקים מלאים (FDE) בתחנות ניידות (SC-28(1))
3. הצפנת בסיסי נתונים המכילים מידע רגיש (SC-28)
4. ניהול מפתחות הצפנה בהתאם למדיניות (SC-12)</t>
  </si>
  <si>
    <t>קבלת הסיכון</t>
  </si>
  <si>
    <t>PRD-02</t>
  </si>
  <si>
    <t>הצפנת מידע בתעבורה (in-transit, TLS/IPsec)</t>
  </si>
  <si>
    <t>היעדר הצפנת מידע בתעבורה עלול לאפשר יירוט (sniffing) של מידע רגיש ברשת, מתקפות Man-in-the-Middle וחשיפת אישורי גישה בתעבורה גלויה</t>
  </si>
  <si>
    <t xml:space="preserve">1. אכיפת TLS 1.2+ בכל תעבורה חיצונית ופנימית רגישה (NIST SC-8, SC-8(1))
2. שימוש ב-IPsec לתעבורה בין אתרים (SC-8)
3. ביטול פרוטוקולים לא מוצפנים (HTTP, FTP, Telnet) (SC-8(1))
4. ניטור שימוש בגרסאות הצפנה חלשות או פגות (SC-13, SI-4)</t>
  </si>
  <si>
    <t>PRD-03</t>
  </si>
  <si>
    <t>מניעת דליפת מידע (DLP)</t>
  </si>
  <si>
    <t>היעדר מנגנוני DLP עלול לאפשר דליפת מידע רגיש לגורמים חיצוניים דרך דוא"ל, אחסון ענן לא מורשה, התקנים ניידים או העלאה לאתרים חיצוניים</t>
  </si>
  <si>
    <t xml:space="preserve">1. הטמעת פתרון DLP בנקודות קצה, רשת ודוא"ל (NIST AC-4, SC-7(10))
2. הגדרת מדיניות DLP מבוססת סיווג מידע (AC-4, MP-4)
3. חסימת/התרעה על העברת מידע רגיש לערוצים לא מורשים (AC-4(4))
4. ניטור תנועת מידע רגיש ודיווח על חריגות (AU-12, AC-4)</t>
  </si>
  <si>
    <t>PRD-04</t>
  </si>
  <si>
    <t>ניהול מפתחות הצפנה ותעודות</t>
  </si>
  <si>
    <t>ניהול לקוי של מפתחות הצפנה ותעודות עלול לגרום לחשיפת מפתחות, שימוש בתעודות פגות תוקף, כשל בהצפנה ואובדן יכולת פענוח מידע מוצפן</t>
  </si>
  <si>
    <t xml:space="preserve">1. הטמעת מערכת ניהול מפתחות (KMS) מרכזית (NIST SC-12)
2. הגדרת מדיניות מחזור חיי מפתחות — יצירה, הפצה, רוטציה וביטול (SC-12(1))
3. אחסון מפתחות ב-HSM או בכספת מוגנת (SC-12(2))
4. ניטור תוקף תעודות דיגיטליות והחלפתן לפני פקיעה (SC-12, SC-17)</t>
  </si>
  <si>
    <t>PRD-05</t>
  </si>
  <si>
    <t>סיווג מידע ובקרת גישה מבוססת סיווג</t>
  </si>
  <si>
    <t>היעדר סיווג מידע ובקרת גישה מבוססת סיווג עלולים לגרום לגישה בלתי מורשית למידע רגיש, חוסר יכולת לאכוף מדיניות הגנה דיפרנציאלית וחשיפת מידע מסווג</t>
  </si>
  <si>
    <t xml:space="preserve">1. הגדרת מדיניות סיווג מידע ארגונית (NIST RA-2, MP-4)
2. סימון נכסי מידע ברמת הסיווג המתאימה (MP-3, RA-2)
3. יישום בקרת גישה מבוססת סיווג (MAC/RBAC) (AC-3(3), AC-16)
4. הגבלת הפצת מידע מסווג לגורמים מורשים בלבד (AC-4, AC-3)</t>
  </si>
  <si>
    <t>DET-01</t>
  </si>
  <si>
    <t>גילוי וניטור</t>
  </si>
  <si>
    <t>DET</t>
  </si>
  <si>
    <t>איסוף לוגים מרכזי מנכסים קריטיים (SIEM)</t>
  </si>
  <si>
    <t>היעדר איסוף לוגים מרכזי (SIEM) עלול לגרום לאי-זיהוי מתקפות בזמן אמת, חוסר יכולת לבצע חקירה דיגיטלית ואובדן ראיות לזיהוי ובלימת אירוע</t>
  </si>
  <si>
    <t xml:space="preserve">1. הטמעת מערכת SIEM לאיסוף ושימור לוגים מרכזי (NIST AU-6, SI-4)
2. חיבור כל הנכסים הקריטיים לאיסוף לוגים (AU-2, AU-3)
3. הגדרת retention policy ללוגים (לפחות 12 חודשים) (AU-11)
4. הגדרת כללי קורלציה והתראות על אירועים חשודים (AU-6(1), SI-4(16))</t>
  </si>
  <si>
    <t>DET-02</t>
  </si>
  <si>
    <t>ניטור רציף ואיתור אנומליות ברשת ובקצה (NDR/EDR)</t>
  </si>
  <si>
    <t>היעדר ניטור רציף ואיתור אנומליות עלול לאפשר לתוקף לפעול ברשת ללא זיהוי לאורך זמן (dwell time ממושך), להרחיב אחיזה ולגנוב מידע ללא התראה</t>
  </si>
  <si>
    <t xml:space="preserve">1. הטמעת פתרון NDR לניטור תעבורת רשת ואיתור אנומליות (NIST SI-4, SI-4(4))
2. שילוב EDR עם SIEM לניטור קצה-רשת משולב (SI-4(16))
3. הגדרת baselines להתנהגות רגילה וזיהוי סטיות (SI-4(11))
4. ניטור 24/7 של תעבורה חשודה, C2 ותנועה רוחבית (SI-4, AC-4)</t>
  </si>
  <si>
    <t>הושלם</t>
  </si>
  <si>
    <t>DET-03</t>
  </si>
  <si>
    <t>הגדרת תרחישי גילוי (use-cases) מבוססי איום ייחוס</t>
  </si>
  <si>
    <t>היעדר תרחישי גילוי (use-cases) עלול לגרום להתראות לא רלוונטיות (false positives), אי-זיהוי תרחישי תקיפה ידועים וכשל בגילוי מוקדם של מתקפות ממוקדות</t>
  </si>
  <si>
    <t xml:space="preserve">1. פיתוח use-cases מבוססי MITRE ATT&amp;CK לזיהוי טכניקות תקיפה (NIST SI-4(5), RA-3)
2. הגדרת כללי גילוי ייעודיים לתרחישי איום רלוונטיים (SI-4, AU-6)
3. בדיקת אפקטיביות ה-use-cases באופן תקופתי (CA-2, CA-8)
4. עדכון use-cases בהתאם לשינויים בנוף האיומים (SI-4(5), PM-16)</t>
  </si>
  <si>
    <t>DET-04</t>
  </si>
  <si>
    <t>מרכז ניטור ותגובה (SOC) פעיל ומאויש</t>
  </si>
  <si>
    <t>היעדר מרכז ניטור (SOC) פעיל עלול לגרום לאי-זיהוי אירועי אבטחה בזמן אמת, עיכוב משמעותי בתגובה לאירועים והגדלת הנזק עקב חוסר מענה מידי</t>
  </si>
  <si>
    <t xml:space="preserve">1. הקמת SOC פעיל ומאויש 24/7 (פנימי או שירות MSSP) (NIST IR-4, SI-4)
2. הגדרת תהליכי עבודה, סמכויות וניתוב אירועים (IR-4, IR-1)
3. הכשרת צוות SOC בזיהוי וניתוח אירועים (AT-3, IR-2)
4. מדידת ביצועי SOC — MTTD, MTTR ושיעורי false positive (PM-14, CA-7)</t>
  </si>
  <si>
    <t>DET-05</t>
  </si>
  <si>
    <t>שילוב מודיעין סייבר (CTI) בתהליכי הגילוי</t>
  </si>
  <si>
    <t>היעדר שילוב מודיעין סייבר (CTI) עלול לגרום לאי-זיהוי IOCs ידועים, חוסר מודעות לקמפיינים פעילים כנגד הענף ותגובה איטית לאיומים מתפתחים</t>
  </si>
  <si>
    <t xml:space="preserve">1. רכישת/הפקת feed מודיעין סייבר (CTI) רלוונטי לענף (NIST PM-16, RA-3(3))
2. שילוב IOCs ו-IOAs במערכות SIEM, EDR ו-NGFW (PM-16, SI-4)
3. מנוי לשירותי CERT/CSIRT לאומיים וענפיים (PM-16)
4. שיתוף מודיעין עם ארגונים מקבילים (ISACs) (PM-16)</t>
  </si>
  <si>
    <t>DET-06</t>
  </si>
  <si>
    <t>הגנה על שלמות וזמינות לוגים ומקורות ניטור</t>
  </si>
  <si>
    <t>פגיעה בשלמות וזמינות הלוגים עלולה לאפשר לתוקף למחוק עקבות, להקשות על חקירה דיגיטלית ולגרום לאי-יכולת לשחזר את מהלך האירוע</t>
  </si>
  <si>
    <t xml:space="preserve">1. הגנה על שלמות לוגים באמצעות WORM storage או חתימה דיגיטלית (NIST AU-9)
2. הפרדת שרת לוגים מהרשת התפעולית (AU-9(2))
3. ניטור זמינות מקורות לוגים והתרעה על הפסקת איסוף (AU-9(4))
4. הגבלת גישה לממשקי ניהול לוגים לגורמים מורשים בלבד (AU-9, AC-6)</t>
  </si>
  <si>
    <t>DET-07</t>
  </si>
  <si>
    <t>ניטור פעילות ספקים וגורמי צד ג' ברשת</t>
  </si>
  <si>
    <t>היעדר ניטור פעילות ספקים וצד ג' עלול לאפשר גישה בלתי מורשית דרך חיבורי ספקים, מתקפת שרשרת אספקה (supply chain attack) ופעילות זדונית שאינה מנוטרת</t>
  </si>
  <si>
    <t xml:space="preserve">1. חיבור גישות ספקים וצד ג' לניטור SIEM (NIST SI-4, AC-17)
2. הגבלת גישת ספקים לחלונות זמן מוגדרים ונכסים ספציפיים (AC-17(1), SA-9)
3. ביצוע סקירת לוגים של פעולות ספקים ברשת (AU-6, AU-12)
4. חסימת גישת ספקים כברירת מחדל — מתן גישה רק לפי צורך (AC-17(2), PS-7)</t>
  </si>
  <si>
    <t>RSP-01</t>
  </si>
  <si>
    <t>תגובה לאירוע</t>
  </si>
  <si>
    <t>RSP</t>
  </si>
  <si>
    <t>נוהל וצוות תגובה לאירועי סייבר (IR) מוגדרים</t>
  </si>
  <si>
    <t>היעדר נוהל וצוות תגובה לאירועים (IR) עלול לגרום לתגובה כאוטית באירוע סייבר, עיכוב בבלימה, החמרת הנזק ואובדן מידע קריטי</t>
  </si>
  <si>
    <t xml:space="preserve">1. הגדרת נוהל תגובה לאירועים (IRP) מתועד ומאושר (NIST IR-1, IR-8)
2. מינוי צוות CSIRT עם תפקידים ואחריות מוגדרים (IR-2, IR-10)
3. הגדרת ערוצי תקשורת ואמצעי הפעלה חירום (IR-4(10))
4. עדכון ה-IRP לפחות אחת לשנה ובעקבות כל אירוע מהותי (IR-1, IR-8)</t>
  </si>
  <si>
    <t>RSP-02</t>
  </si>
  <si>
    <t>ספרי משחק (playbooks) לתרחישי תקיפה מרכזיים</t>
  </si>
  <si>
    <t>היעדר ספרי משחק (playbooks) עלול לגרום לתגובה בלתי אחידה, עיכובים בקבלת החלטות תחת לחץ ושגיאות אנוש במהלך טיפול באירוע סייבר קריטי</t>
  </si>
  <si>
    <t xml:space="preserve">1. פיתוח playbooks לתרחישי תקיפה מרכזיים — ransomware, phishing, DDoS, data breach (NIST IR-4, IR-5)
2. שילוב playbooks עם כלי SOAR לאוטומציה (IR-4(1))
3. בדיקה ותרגול של playbooks בתרגילים תקופתיים (IR-3)
4. עדכון playbooks על בסיס לקחים מאירועים ותרגילים (IR-4, IR-6)</t>
  </si>
  <si>
    <t>RSP-03</t>
  </si>
  <si>
    <t>סיווג, תיעדוף והסלמה של אירועים</t>
  </si>
  <si>
    <t>היעדר תהליך סיווג, תיעדוף והסלמה עלול לגרום לאי-טיפול באירועים קריטיים בזמן, הצפת צוות ה-SOC באירועים לא מתועדפים ופספוס חלון זמן לבלימה</t>
  </si>
  <si>
    <t xml:space="preserve">1. הגדרת מטריצת סיווג אירועים לפי חומרה והשפעה (NIST IR-4, IR-5)
2. הגדרת נתיבי הסלמה ברורים לכל רמת חומרה (IR-4(3))
3. שימוש ב-SIEM לתיעדוף אוטומטי על בסיס קורלציה (IR-4(1), SI-4)
4. תיעוד כל אירוע במערכת ניהול אירועים (ticketing) (IR-5, IR-6)</t>
  </si>
  <si>
    <t>RSP-04</t>
  </si>
  <si>
    <t>בלימה (containment) ונטרול (eradication) של אירוע</t>
  </si>
  <si>
    <t>היעדר יכולת בלימה (containment) ונטרול עלול לאפשר התפשטות מתקפה לכלל הרשת, המשך דלף מידע והרחבת הנזק ממתקפה שאינה נבלמת בזמן</t>
  </si>
  <si>
    <t xml:space="preserve">1. הגדרת אסטרטגיות בלימה לפי סוג אירוע — בידוד רשת, חסימת חשבון, ניתוק מערכת (NIST IR-4)
2. הכנת כלים מוכנים מראש לבלימה מהירה (IR-4(3))
3. הגדרת תהליך eradication — הסרת קוד זדוני, שחזור ממקור נקי (IR-4)
4. אימות שלמות מערכות לאחר נטרול לפני חזרה לייצור (IR-4, SI-7)</t>
  </si>
  <si>
    <t>RSP-05</t>
  </si>
  <si>
    <t>דיווח אירוע למערך הסייבר ולגורמים הרלוונטיים</t>
  </si>
  <si>
    <t>היעדר דיווח אירוע למערך הסייבר ולגורמים רלוונטיים עלול לגרום להפרת חובת דיווח רגולטורית, חוסר תיאום עם גופי חירום ופספוס מידע מודיעיני קריטי</t>
  </si>
  <si>
    <t xml:space="preserve">1. הגדרת נוהל דיווח למערך הסייבר הלאומי בהתאם לרגולציה (NIST IR-6)
2. הגדרת חובות דיווח פנימיים להנהלה ובעלי עניין (IR-6(1))
3. תיעוד לוחות זמנים מחייבים לדיווח לפי סוג אירוע (IR-6)
4. הכנת תבניות דיווח מוכנות מראש לאירועים (IR-6, IR-5)</t>
  </si>
  <si>
    <t>RSP-06</t>
  </si>
  <si>
    <t>תרגול תגובה לאירועים תקופתי (table-top/live)</t>
  </si>
  <si>
    <t>היעדר תרגול תגובה לאירועים עלול לגרום לחוסר מוכנות בעת אירוע אמיתי, זמני תגובה ארוכים ותקלות בתיאום בין הצוותים</t>
  </si>
  <si>
    <t xml:space="preserve">1. קיום תרגילי table-top לפחות אחת לשנה עם צוותי ניהול וטכנולוגיה (NIST IR-3)
2. ביצוע תרגילים חיים (live drill) הכוללים סימולציית מתקפה (IR-3(2), CA-8)
3. שיתוף גורמים חיצוניים רלוונטיים בתרגילים (IR-3)
4. תיעוד ממצאים ויישום לקחים מכל תרגיל (IR-3, IR-4)</t>
  </si>
  <si>
    <t>RSP-07</t>
  </si>
  <si>
    <t>שמירת ראיות וחקירה דיגיטלית (forensics)</t>
  </si>
  <si>
    <t>היעדר יכולת שמירת ראיות וחקירה דיגיטלית (forensics) עלול לגרום לאובדן ראיות, חוסר יכולת לזהות את וקטור התקיפה ואי-יכולת לתמוך בהליכים משפטיים</t>
  </si>
  <si>
    <t xml:space="preserve">1. הגדרת נוהל שימור ראיות דיגיטליות (chain of custody) (NIST IR-4(4))
2. רכישת/שימוש בכלי forensics מאושרים לחקירה (IR-4(4))
3. הדרכת צוות IR בטכניקות forensics בסיסיות (AT-3, IR-4)
4. שמירת snapshot, images ו-memory dumps כראיות (IR-4(4), AU-9)</t>
  </si>
  <si>
    <t>RCV-01</t>
  </si>
  <si>
    <t>התאוששות</t>
  </si>
  <si>
    <t>RCV</t>
  </si>
  <si>
    <t>תוכנית התאוששות מאסון (DRP) לנכסים קריטיים</t>
  </si>
  <si>
    <t>היעדר תוכנית התאוששות מאסון (DRP) עלול לגרום להשבתה ממושכת של מערכות קריטיות, אובדן נתונים בלתי הפיך ופגיעה חמורה בהמשכיות העסקית</t>
  </si>
  <si>
    <t xml:space="preserve">1. גיבוש תוכנית DRP מתועדת לכל מערכת קריטית (NIST CP-2)
2. הגדרת סדר עדיפויות לשחזור מערכות לפי BIA (CP-2(8))
3. זיהוי אתר DR חלופי ותשתיות שחזור (CP-6, CP-7)
4. תרגול DRP לפחות אחת לשנה ועדכון התוכנית (CP-4, CP-2)</t>
  </si>
  <si>
    <t>RCV-02</t>
  </si>
  <si>
    <t>גיבויים תקופתיים מוגנים ומופרדים (3-2-1)</t>
  </si>
  <si>
    <t>היעדר גיבויים תקינים ומופרדים עלול לגרום לאובדן מוחלט של נתונים באירוע כופרה, מחיקה זדונית או כשל חומרה, ללא יכולת שחזור</t>
  </si>
  <si>
    <t xml:space="preserve">1. יישום מדיניות גיבוי 3-2-1 — שלושה עותקים, שני מדיות, אחד offsite (NIST CP-9)
2. הפרדת גיבויים מהרשת התפעולית (air-gap/immutable) (CP-9(8))
3. הצפנת גיבויים רגישים (CP-9, SC-28)
4. ניטור שלמות וזמינות גיבויים באופן אוטומטי (CP-9, CP-9(1))</t>
  </si>
  <si>
    <t>RCV-03</t>
  </si>
  <si>
    <t>בדיקות שחזור תקופתיות ואימות שלמות גיבויים</t>
  </si>
  <si>
    <t>אי-ביצוע בדיקות שחזור עלול לגרום לגילוי מאוחר שגיבויים פגומים או לא ניתנים לשחזור, דווקא ברגע הקריטי של אירוע שדורש התאוששות מיידית</t>
  </si>
  <si>
    <t xml:space="preserve">1. ביצוע בדיקות שחזור (restore tests) תקופתיות (לפחות רבעוניות) (NIST CP-4)
2. אימות שלמות נתונים משוחזרים מול מקור (CP-4(2))
3. תיעוד תוצאות בדיקות שחזור ותיקון תקלות שנמצאו (CP-4)
4. בדיקת שחזור מלא (full DR test) לפחות אחת לשנה (CP-4, CP-2)</t>
  </si>
  <si>
    <t>RCV-04</t>
  </si>
  <si>
    <t>יעדי זמן והיקף התאוששות (RTO/RPO) מוגדרים</t>
  </si>
  <si>
    <t>היעדר הגדרת יעדי RTO/RPO עלול לגרום לציפיות בלתי ריאליות של ההנהלה, תעדוף שגוי בשחזור מערכות ועיכובים קריטיים בחזרה לפעילות תקינה</t>
  </si>
  <si>
    <t xml:space="preserve">1. הגדרת יעדי RTO ו-RPO לכל מערכת קריטית בהתבסס על BIA (NIST CP-2)
2. אישור יעדי RTO/RPO ע"י ההנהלה ובעלי התהליכים (CP-2)
3. בדיקת יכולת עמידה ביעדים בתרגילי DR (CP-4)
4. התאמת ארכיטקטורת HA/DR ליעדים המוגדרים (CP-2(8), CP-7)</t>
  </si>
  <si>
    <t>RCV-05</t>
  </si>
  <si>
    <t>תוכנית המשכיות עסקית (BCP) משולבת</t>
  </si>
  <si>
    <t>היעדר תוכנית המשכיות עסקית (BCP) עלול לגרום לשיתוק תפעולי מלא באירוע סייבר חמור, אובדן הכנסות ופגיעה בשירות ללקוחות</t>
  </si>
  <si>
    <t xml:space="preserve">1. גיבוש תוכנית BCP משולבת המכסה תרחישי סייבר ותפעול (NIST CP-2)
2. שיתוף בעלי תהליכים עסקיים בפיתוח ואימות ה-BCP (CP-2, PM-11)
3. הגדרת תהליכי עבודה חלופיים (workarounds) לתקופת השבתה (CP-2)
4. תרגול BCP שנתי ועדכון בהתאם לשינויים (CP-4, CP-2)</t>
  </si>
  <si>
    <t>RCV-06</t>
  </si>
  <si>
    <t>הפקת לקחים ושיפור לאחר אירוע</t>
  </si>
  <si>
    <t>היעדר תהליך הפקת לקחים עלול לגרום להישנות אירועים דומים, אי-שיפור יכולות ההגנה והחמצת הזדמנות לחזק את עמידות הארגון</t>
  </si>
  <si>
    <t xml:space="preserve">1. ביצוע תהליך Lessons Learned מובנה לאחר כל אירוע סייבר (NIST IR-4(5))
2. תיעוד ממצאים, שורשי כשל והמלצות לשיפור (IR-4(5), IR-5)
3. מעקב אחר יישום ההמלצות עד לסגירתן (CA-5)
4. שיתוף לקחים עם צוותים רלוונטיים לשיפור מוכנות (IR-4, AT-3)</t>
  </si>
  <si>
    <t>AWR-01</t>
  </si>
  <si>
    <t>מודעות והדרכה</t>
  </si>
  <si>
    <t>AWR</t>
  </si>
  <si>
    <t>תוכנית הדרכה ומודעות סייבר לכלל העובדים</t>
  </si>
  <si>
    <t>היעדר תוכנית הדרכה ומודעות סייבר עלול להותיר עובדים חשופים לתקיפות הנדסה חברתית (פישינג, vishing), לחיצה על קישורים זדוניים ודלף מידע בשל חוסר מודעות</t>
  </si>
  <si>
    <t xml:space="preserve">1. הפעלת תוכנית הדרכת מודעות סייבר שנתית לכלל העובדים (NIST AT-2)
2. כיסוי נושאים: פישינג, הנדסה חברתית, סיסמאות, מידע רגיש (AT-2(2))
3. חובת השתתפות והשלמה עם מבחן ידע (AT-2)
4. מדידת אפקטיביות — שיעורי השלמה וציוני מבחנים (AT-2, PM-14)</t>
  </si>
  <si>
    <t>AWR-02</t>
  </si>
  <si>
    <t>הדרכות ייעודיות לבעלי תפקידים רגישים</t>
  </si>
  <si>
    <t>היעדר הדרכות ייעודיות לבעלי תפקידים רגישים עלול לגרום לטעויות אבטחה של מנהלי מערכות, מפתחים ובעלי הרשאות גבוהות — הגורמים לנזק הגדול ביותר בארגון</t>
  </si>
  <si>
    <t xml:space="preserve">1. הדרכות סייבר ייעודיות למנהלי מערכות, מפתחים ו-IT (NIST AT-3)
2. הדרכות ייעודיות להנהלה בכירה על ניהול סיכוני סייבר (AT-3)
3. הדרכות secure coding למפתחים (AT-3, SA-15)
4. הדרכות incident handling לצוותי SOC/IR (AT-3, IR-2)</t>
  </si>
  <si>
    <t>AWR-03</t>
  </si>
  <si>
    <t>תרגולי פישינג והעלאת מודעות תקופתיים</t>
  </si>
  <si>
    <t>היעדר תרגולי פישינג תקופתיים עלול להותיר את הארגון חשוף למתקפות דיוג מתוחכמות, ללא יכולת למדוד ולשפר את ערנות העובדים לאיומי הנדסה חברתית</t>
  </si>
  <si>
    <t xml:space="preserve">1. ביצוע קמפיינים מבוקרים של פישינג סימולטיבי (NIST AT-2(3))
2. הדרכה ממוקדת לעובדים שנפלו בסימולציה (AT-2(3))
3. מדידת שיפור — שיעורי לחיצה ודיווח לאורך זמן (AT-2(3), PM-14)
4. שימוש בתרחישים מגוונים: דוא"ל, SMS, שיחות טלפון (AT-2(3))</t>
  </si>
  <si>
    <t>SUP-01</t>
  </si>
  <si>
    <t>שרשרת אספקה וצד ג'</t>
  </si>
  <si>
    <t>SUP</t>
  </si>
  <si>
    <t>מיפוי ותיעדוף ספקים קריטיים לפי סיכון</t>
  </si>
  <si>
    <t>היעדר מיפוי ותיעדוף ספקים קריטיים עלול לגרום לחוסר מודעות לתלות בספקים בעלי סיכון גבוה, חשיפה למתקפות שרשרת אספקה ופגיעה בהמשכיות מכשל ספק</t>
  </si>
  <si>
    <t xml:space="preserve">1. בניית מרשם ספקים קריטיים ותיעדופם לפי רמת סיכון (NIST SR-2, PM-9)
2. סיווג ספקים לפי גישה למידע, קריטיות השירות ומורכבות החיבור (SR-2(1))
3. מיפוי תלויות שרשרת אספקה מול תהליכים עסקיים קריטיים (SR-2)
4. עדכון תקופתי של מרשם הספקים ודירוג הסיכון (SR-2, PM-30)</t>
  </si>
  <si>
    <t>SUP-02</t>
  </si>
  <si>
    <t>דרישות אבטחת סייבר בהסכמים עם ספקים</t>
  </si>
  <si>
    <t>היעדר דרישות אבטחת סייבר בהסכמי ספקים עלול לחשוף את הארגון לגישה בלתי מאובטחת של ספקים, חוסר אחריות משפטית באירוע ופערי הגנה בנקודות החיבור</t>
  </si>
  <si>
    <t xml:space="preserve">1. הכללת דרישות אבטחת סייבר בחוזים עם ספקים (NIST SA-4, SR-3)
2. הגדרת SLA לאבטחה — patching, דיווח אירועים, הצפנה (SA-4(1))
3. שמירת זכות ביקורת (right to audit) בהסכם (SA-4, SA-9)
4. חובת הודעה מיידית על אירוע סייבר אצל הספק (IR-6, SA-9)</t>
  </si>
  <si>
    <t>SUP-03</t>
  </si>
  <si>
    <t>בדיקת נאותות (due diligence) לפני התקשרות</t>
  </si>
  <si>
    <t>היעדר בדיקת נאותות (due diligence) לפני התקשרות עלול לגרום לשיתוף פעולה עם ספקים בעלי רמת אבטחה נמוכה, חשיפה לסיכוני צד ג' ופגיעה ברגולציה</t>
  </si>
  <si>
    <t xml:space="preserve">1. ביצוע הערכת סיכוני סייבר לספק לפני התקשרות (NIST RA-3, SR-5)
2. בדיקת הסמכות אבטחה (ISO 27001, SOC2) ותוצאות ביקורת (SR-5)
3. סקירת ארכיטקטורת אבטחה ובקרות הספק (SA-4, SR-6)
4. הערכת מצב סייבר של ספקי משנה (fourth-party risk) (SR-2(1), SR-5)</t>
  </si>
  <si>
    <t>SUP-04</t>
  </si>
  <si>
    <t>ניטור ובקרת סיכוני ספקים לאורך ההתקשרות</t>
  </si>
  <si>
    <t>היעדר ניטור סיכוני ספקים לאורך ההתקשרות עלול לגרום להתעלמות מהידרדרות ברמת האבטחה של הספק, שינויים בפרופיל הסיכון ואירועי אבטחה בצד הספק</t>
  </si>
  <si>
    <t xml:space="preserve">1. ביצוע הערכת סיכוני ספקים תקופתית (לפחות שנתית) (NIST SR-6, CA-7)
2. ניטור רציף של מצב אבטחת הספק (security ratings) (SR-6(1))
3. מעקב אחר אירועי סייבר, דליפות ופגיעויות אצל ספקים (SR-6, PM-16)
4. הפעלת סעיפי יציאה/סנקציה בעת אי-עמידה בדרישות (SA-4, SR-3)</t>
  </si>
  <si>
    <t>SUP-05</t>
  </si>
  <si>
    <t>הגנה על ממשקים וחיבורים לצד ג'</t>
  </si>
  <si>
    <t>היעדר הגנה על ממשקים וחיבורי צד ג' עלול לאפשר חדירה דרך ערוצי חיבור מהימנים, תנועה רוחבית מרשת ספק לרשת הארגון וגישה למידע רגיש ללא הרשאה</t>
  </si>
  <si>
    <t xml:space="preserve">1. הגבלת גישת ספקים באמצעות jump server / privileged gateway (NIST AC-17, SC-7)
2. הפרדת רשת ספקים מהרשת הפנימית (SC-7, CA-3)
3. ניטור כל פעילות ספקים ברשת ותיעודה (AU-12, SI-4)
4. ביטול גישת ספקים מיד בסיום עבודה/חוזה (AC-2, PS-7)</t>
  </si>
  <si>
    <t>PHY-01</t>
  </si>
  <si>
    <t>הגנה פיזית</t>
  </si>
  <si>
    <t>PHY</t>
  </si>
  <si>
    <t>בקרת גישה פיזית לחדרי שרתים ותשתית קריטית</t>
  </si>
  <si>
    <t>היעדר בקרת גישה פיזית עלול לאפשר כניסה בלתי מורשית לחדרי שרתים, השתלת חומרה זדונית, גניבת ציוד ופגיעה פיזית בתשתיות קריטיות</t>
  </si>
  <si>
    <t xml:space="preserve">1. הטמעת בקרת גישה פיזית רב-שכבתית — כרטיסים, ביומטריה, PIN (NIST PE-2, PE-3)
2. הגבלת גישה לחדרי שרתים לגורמים מורשים בלבד (PE-3(1))
3. ליווי אורחים וספקים באזורים מוגנים (PE-7)
4. רישום ותיעוד כל כניסה ויציאה מאזורים קריטיים (PE-8)</t>
  </si>
  <si>
    <t>PHY-02</t>
  </si>
  <si>
    <t>הגנה מפני איומים סביבתיים (אש, מים, חשמל)</t>
  </si>
  <si>
    <t>היעדר הגנה מפני איומים סביבתיים עלול לגרום לנזק פיזי למערכות מאש, הצפה, הפסקת חשמל ממושכת או תנאי סביבה קיצוניים, עם השבתה מלאה של שירותים</t>
  </si>
  <si>
    <t xml:space="preserve">1. התקנת מערכות גילוי וכיבוי אש בחדרי שרתים (NIST PE-13)
2. הגנה מפני הצפות — רצפה מוגבהת, חיישני מים (PE-15)
3. אספקת חשמל רציפה — UPS וגנרטור חירום (PE-11)
4. ניטור תנאי סביבה — טמפרטורה, לחות, מתח חשמלי (PE-14)</t>
  </si>
  <si>
    <t>PHY-03</t>
  </si>
  <si>
    <t>ניטור ותיעוד גישה פיזית</t>
  </si>
  <si>
    <t>היעדר ניטור ותיעוד גישה פיזית עלול להקשות על זיהוי חדירה פיזית, לאפשר גישה חוזרת של גורמים לא מורשים ולפגוע ביכולת חקירה לאחר אירוע</t>
  </si>
  <si>
    <t xml:space="preserve">1. התקנת מצלמות CCTV עם הקלטה באזורים קריטיים (NIST PE-6, PE-8)
2. שמירת רישומי גישה פיזית לפחות 90 יום (PE-8)
3. סקירה תקופתית של לוגי גישה וזיהוי חריגות (PE-6(1))
4. התרעה בזמן אמת על ניסיונות גישה לא מורשים (PE-6, SI-4)</t>
  </si>
  <si>
    <t>בקרה — קוד</t>
  </si>
  <si>
    <t>בקרה — שם</t>
  </si>
  <si>
    <t>משפחה</t>
  </si>
  <si>
    <t>פעולת מיטיגציה</t>
  </si>
  <si>
    <t>בוצעה?</t>
  </si>
  <si>
    <t>1. מינוי CISO/ממונה סייבר בכיר עם דיווח ישיר להנהלה (NIST PM-2)</t>
  </si>
  <si>
    <t>4. שיבוץ CISO בפורום הנהלה ובוועדת סיכונים (PM-29)</t>
  </si>
  <si>
    <t>3. הקצאת צוות ומשאבים ייעודיים לממונה (PM-3)</t>
  </si>
  <si>
    <t>1. יישום עקרון least privilege בכל מערכת ואפליקציה (NIST AC-6)</t>
  </si>
  <si>
    <t>2. הגבלת גישה לפי תפקיד (RBAC) עם הרשאות מינימליות (AC-6(1))</t>
  </si>
  <si>
    <t>4. סקירת הרשאות תקופתית וצמצום הרשאות עודפות (AC-6(7), AC-2(13))</t>
  </si>
  <si>
    <t>1. הקשחת תחנות קצה ושרתים לפי CIS Benchmarks / STIG (NIST CM-6, CM-7)</t>
  </si>
  <si>
    <t>2. ביטול שירותים ופורטים לא נדרשים (CM-7(1))</t>
  </si>
  <si>
    <t>4. שימוש ב-GPO/MDM לאכיפת תצורות אחידות (CM-6, CM-2)</t>
  </si>
  <si>
    <t>1. הטמעת פתרון EDR/AV מתקדם בכל תחנה ושרת (NIST SI-3, SI-4)</t>
  </si>
  <si>
    <t>2. אכיפת עדכון חתימות אוטומטי ורציף (SI-3(1))</t>
  </si>
  <si>
    <t>4. שילוב התראות EDR עם SIEM לתגובה מהירה (SI-4(16), IR-4)</t>
  </si>
  <si>
    <t>1. הגדרת מדיניות patching עם SLA לפי חומרת פגיעות (NIST SI-2)</t>
  </si>
  <si>
    <t>2. סריקה ויישום עדכונים קריטיים תוך 72 שעות (SI-2(2))</t>
  </si>
  <si>
    <t>3. בדיקת עדכונים בסביבת בדיקה לפני יישום בייצור (SI-2, CM-3)</t>
  </si>
  <si>
    <t>1. ביצוע סריקות פגיעויות תקופתיות (לפחות חודשיות) בכל המערכות (NIST RA-5)</t>
  </si>
  <si>
    <t>4. מעקב אחר סגירת פגיעויות ודיווח תקופתי (RA-5, CA-5)</t>
  </si>
  <si>
    <t>1. הטמעת application whitelisting / allow-listing בתחנות ושרתים (NIST CM-7(5)) 2. חסימת הרצת קבצי הפעלה ממיקומים לא מורשים (CM-7(5)) 3. ניהול רשימה לבנה מעודכנת של תוכנות מאושרות (CM-7(5), CM-8) 4. ניטור והתרעה על ניסיונות הרצת תוכנה לא מורשית (SI-4, AU-12)</t>
  </si>
  <si>
    <t>1. הגדרת מדיניות סיווג מידע ארגונית (NIST RA-2, MP-4)</t>
  </si>
  <si>
    <t>4. הגבלת הפצת מידע מסווג לגורמים מורשים בלבד (AC-4, AC-3)</t>
  </si>
  <si>
    <t>3. יישום בקרת גישה מבוססת סיווג (MAC/RBAC) (AC-3(3), AC-16)</t>
  </si>
  <si>
    <t>לבנות מערכת לוגים</t>
  </si>
  <si>
    <t>להגדיר מערכת לוגים</t>
  </si>
  <si>
    <t>משימה</t>
  </si>
  <si>
    <t>אחראי</t>
  </si>
  <si>
    <t>הערכת זמן</t>
  </si>
  <si>
    <t>יחידת זמן</t>
  </si>
  <si>
    <t>להתקין מערכת איסוף לוגים מרכזית</t>
  </si>
  <si>
    <t>test1</t>
  </si>
  <si>
    <t>ימים</t>
  </si>
  <si>
    <t>פתוחה</t>
  </si>
  <si>
    <t>דשבורד — תמונת מצב הסיכונים</t>
  </si>
  <si>
    <t>כל הנתונים מתעדכנים אוטומטית לפי גליון "הערכת סיכונים"</t>
  </si>
  <si>
    <t>⚡ מדדים מצרפיים (KPI)</t>
  </si>
  <si>
    <t>סה"כ בקרות</t>
  </si>
  <si>
    <t>בקרות רלוונטיות</t>
  </si>
  <si>
    <t>בקרות לא רלוונטיות</t>
  </si>
  <si>
    <t>חשיפה קריטית נוכחית</t>
  </si>
  <si>
    <t>חשיפה גבוהה נוכחית</t>
  </si>
  <si>
    <t>ציון סיכון ממוצע (נוכחי)</t>
  </si>
  <si>
    <t>ציון מובנה ממוצע</t>
  </si>
  <si>
    <t>ציון שיורי ממוצע</t>
  </si>
  <si>
    <t>הופחת סיכון שהושג %</t>
  </si>
  <si>
    <t>הושלמו</t>
  </si>
  <si>
    <t>לא התחילו</t>
  </si>
  <si>
    <t>התקדמות טיפול משוקללת</t>
  </si>
  <si>
    <t>📊 התפלגות רמות סיכון</t>
  </si>
  <si>
    <t>רמה</t>
  </si>
  <si>
    <t>מובנה</t>
  </si>
  <si>
    <t>שיורי</t>
  </si>
  <si>
    <t>נוכחי</t>
  </si>
  <si>
    <t>קריטי</t>
  </si>
  <si>
    <t>גבוה</t>
  </si>
  <si>
    <t>נמוך</t>
  </si>
  <si>
    <t>🚦 סטטוס טיפול</t>
  </si>
  <si>
    <t>כמות</t>
  </si>
  <si>
    <t>🧭 התפלגות החלטות הנהלה</t>
  </si>
  <si>
    <t>החלטה</t>
  </si>
  <si>
    <t>העברת הסיכון</t>
  </si>
  <si>
    <t>הימנעות מהסיכון</t>
  </si>
  <si>
    <t>ללא החלטה</t>
  </si>
  <si>
    <t>🏷️ סיכומים לפי משפחה</t>
  </si>
  <si>
    <t>בקרות</t>
  </si>
  <si>
    <t>קריטי נוכחי</t>
  </si>
  <si>
    <t>גבוה נוכחי</t>
  </si>
  <si>
    <t>ציון נוכחי ממוצע</t>
  </si>
  <si>
    <t>🛠️ התפלגות מורכבות טיפול</t>
  </si>
  <si>
    <t>מורכבות</t>
  </si>
  <si>
    <t>לא הוגדר</t>
  </si>
  <si>
    <t>💰 הערכה תקציבית לפי מטבע</t>
  </si>
  <si>
    <t>סה"כ</t>
  </si>
  <si>
    <t>ILS ₪</t>
  </si>
  <si>
    <t>USD $</t>
  </si>
  <si>
    <t>EUR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</si>
</sst>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&quot;%&quot;"/>
  </numFmts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</font>
    <font>
      <b/>
      <color rgb="FF1F4E79"/>
      <sz val="18"/>
    </font>
    <font>
      <i/>
      <color rgb="FF6B7785"/>
    </font>
    <font>
      <b/>
      <color rgb="FFFFFFFF"/>
      <sz val="13"/>
    </font>
    <font>
      <b/>
    </font>
    <font>
      <b/>
      <color rgb="FF2563EB"/>
      <sz val="14"/>
    </font>
  </fonts>
  <fills count="9">
    <fill>
      <patternFill patternType="none"/>
    </fill>
    <fill>
      <patternFill patternType="gray125"/>
    </fill>
    <fill>
      <patternFill patternType="solid">
        <fgColor rgb="FFE6F1FB"/>
      </patternFill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FDEAEA"/>
      </patternFill>
    </fill>
    <fill>
      <patternFill patternType="solid">
        <fgColor rgb="FFFDEEE0"/>
      </patternFill>
    </fill>
    <fill>
      <patternFill patternType="solid">
        <fgColor rgb="FFFDF6E3"/>
      </patternFill>
    </fill>
    <fill>
      <patternFill patternType="solid">
        <fgColor rgb="FFE9F8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6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1F4E79"/>
                </a:solidFill>
              </a:defRPr>
            </a:pPr>
            <a:r>
              <a:rPr lang="he-IL" sz="1400" b="1">
                <a:solidFill>
                  <a:srgbClr val="1F4E79"/>
                </a:solidFill>
              </a:rPr>
              <a:t>התפלגות רמות סיכון (מובנה/שיורי/נוכחי)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'דשבורד'!$B$20</c:f>
            </c:strRef>
          </c:tx>
          <c:spPr>
            <a:solidFill>
              <a:srgbClr val="94A3B8"/>
            </a:solidFill>
          </c:spPr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'דשבורד'!$A$21:$A$24</c:f>
            </c:strRef>
          </c:cat>
          <c:val>
            <c:numRef>
              <c:f>'דשבורד'!$B$21:$B$24</c:f>
            </c:numRef>
          </c:val>
        </c:ser>
        <c:ser>
          <c:idx val="1"/>
          <c:order val="1"/>
          <c:tx>
            <c:strRef>
              <c:f>'דשבורד'!$C$20</c:f>
            </c:strRef>
          </c:tx>
          <c:spPr>
            <a:solidFill>
              <a:srgbClr val="60A5FA"/>
            </a:solidFill>
          </c:spPr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'דשבורד'!$A$21:$A$24</c:f>
            </c:strRef>
          </c:cat>
          <c:val>
            <c:numRef>
              <c:f>'דשבורד'!$C$21:$C$24</c:f>
            </c:numRef>
          </c:val>
        </c:ser>
        <c:ser>
          <c:idx val="2"/>
          <c:order val="2"/>
          <c:tx>
            <c:strRef>
              <c:f>'דשבורד'!$D$20</c:f>
            </c:strRef>
          </c:tx>
          <c:spPr>
            <a:solidFill>
              <a:srgbClr val="2563EB"/>
            </a:solidFill>
          </c:spPr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'דשבורד'!$A$21:$A$24</c:f>
            </c:strRef>
          </c:cat>
          <c:val>
            <c:numRef>
              <c:f>'דשבורד'!$D$21:$D$24</c:f>
            </c:numRef>
          </c:val>
        </c:ser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he-IL"/>
        </a:p>
      </c:txPr>
    </c:legend>
    <c:plotVisOnly val="1"/>
    <c:dispBlanksAs val="gap"/>
  </c:chart>
  <c:txPr>
    <a:bodyPr/>
    <a:lstStyle/>
    <a:p>
      <a:pPr>
        <a:defRPr lang="he-IL"/>
      </a:pPr>
      <a:endParaRPr lang="he-I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1F4E79"/>
                </a:solidFill>
              </a:defRPr>
            </a:pPr>
            <a:r>
              <a:rPr lang="he-IL" sz="1400" b="1">
                <a:solidFill>
                  <a:srgbClr val="1F4E79"/>
                </a:solidFill>
              </a:rPr>
              <a:t>התפלגות רמות סיכון נוכחי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'דשבורד'!$D$20</c:f>
            </c:strRef>
          </c:tx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  ·  </c:separator>
          </c:dLbls>
          <c:cat>
            <c:strRef>
              <c:f>'דשבורד'!$A$21:$A$24</c:f>
            </c:strRef>
          </c:cat>
          <c:val>
            <c:numRef>
              <c:f>'דשבורד'!$D$21:$D$24</c:f>
            </c:numRef>
          </c:val>
        </c:ser>
        <c:firstSliceAng val="0"/>
      </c:pieChart>
    </c:plotArea>
    <c:legend>
      <c:legendPos val="b"/>
      <c:overlay val="0"/>
      <c:txPr>
        <a:bodyPr/>
        <a:lstStyle/>
        <a:p>
          <a:pPr>
            <a:defRPr sz="900"/>
          </a:pPr>
          <a:endParaRPr lang="he-IL"/>
        </a:p>
      </c:txPr>
    </c:legend>
    <c:plotVisOnly val="1"/>
    <c:dispBlanksAs val="gap"/>
  </c:chart>
  <c:txPr>
    <a:bodyPr/>
    <a:lstStyle/>
    <a:p>
      <a:pPr>
        <a:defRPr lang="he-IL"/>
      </a:pPr>
      <a:endParaRPr lang="he-I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1F4E79"/>
                </a:solidFill>
              </a:defRPr>
            </a:pPr>
            <a:r>
              <a:rPr lang="he-IL" sz="1400" b="1">
                <a:solidFill>
                  <a:srgbClr val="1F4E79"/>
                </a:solidFill>
              </a:rPr>
              <a:t>סטטוס טיפול בבקרות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'דשבורד'!$B$27</c:f>
            </c:strRef>
          </c:tx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  ·  </c:separator>
          </c:dLbls>
          <c:cat>
            <c:strRef>
              <c:f>'דשבורד'!$A$28:$A$30</c:f>
            </c:strRef>
          </c:cat>
          <c:val>
            <c:numRef>
              <c:f>'דשבורד'!$B$28:$B$30</c:f>
            </c:numRef>
          </c:val>
        </c:ser>
        <c:firstSliceAng val="0"/>
      </c:pieChart>
    </c:plotArea>
    <c:legend>
      <c:legendPos val="b"/>
      <c:overlay val="0"/>
      <c:txPr>
        <a:bodyPr/>
        <a:lstStyle/>
        <a:p>
          <a:pPr>
            <a:defRPr sz="900"/>
          </a:pPr>
          <a:endParaRPr lang="he-IL"/>
        </a:p>
      </c:txPr>
    </c:legend>
    <c:plotVisOnly val="1"/>
    <c:dispBlanksAs val="gap"/>
  </c:chart>
  <c:txPr>
    <a:bodyPr/>
    <a:lstStyle/>
    <a:p>
      <a:pPr>
        <a:defRPr lang="he-IL"/>
      </a:pPr>
      <a:endParaRPr lang="he-I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1F4E79"/>
                </a:solidFill>
              </a:defRPr>
            </a:pPr>
            <a:r>
              <a:rPr lang="he-IL" sz="1400" b="1">
                <a:solidFill>
                  <a:srgbClr val="1F4E79"/>
                </a:solidFill>
              </a:rPr>
              <a:t>התפלגות החלטות הנהלה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'דשבורד'!$B$33</c:f>
            </c:strRef>
          </c:tx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  ·  </c:separator>
          </c:dLbls>
          <c:cat>
            <c:strRef>
              <c:f>'דשבורד'!$A$34:$A$37</c:f>
            </c:strRef>
          </c:cat>
          <c:val>
            <c:numRef>
              <c:f>'דשבורד'!$B$34:$B$37</c:f>
            </c:numRef>
          </c:val>
        </c:ser>
        <c:firstSliceAng val="0"/>
      </c:pieChart>
    </c:plotArea>
    <c:legend>
      <c:legendPos val="b"/>
      <c:overlay val="0"/>
      <c:txPr>
        <a:bodyPr/>
        <a:lstStyle/>
        <a:p>
          <a:pPr>
            <a:defRPr sz="900"/>
          </a:pPr>
          <a:endParaRPr lang="he-IL"/>
        </a:p>
      </c:txPr>
    </c:legend>
    <c:plotVisOnly val="1"/>
    <c:dispBlanksAs val="gap"/>
  </c:chart>
  <c:txPr>
    <a:bodyPr/>
    <a:lstStyle/>
    <a:p>
      <a:pPr>
        <a:defRPr lang="he-IL"/>
      </a:pPr>
      <a:endParaRPr lang="he-IL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1F4E79"/>
                </a:solidFill>
              </a:defRPr>
            </a:pPr>
            <a:r>
              <a:rPr lang="he-IL" sz="1400" b="1">
                <a:solidFill>
                  <a:srgbClr val="1F4E79"/>
                </a:solidFill>
              </a:rPr>
              <a:t>ציון סיכון נוכחי ממוצע לפי משפחה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'דשבורד'!$F$41</c:f>
            </c:strRef>
          </c:tx>
          <c:spPr>
            <a:solidFill>
              <a:srgbClr val="DC2626"/>
            </a:solidFill>
          </c:spPr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'דשבורד'!$A$42:$A$53</c:f>
            </c:strRef>
          </c:cat>
          <c:val>
            <c:numRef>
              <c:f>'דשבורד'!$F$42:$F$53</c:f>
            </c:numRef>
          </c:val>
        </c:ser>
        <c:gapWidth val="60"/>
        <c:axId val="1"/>
        <c:axId val="2"/>
      </c:barChart>
      <c:catAx>
        <c:axId val="1"/>
        <c:scaling>
          <c:orientation val="minMax"/>
        </c:scaling>
        <c:delete val="0"/>
        <c:axPos val="l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crossAx val="1"/>
        <c:crosses val="autoZero"/>
        <c:crossBetween val="between"/>
      </c:valAx>
    </c:plotArea>
    <c:plotVisOnly val="1"/>
    <c:dispBlanksAs val="gap"/>
  </c:chart>
  <c:txPr>
    <a:bodyPr/>
    <a:lstStyle/>
    <a:p>
      <a:pPr>
        <a:defRPr lang="he-IL"/>
      </a:pPr>
      <a:endParaRPr lang="he-I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1F4E79"/>
                </a:solidFill>
              </a:defRPr>
            </a:pPr>
            <a:r>
              <a:rPr lang="he-IL" sz="1400" b="1">
                <a:solidFill>
                  <a:srgbClr val="1F4E79"/>
                </a:solidFill>
              </a:rPr>
              <a:t>% ביצוע מיטיגציה לפי משפחה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'דשבורד'!$G$41</c:f>
            </c:strRef>
          </c:tx>
          <c:spPr>
            <a:solidFill>
              <a:srgbClr val="16A34A"/>
            </a:solidFill>
          </c:spPr>
          <c:dLbls>
            <c:txPr>
              <a:bodyPr/>
              <a:lstStyle/>
              <a:p>
                <a:pPr>
                  <a:defRPr sz="900" b="1"/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'דשבורד'!$A$42:$A$53</c:f>
            </c:strRef>
          </c:cat>
          <c:val>
            <c:numRef>
              <c:f>'דשבורד'!$G$42:$G$53</c:f>
            </c:numRef>
          </c:val>
        </c:ser>
        <c:gapWidth val="60"/>
        <c:axId val="1"/>
        <c:axId val="2"/>
      </c:barChart>
      <c:catAx>
        <c:axId val="1"/>
        <c:scaling>
          <c:orientation val="minMax"/>
        </c:scaling>
        <c:delete val="0"/>
        <c:axPos val="l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crossAx val="1"/>
        <c:crosses val="autoZero"/>
        <c:crossBetween val="between"/>
      </c:valAx>
    </c:plotArea>
    <c:plotVisOnly val="1"/>
    <c:dispBlanksAs val="gap"/>
  </c:chart>
  <c:txPr>
    <a:bodyPr/>
    <a:lstStyle/>
    <a:p>
      <a:pPr>
        <a:defRPr lang="he-IL"/>
      </a:pPr>
      <a:endParaRPr lang="he-IL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16</xdr:col>
      <xdr:colOff>0</xdr:colOff>
      <xdr:row>61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16</xdr:col>
      <xdr:colOff>0</xdr:colOff>
      <xdr:row>83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8" customWidth="1"/>
    <col min="4" max="4" width="28" customWidth="1"/>
    <col min="5" max="5" width="32" customWidth="1"/>
    <col min="6" max="6" width="16" customWidth="1"/>
    <col min="7" max="7" width="32" customWidth="1"/>
    <col min="8" max="10" width="10" customWidth="1"/>
    <col min="11" max="11" width="12" customWidth="1"/>
    <col min="12" max="12" width="16" customWidth="1"/>
    <col min="13" max="13" width="32" customWidth="1"/>
    <col min="14" max="16" width="12" customWidth="1"/>
    <col min="17" max="17" width="14" customWidth="1"/>
    <col min="18" max="18" width="12" customWidth="1"/>
    <col min="19" max="19" width="14" customWidth="1"/>
    <col min="20" max="20" width="12" customWidth="1"/>
    <col min="21" max="21" width="12" style="1" customWidth="1"/>
    <col min="22" max="22" width="16" customWidth="1"/>
    <col min="23" max="23" width="12" customWidth="1"/>
    <col min="24" max="24" width="10" customWidth="1"/>
    <col min="25" max="25" width="8" customWidth="1"/>
    <col min="26" max="26" width="12" style="2" customWidth="1"/>
    <col min="27" max="28" width="14" customWidth="1"/>
    <col min="29" max="29" width="8" customWidth="1"/>
    <col min="30" max="30" width="10" customWidth="1"/>
    <col min="31" max="31" width="12" customWidth="1"/>
    <col min="32" max="32" width="32" customWidth="1"/>
  </cols>
  <sheetData>
    <row r="1" ht="24" customHeight="1" spans="1:3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36" customHeight="1" spans="1:3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5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6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</row>
    <row r="3" ht="30" customHeight="1" spans="1:32" s="7" customFormat="1" x14ac:dyDescent="0.25">
      <c r="A3" s="7" t="s">
        <v>33</v>
      </c>
      <c r="B3" s="7" t="s">
        <v>34</v>
      </c>
      <c r="C3" s="7" t="s">
        <v>35</v>
      </c>
      <c r="D3" s="7" t="s">
        <v>36</v>
      </c>
      <c r="E3" s="7" t="s">
        <v>36</v>
      </c>
      <c r="F3" s="7" t="s">
        <v>37</v>
      </c>
      <c r="G3" s="7" t="s">
        <v>38</v>
      </c>
      <c r="H3" s="7">
        <v>3</v>
      </c>
      <c r="I3" s="7">
        <v>3</v>
      </c>
      <c r="J3" s="7">
        <f>IF(OR(H3="",I3=""),"",H3*I3)</f>
        <v>9</v>
      </c>
      <c r="K3" s="7" t="str">
        <f>IF(J3="","",IF(J3&gt;=12,"קריטי",IF(J3&gt;=8,"גבוה",IF(J3&gt;=4,"בינוני","נמוך"))))</f>
        <v>גבוה</v>
      </c>
      <c r="L3" s="7" t="s">
        <v>39</v>
      </c>
      <c r="M3" s="7" t="s">
        <v>40</v>
      </c>
      <c r="N3" s="7">
        <v>1</v>
      </c>
      <c r="O3" s="7">
        <v>1</v>
      </c>
      <c r="P3" s="7">
        <f>IF(OR(N3="",O3=""),"",N3*O3)</f>
        <v>1</v>
      </c>
      <c r="Q3" s="7" t="str">
        <f>IF(P3="","",IF(P3&gt;=12,"קריטי",IF(P3&gt;=8,"גבוה",IF(P3&gt;=4,"בינוני","נמוך"))))</f>
        <v>נמוך</v>
      </c>
      <c r="R3" s="7">
        <f>IF(J3="","",IF(X3&gt;0,ROUND(J3-IF(T3="הושלם",1,Z3/100)*(J3-IF(P3="",J3,P3)),0),IF(T3="הושלם",IF(P3="",J3,P3),IF(T3="בתהליך",IF(P3="",J3,ROUND((J3+P3)/2,0)),J3))))</f>
        <v>5</v>
      </c>
      <c r="S3" s="7" t="str">
        <f>IF(R3="","",IF(R3&gt;=12,"קריטי",IF(R3&gt;=8,"גבוה",IF(R3&gt;=4,"בינוני","נמוך"))))</f>
        <v>בינוני</v>
      </c>
      <c r="T3" s="7" t="s">
        <v>41</v>
      </c>
      <c r="U3" s="8" t="s">
        <v>37</v>
      </c>
      <c r="V3" s="7" t="s">
        <v>37</v>
      </c>
      <c r="W3" s="7" t="s">
        <v>42</v>
      </c>
      <c r="X3" s="7">
        <v>0</v>
      </c>
      <c r="Y3" s="7">
        <v>0</v>
      </c>
      <c r="Z3" s="9">
        <f>IF(X3=0,0,ROUND(Y3/X3*100,0))</f>
        <v>0</v>
      </c>
      <c r="AA3" s="7" t="s">
        <v>37</v>
      </c>
      <c r="AB3" s="7" t="s">
        <v>37</v>
      </c>
      <c r="AC3" s="7" t="s">
        <v>43</v>
      </c>
      <c r="AD3" s="7" t="s">
        <v>42</v>
      </c>
      <c r="AE3" s="7" t="s">
        <v>37</v>
      </c>
      <c r="AF3" s="7" t="s">
        <v>37</v>
      </c>
    </row>
    <row r="4" ht="30" customHeight="1" spans="1:32" s="7" customFormat="1" x14ac:dyDescent="0.25">
      <c r="A4" s="7" t="s">
        <v>44</v>
      </c>
      <c r="B4" s="7" t="s">
        <v>34</v>
      </c>
      <c r="C4" s="7" t="s">
        <v>35</v>
      </c>
      <c r="D4" s="7" t="s">
        <v>45</v>
      </c>
      <c r="E4" s="7" t="s">
        <v>45</v>
      </c>
      <c r="F4" s="7" t="s">
        <v>37</v>
      </c>
      <c r="G4" s="7" t="s">
        <v>46</v>
      </c>
      <c r="H4" s="7">
        <v>4</v>
      </c>
      <c r="I4" s="7">
        <v>4</v>
      </c>
      <c r="J4" s="7">
        <f>IF(OR(H4="",I4=""),"",H4*I4)</f>
        <v>16</v>
      </c>
      <c r="K4" s="7" t="str">
        <f>IF(J4="","",IF(J4&gt;=12,"קריטי",IF(J4&gt;=8,"גבוה",IF(J4&gt;=4,"בינוני","נמוך"))))</f>
        <v>קריטי</v>
      </c>
      <c r="L4" s="7" t="s">
        <v>47</v>
      </c>
      <c r="M4" s="7" t="s">
        <v>48</v>
      </c>
      <c r="N4" s="7">
        <v>2</v>
      </c>
      <c r="O4" s="7">
        <v>3</v>
      </c>
      <c r="P4" s="7">
        <f>IF(OR(N4="",O4=""),"",N4*O4)</f>
        <v>6</v>
      </c>
      <c r="Q4" s="7" t="str">
        <f>IF(P4="","",IF(P4&gt;=12,"קריטי",IF(P4&gt;=8,"גבוה",IF(P4&gt;=4,"בינוני","נמוך"))))</f>
        <v>בינוני</v>
      </c>
      <c r="R4" s="7">
        <f>IF(J4="","",IF(X4&gt;0,ROUND(J4-IF(T4="הושלם",1,Z4/100)*(J4-IF(P4="",J4,P4)),0),IF(T4="הושלם",IF(P4="",J4,P4),IF(T4="בתהליך",IF(P4="",J4,ROUND((J4+P4)/2,0)),J4))))</f>
        <v>16</v>
      </c>
      <c r="S4" s="7" t="str">
        <f>IF(R4="","",IF(R4&gt;=12,"קריטי",IF(R4&gt;=8,"גבוה",IF(R4&gt;=4,"בינוני","נמוך"))))</f>
        <v>קריטי</v>
      </c>
      <c r="T4" s="7" t="s">
        <v>41</v>
      </c>
      <c r="U4" s="8" t="s">
        <v>37</v>
      </c>
      <c r="V4" s="7" t="s">
        <v>49</v>
      </c>
      <c r="W4" s="7" t="s">
        <v>42</v>
      </c>
      <c r="X4" s="7">
        <v>3</v>
      </c>
      <c r="Y4" s="7">
        <v>0</v>
      </c>
      <c r="Z4" s="9">
        <f>IF(X4=0,0,ROUND(Y4/X4*100,0))</f>
        <v>0</v>
      </c>
      <c r="AA4" s="7" t="s">
        <v>37</v>
      </c>
      <c r="AB4" s="7" t="s">
        <v>37</v>
      </c>
      <c r="AC4" s="7" t="s">
        <v>43</v>
      </c>
      <c r="AD4" s="7" t="s">
        <v>42</v>
      </c>
      <c r="AE4" s="7" t="s">
        <v>37</v>
      </c>
      <c r="AF4" s="7" t="s">
        <v>37</v>
      </c>
    </row>
    <row r="5" ht="30" customHeight="1" spans="1:32" s="7" customFormat="1" x14ac:dyDescent="0.25">
      <c r="A5" s="7" t="s">
        <v>50</v>
      </c>
      <c r="B5" s="7" t="s">
        <v>34</v>
      </c>
      <c r="C5" s="7" t="s">
        <v>35</v>
      </c>
      <c r="D5" s="7" t="s">
        <v>51</v>
      </c>
      <c r="E5" s="7" t="s">
        <v>51</v>
      </c>
      <c r="F5" s="7" t="s">
        <v>37</v>
      </c>
      <c r="G5" s="7" t="s">
        <v>52</v>
      </c>
      <c r="H5" s="7" t="s">
        <v>37</v>
      </c>
      <c r="I5" s="7" t="s">
        <v>37</v>
      </c>
      <c r="J5" s="7" t="str">
        <f>IF(OR(H5="",I5=""),"",H5*I5)</f>
        <v/>
      </c>
      <c r="K5" s="7" t="str">
        <f>IF(J5="","",IF(J5&gt;=12,"קריטי",IF(J5&gt;=8,"גבוה",IF(J5&gt;=4,"בינוני","נמוך"))))</f>
        <v/>
      </c>
      <c r="L5" s="7" t="s">
        <v>53</v>
      </c>
      <c r="M5" s="7" t="s">
        <v>54</v>
      </c>
      <c r="N5" s="7" t="s">
        <v>37</v>
      </c>
      <c r="O5" s="7" t="s">
        <v>37</v>
      </c>
      <c r="P5" s="7" t="str">
        <f>IF(OR(N5="",O5=""),"",N5*O5)</f>
        <v/>
      </c>
      <c r="Q5" s="7" t="str">
        <f>IF(P5="","",IF(P5&gt;=12,"קריטי",IF(P5&gt;=8,"גבוה",IF(P5&gt;=4,"בינוני","נמוך"))))</f>
        <v/>
      </c>
      <c r="R5" s="7" t="str">
        <f>IF(J5="","",IF(X5&gt;0,ROUND(J5-IF(T5="הושלם",1,Z5/100)*(J5-IF(P5="",J5,P5)),0),IF(T5="הושלם",IF(P5="",J5,P5),IF(T5="בתהליך",IF(P5="",J5,ROUND((J5+P5)/2,0)),J5))))</f>
        <v/>
      </c>
      <c r="S5" s="7" t="str">
        <f>IF(R5="","",IF(R5&gt;=12,"קריטי",IF(R5&gt;=8,"גבוה",IF(R5&gt;=4,"בינוני","נמוך"))))</f>
        <v/>
      </c>
      <c r="T5" s="7" t="s">
        <v>55</v>
      </c>
      <c r="U5" s="8" t="s">
        <v>37</v>
      </c>
      <c r="V5" s="7" t="s">
        <v>37</v>
      </c>
      <c r="W5" s="7" t="s">
        <v>42</v>
      </c>
      <c r="X5" s="7">
        <v>0</v>
      </c>
      <c r="Y5" s="7">
        <v>0</v>
      </c>
      <c r="Z5" s="9">
        <f>IF(X5=0,0,ROUND(Y5/X5*100,0))</f>
        <v>0</v>
      </c>
      <c r="AA5" s="7" t="s">
        <v>37</v>
      </c>
      <c r="AB5" s="7" t="s">
        <v>37</v>
      </c>
      <c r="AC5" s="7" t="s">
        <v>43</v>
      </c>
      <c r="AD5" s="7" t="s">
        <v>42</v>
      </c>
      <c r="AE5" s="7" t="s">
        <v>37</v>
      </c>
      <c r="AF5" s="7" t="s">
        <v>37</v>
      </c>
    </row>
    <row r="6" ht="30" customHeight="1" spans="1:32" s="7" customFormat="1" x14ac:dyDescent="0.25">
      <c r="A6" s="7" t="s">
        <v>56</v>
      </c>
      <c r="B6" s="7" t="s">
        <v>34</v>
      </c>
      <c r="C6" s="7" t="s">
        <v>35</v>
      </c>
      <c r="D6" s="7" t="s">
        <v>57</v>
      </c>
      <c r="E6" s="7" t="s">
        <v>57</v>
      </c>
      <c r="F6" s="7" t="s">
        <v>37</v>
      </c>
      <c r="G6" s="7" t="s">
        <v>58</v>
      </c>
      <c r="H6" s="7">
        <v>4</v>
      </c>
      <c r="I6" s="7">
        <v>4</v>
      </c>
      <c r="J6" s="7">
        <f>IF(OR(H6="",I6=""),"",H6*I6)</f>
        <v>16</v>
      </c>
      <c r="K6" s="7" t="str">
        <f>IF(J6="","",IF(J6&gt;=12,"קריטי",IF(J6&gt;=8,"גבוה",IF(J6&gt;=4,"בינוני","נמוך"))))</f>
        <v>קריטי</v>
      </c>
      <c r="L6" s="7" t="s">
        <v>59</v>
      </c>
      <c r="M6" s="7" t="s">
        <v>60</v>
      </c>
      <c r="N6" s="7">
        <v>2</v>
      </c>
      <c r="O6" s="7">
        <v>3</v>
      </c>
      <c r="P6" s="7">
        <f>IF(OR(N6="",O6=""),"",N6*O6)</f>
        <v>6</v>
      </c>
      <c r="Q6" s="7" t="str">
        <f>IF(P6="","",IF(P6&gt;=12,"קריטי",IF(P6&gt;=8,"גבוה",IF(P6&gt;=4,"בינוני","נמוך"))))</f>
        <v>בינוני</v>
      </c>
      <c r="R6" s="7">
        <f>IF(J6="","",IF(X6&gt;0,ROUND(J6-IF(T6="הושלם",1,Z6/100)*(J6-IF(P6="",J6,P6)),0),IF(T6="הושלם",IF(P6="",J6,P6),IF(T6="בתהליך",IF(P6="",J6,ROUND((J6+P6)/2,0)),J6))))</f>
        <v>16</v>
      </c>
      <c r="S6" s="7" t="str">
        <f>IF(R6="","",IF(R6&gt;=12,"קריטי",IF(R6&gt;=8,"גבוה",IF(R6&gt;=4,"בינוני","נמוך"))))</f>
        <v>קריטי</v>
      </c>
      <c r="T6" s="7" t="s">
        <v>55</v>
      </c>
      <c r="U6" s="8" t="s">
        <v>37</v>
      </c>
      <c r="V6" s="7" t="s">
        <v>37</v>
      </c>
      <c r="W6" s="7" t="s">
        <v>42</v>
      </c>
      <c r="X6" s="7">
        <v>0</v>
      </c>
      <c r="Y6" s="7">
        <v>0</v>
      </c>
      <c r="Z6" s="9">
        <f>IF(X6=0,0,ROUND(Y6/X6*100,0))</f>
        <v>0</v>
      </c>
      <c r="AA6" s="7" t="s">
        <v>37</v>
      </c>
      <c r="AB6" s="7" t="s">
        <v>37</v>
      </c>
      <c r="AC6" s="7" t="s">
        <v>43</v>
      </c>
      <c r="AD6" s="7" t="s">
        <v>42</v>
      </c>
      <c r="AE6" s="7" t="s">
        <v>37</v>
      </c>
      <c r="AF6" s="7" t="s">
        <v>37</v>
      </c>
    </row>
    <row r="7" ht="30" customHeight="1" spans="1:32" s="7" customFormat="1" x14ac:dyDescent="0.25">
      <c r="A7" s="7" t="s">
        <v>61</v>
      </c>
      <c r="B7" s="7" t="s">
        <v>34</v>
      </c>
      <c r="C7" s="7" t="s">
        <v>35</v>
      </c>
      <c r="D7" s="7" t="s">
        <v>62</v>
      </c>
      <c r="E7" s="7" t="s">
        <v>62</v>
      </c>
      <c r="F7" s="7" t="s">
        <v>37</v>
      </c>
      <c r="G7" s="7" t="s">
        <v>63</v>
      </c>
      <c r="H7" s="7" t="s">
        <v>37</v>
      </c>
      <c r="I7" s="7" t="s">
        <v>37</v>
      </c>
      <c r="J7" s="7" t="str">
        <f>IF(OR(H7="",I7=""),"",H7*I7)</f>
        <v/>
      </c>
      <c r="K7" s="7" t="str">
        <f>IF(J7="","",IF(J7&gt;=12,"קריטי",IF(J7&gt;=8,"גבוה",IF(J7&gt;=4,"בינוני","נמוך"))))</f>
        <v/>
      </c>
      <c r="L7" s="7" t="s">
        <v>64</v>
      </c>
      <c r="M7" s="7" t="s">
        <v>65</v>
      </c>
      <c r="N7" s="7" t="s">
        <v>37</v>
      </c>
      <c r="O7" s="7" t="s">
        <v>37</v>
      </c>
      <c r="P7" s="7" t="str">
        <f>IF(OR(N7="",O7=""),"",N7*O7)</f>
        <v/>
      </c>
      <c r="Q7" s="7" t="str">
        <f>IF(P7="","",IF(P7&gt;=12,"קריטי",IF(P7&gt;=8,"גבוה",IF(P7&gt;=4,"בינוני","נמוך"))))</f>
        <v/>
      </c>
      <c r="R7" s="7" t="str">
        <f>IF(J7="","",IF(X7&gt;0,ROUND(J7-IF(T7="הושלם",1,Z7/100)*(J7-IF(P7="",J7,P7)),0),IF(T7="הושלם",IF(P7="",J7,P7),IF(T7="בתהליך",IF(P7="",J7,ROUND((J7+P7)/2,0)),J7))))</f>
        <v/>
      </c>
      <c r="S7" s="7" t="str">
        <f>IF(R7="","",IF(R7&gt;=12,"קריטי",IF(R7&gt;=8,"גבוה",IF(R7&gt;=4,"בינוני","נמוך"))))</f>
        <v/>
      </c>
      <c r="T7" s="7" t="s">
        <v>55</v>
      </c>
      <c r="U7" s="8" t="s">
        <v>37</v>
      </c>
      <c r="V7" s="7" t="s">
        <v>37</v>
      </c>
      <c r="W7" s="7" t="s">
        <v>42</v>
      </c>
      <c r="X7" s="7">
        <v>0</v>
      </c>
      <c r="Y7" s="7">
        <v>0</v>
      </c>
      <c r="Z7" s="9">
        <f>IF(X7=0,0,ROUND(Y7/X7*100,0))</f>
        <v>0</v>
      </c>
      <c r="AA7" s="7" t="s">
        <v>37</v>
      </c>
      <c r="AB7" s="7" t="s">
        <v>37</v>
      </c>
      <c r="AC7" s="7" t="s">
        <v>43</v>
      </c>
      <c r="AD7" s="7" t="s">
        <v>42</v>
      </c>
      <c r="AE7" s="7" t="s">
        <v>37</v>
      </c>
      <c r="AF7" s="7" t="s">
        <v>37</v>
      </c>
    </row>
    <row r="8" ht="30" customHeight="1" spans="1:32" s="7" customFormat="1" x14ac:dyDescent="0.25">
      <c r="A8" s="7" t="s">
        <v>66</v>
      </c>
      <c r="B8" s="7" t="s">
        <v>34</v>
      </c>
      <c r="C8" s="7" t="s">
        <v>35</v>
      </c>
      <c r="D8" s="7" t="s">
        <v>67</v>
      </c>
      <c r="E8" s="7" t="s">
        <v>67</v>
      </c>
      <c r="F8" s="7" t="s">
        <v>37</v>
      </c>
      <c r="G8" s="7" t="s">
        <v>68</v>
      </c>
      <c r="H8" s="7" t="s">
        <v>37</v>
      </c>
      <c r="I8" s="7" t="s">
        <v>37</v>
      </c>
      <c r="J8" s="7" t="str">
        <f>IF(OR(H8="",I8=""),"",H8*I8)</f>
        <v/>
      </c>
      <c r="K8" s="7" t="str">
        <f>IF(J8="","",IF(J8&gt;=12,"קריטי",IF(J8&gt;=8,"גבוה",IF(J8&gt;=4,"בינוני","נמוך"))))</f>
        <v/>
      </c>
      <c r="L8" s="7" t="s">
        <v>59</v>
      </c>
      <c r="M8" s="7" t="s">
        <v>69</v>
      </c>
      <c r="N8" s="7" t="s">
        <v>37</v>
      </c>
      <c r="O8" s="7" t="s">
        <v>37</v>
      </c>
      <c r="P8" s="7" t="str">
        <f>IF(OR(N8="",O8=""),"",N8*O8)</f>
        <v/>
      </c>
      <c r="Q8" s="7" t="str">
        <f>IF(P8="","",IF(P8&gt;=12,"קריטי",IF(P8&gt;=8,"גבוה",IF(P8&gt;=4,"בינוני","נמוך"))))</f>
        <v/>
      </c>
      <c r="R8" s="7" t="str">
        <f>IF(J8="","",IF(X8&gt;0,ROUND(J8-IF(T8="הושלם",1,Z8/100)*(J8-IF(P8="",J8,P8)),0),IF(T8="הושלם",IF(P8="",J8,P8),IF(T8="בתהליך",IF(P8="",J8,ROUND((J8+P8)/2,0)),J8))))</f>
        <v/>
      </c>
      <c r="S8" s="7" t="str">
        <f>IF(R8="","",IF(R8&gt;=12,"קריטי",IF(R8&gt;=8,"גבוה",IF(R8&gt;=4,"בינוני","נמוך"))))</f>
        <v/>
      </c>
      <c r="T8" s="7" t="s">
        <v>55</v>
      </c>
      <c r="U8" s="8" t="s">
        <v>37</v>
      </c>
      <c r="V8" s="7" t="s">
        <v>37</v>
      </c>
      <c r="W8" s="7" t="s">
        <v>42</v>
      </c>
      <c r="X8" s="7">
        <v>0</v>
      </c>
      <c r="Y8" s="7">
        <v>0</v>
      </c>
      <c r="Z8" s="9">
        <f>IF(X8=0,0,ROUND(Y8/X8*100,0))</f>
        <v>0</v>
      </c>
      <c r="AA8" s="7" t="s">
        <v>37</v>
      </c>
      <c r="AB8" s="7" t="s">
        <v>37</v>
      </c>
      <c r="AC8" s="7" t="s">
        <v>43</v>
      </c>
      <c r="AD8" s="7" t="s">
        <v>42</v>
      </c>
      <c r="AE8" s="7" t="s">
        <v>37</v>
      </c>
      <c r="AF8" s="7" t="s">
        <v>37</v>
      </c>
    </row>
    <row r="9" ht="30" customHeight="1" spans="1:32" s="7" customFormat="1" x14ac:dyDescent="0.25">
      <c r="A9" s="7" t="s">
        <v>70</v>
      </c>
      <c r="B9" s="7" t="s">
        <v>34</v>
      </c>
      <c r="C9" s="7" t="s">
        <v>35</v>
      </c>
      <c r="D9" s="7" t="s">
        <v>71</v>
      </c>
      <c r="E9" s="7" t="s">
        <v>71</v>
      </c>
      <c r="F9" s="7" t="s">
        <v>37</v>
      </c>
      <c r="G9" s="7" t="s">
        <v>72</v>
      </c>
      <c r="H9" s="7" t="s">
        <v>37</v>
      </c>
      <c r="I9" s="7" t="s">
        <v>37</v>
      </c>
      <c r="J9" s="7" t="str">
        <f>IF(OR(H9="",I9=""),"",H9*I9)</f>
        <v/>
      </c>
      <c r="K9" s="7" t="str">
        <f>IF(J9="","",IF(J9&gt;=12,"קריטי",IF(J9&gt;=8,"גבוה",IF(J9&gt;=4,"בינוני","נמוך"))))</f>
        <v/>
      </c>
      <c r="L9" s="7" t="s">
        <v>39</v>
      </c>
      <c r="M9" s="7" t="s">
        <v>73</v>
      </c>
      <c r="N9" s="7" t="s">
        <v>37</v>
      </c>
      <c r="O9" s="7" t="s">
        <v>37</v>
      </c>
      <c r="P9" s="7" t="str">
        <f>IF(OR(N9="",O9=""),"",N9*O9)</f>
        <v/>
      </c>
      <c r="Q9" s="7" t="str">
        <f>IF(P9="","",IF(P9&gt;=12,"קריטי",IF(P9&gt;=8,"גבוה",IF(P9&gt;=4,"בינוני","נמוך"))))</f>
        <v/>
      </c>
      <c r="R9" s="7" t="str">
        <f>IF(J9="","",IF(X9&gt;0,ROUND(J9-IF(T9="הושלם",1,Z9/100)*(J9-IF(P9="",J9,P9)),0),IF(T9="הושלם",IF(P9="",J9,P9),IF(T9="בתהליך",IF(P9="",J9,ROUND((J9+P9)/2,0)),J9))))</f>
        <v/>
      </c>
      <c r="S9" s="7" t="str">
        <f>IF(R9="","",IF(R9&gt;=12,"קריטי",IF(R9&gt;=8,"גבוה",IF(R9&gt;=4,"בינוני","נמוך"))))</f>
        <v/>
      </c>
      <c r="T9" s="7" t="s">
        <v>55</v>
      </c>
      <c r="U9" s="8" t="s">
        <v>37</v>
      </c>
      <c r="V9" s="7" t="s">
        <v>37</v>
      </c>
      <c r="W9" s="7" t="s">
        <v>42</v>
      </c>
      <c r="X9" s="7">
        <v>0</v>
      </c>
      <c r="Y9" s="7">
        <v>0</v>
      </c>
      <c r="Z9" s="9">
        <f>IF(X9=0,0,ROUND(Y9/X9*100,0))</f>
        <v>0</v>
      </c>
      <c r="AA9" s="7" t="s">
        <v>37</v>
      </c>
      <c r="AB9" s="7" t="s">
        <v>37</v>
      </c>
      <c r="AC9" s="7" t="s">
        <v>43</v>
      </c>
      <c r="AD9" s="7" t="s">
        <v>42</v>
      </c>
      <c r="AE9" s="7" t="s">
        <v>37</v>
      </c>
      <c r="AF9" s="7" t="s">
        <v>37</v>
      </c>
    </row>
    <row r="10" ht="30" customHeight="1" spans="1:32" s="7" customFormat="1" x14ac:dyDescent="0.25">
      <c r="A10" s="7" t="s">
        <v>74</v>
      </c>
      <c r="B10" s="7" t="s">
        <v>34</v>
      </c>
      <c r="C10" s="7" t="s">
        <v>35</v>
      </c>
      <c r="D10" s="7" t="s">
        <v>75</v>
      </c>
      <c r="E10" s="7" t="s">
        <v>75</v>
      </c>
      <c r="F10" s="7" t="s">
        <v>37</v>
      </c>
      <c r="G10" s="7" t="s">
        <v>76</v>
      </c>
      <c r="H10" s="7" t="s">
        <v>37</v>
      </c>
      <c r="I10" s="7" t="s">
        <v>37</v>
      </c>
      <c r="J10" s="7" t="str">
        <f>IF(OR(H10="",I10=""),"",H10*I10)</f>
        <v/>
      </c>
      <c r="K10" s="7" t="str">
        <f>IF(J10="","",IF(J10&gt;=12,"קריטי",IF(J10&gt;=8,"גבוה",IF(J10&gt;=4,"בינוני","נמוך"))))</f>
        <v/>
      </c>
      <c r="L10" s="7" t="s">
        <v>77</v>
      </c>
      <c r="M10" s="7" t="s">
        <v>78</v>
      </c>
      <c r="N10" s="7" t="s">
        <v>37</v>
      </c>
      <c r="O10" s="7" t="s">
        <v>37</v>
      </c>
      <c r="P10" s="7" t="str">
        <f>IF(OR(N10="",O10=""),"",N10*O10)</f>
        <v/>
      </c>
      <c r="Q10" s="7" t="str">
        <f>IF(P10="","",IF(P10&gt;=12,"קריטי",IF(P10&gt;=8,"גבוה",IF(P10&gt;=4,"בינוני","נמוך"))))</f>
        <v/>
      </c>
      <c r="R10" s="7" t="str">
        <f>IF(J10="","",IF(X10&gt;0,ROUND(J10-IF(T10="הושלם",1,Z10/100)*(J10-IF(P10="",J10,P10)),0),IF(T10="הושלם",IF(P10="",J10,P10),IF(T10="בתהליך",IF(P10="",J10,ROUND((J10+P10)/2,0)),J10))))</f>
        <v/>
      </c>
      <c r="S10" s="7" t="str">
        <f>IF(R10="","",IF(R10&gt;=12,"קריטי",IF(R10&gt;=8,"גבוה",IF(R10&gt;=4,"בינוני","נמוך"))))</f>
        <v/>
      </c>
      <c r="T10" s="7" t="s">
        <v>55</v>
      </c>
      <c r="U10" s="8" t="s">
        <v>37</v>
      </c>
      <c r="V10" s="7" t="s">
        <v>37</v>
      </c>
      <c r="W10" s="7" t="s">
        <v>42</v>
      </c>
      <c r="X10" s="7">
        <v>0</v>
      </c>
      <c r="Y10" s="7">
        <v>0</v>
      </c>
      <c r="Z10" s="9">
        <f>IF(X10=0,0,ROUND(Y10/X10*100,0))</f>
        <v>0</v>
      </c>
      <c r="AA10" s="7" t="s">
        <v>37</v>
      </c>
      <c r="AB10" s="7" t="s">
        <v>37</v>
      </c>
      <c r="AC10" s="7" t="s">
        <v>43</v>
      </c>
      <c r="AD10" s="7" t="s">
        <v>42</v>
      </c>
      <c r="AE10" s="7" t="s">
        <v>37</v>
      </c>
      <c r="AF10" s="7" t="s">
        <v>37</v>
      </c>
    </row>
    <row r="11" ht="30" customHeight="1" spans="1:32" s="7" customFormat="1" x14ac:dyDescent="0.25">
      <c r="A11" s="7" t="s">
        <v>79</v>
      </c>
      <c r="B11" s="7" t="s">
        <v>34</v>
      </c>
      <c r="C11" s="7" t="s">
        <v>35</v>
      </c>
      <c r="D11" s="7" t="s">
        <v>80</v>
      </c>
      <c r="E11" s="7" t="s">
        <v>80</v>
      </c>
      <c r="F11" s="7" t="s">
        <v>37</v>
      </c>
      <c r="G11" s="7" t="s">
        <v>81</v>
      </c>
      <c r="H11" s="7" t="s">
        <v>37</v>
      </c>
      <c r="I11" s="7" t="s">
        <v>37</v>
      </c>
      <c r="J11" s="7" t="str">
        <f>IF(OR(H11="",I11=""),"",H11*I11)</f>
        <v/>
      </c>
      <c r="K11" s="7" t="str">
        <f>IF(J11="","",IF(J11&gt;=12,"קריטי",IF(J11&gt;=8,"גבוה",IF(J11&gt;=4,"בינוני","נמוך"))))</f>
        <v/>
      </c>
      <c r="L11" s="7" t="s">
        <v>77</v>
      </c>
      <c r="M11" s="7" t="s">
        <v>82</v>
      </c>
      <c r="N11" s="7" t="s">
        <v>37</v>
      </c>
      <c r="O11" s="7" t="s">
        <v>37</v>
      </c>
      <c r="P11" s="7" t="str">
        <f>IF(OR(N11="",O11=""),"",N11*O11)</f>
        <v/>
      </c>
      <c r="Q11" s="7" t="str">
        <f>IF(P11="","",IF(P11&gt;=12,"קריטי",IF(P11&gt;=8,"גבוה",IF(P11&gt;=4,"בינוני","נמוך"))))</f>
        <v/>
      </c>
      <c r="R11" s="7" t="str">
        <f>IF(J11="","",IF(X11&gt;0,ROUND(J11-IF(T11="הושלם",1,Z11/100)*(J11-IF(P11="",J11,P11)),0),IF(T11="הושלם",IF(P11="",J11,P11),IF(T11="בתהליך",IF(P11="",J11,ROUND((J11+P11)/2,0)),J11))))</f>
        <v/>
      </c>
      <c r="S11" s="7" t="str">
        <f>IF(R11="","",IF(R11&gt;=12,"קריטי",IF(R11&gt;=8,"גבוה",IF(R11&gt;=4,"בינוני","נמוך"))))</f>
        <v/>
      </c>
      <c r="T11" s="7" t="s">
        <v>55</v>
      </c>
      <c r="U11" s="8" t="s">
        <v>37</v>
      </c>
      <c r="V11" s="7" t="s">
        <v>37</v>
      </c>
      <c r="W11" s="7" t="s">
        <v>42</v>
      </c>
      <c r="X11" s="7">
        <v>0</v>
      </c>
      <c r="Y11" s="7">
        <v>0</v>
      </c>
      <c r="Z11" s="9">
        <f>IF(X11=0,0,ROUND(Y11/X11*100,0))</f>
        <v>0</v>
      </c>
      <c r="AA11" s="7" t="s">
        <v>37</v>
      </c>
      <c r="AB11" s="7" t="s">
        <v>37</v>
      </c>
      <c r="AC11" s="7" t="s">
        <v>43</v>
      </c>
      <c r="AD11" s="7" t="s">
        <v>42</v>
      </c>
      <c r="AE11" s="7" t="s">
        <v>37</v>
      </c>
      <c r="AF11" s="7" t="s">
        <v>37</v>
      </c>
    </row>
    <row r="12" ht="30" customHeight="1" spans="1:32" s="7" customFormat="1" x14ac:dyDescent="0.25">
      <c r="A12" s="7" t="s">
        <v>83</v>
      </c>
      <c r="B12" s="7" t="s">
        <v>34</v>
      </c>
      <c r="C12" s="7" t="s">
        <v>35</v>
      </c>
      <c r="D12" s="7" t="s">
        <v>84</v>
      </c>
      <c r="E12" s="7" t="s">
        <v>84</v>
      </c>
      <c r="F12" s="7" t="s">
        <v>37</v>
      </c>
      <c r="G12" s="7" t="s">
        <v>85</v>
      </c>
      <c r="H12" s="7" t="s">
        <v>37</v>
      </c>
      <c r="I12" s="7" t="s">
        <v>37</v>
      </c>
      <c r="J12" s="7" t="str">
        <f>IF(OR(H12="",I12=""),"",H12*I12)</f>
        <v/>
      </c>
      <c r="K12" s="7" t="str">
        <f>IF(J12="","",IF(J12&gt;=12,"קריטי",IF(J12&gt;=8,"גבוה",IF(J12&gt;=4,"בינוני","נמוך"))))</f>
        <v/>
      </c>
      <c r="L12" s="7" t="s">
        <v>59</v>
      </c>
      <c r="M12" s="7" t="s">
        <v>86</v>
      </c>
      <c r="N12" s="7" t="s">
        <v>37</v>
      </c>
      <c r="O12" s="7" t="s">
        <v>37</v>
      </c>
      <c r="P12" s="7" t="str">
        <f>IF(OR(N12="",O12=""),"",N12*O12)</f>
        <v/>
      </c>
      <c r="Q12" s="7" t="str">
        <f>IF(P12="","",IF(P12&gt;=12,"קריטי",IF(P12&gt;=8,"גבוה",IF(P12&gt;=4,"בינוני","נמוך"))))</f>
        <v/>
      </c>
      <c r="R12" s="7" t="str">
        <f>IF(J12="","",IF(X12&gt;0,ROUND(J12-IF(T12="הושלם",1,Z12/100)*(J12-IF(P12="",J12,P12)),0),IF(T12="הושלם",IF(P12="",J12,P12),IF(T12="בתהליך",IF(P12="",J12,ROUND((J12+P12)/2,0)),J12))))</f>
        <v/>
      </c>
      <c r="S12" s="7" t="str">
        <f>IF(R12="","",IF(R12&gt;=12,"קריטי",IF(R12&gt;=8,"גבוה",IF(R12&gt;=4,"בינוני","נמוך"))))</f>
        <v/>
      </c>
      <c r="T12" s="7" t="s">
        <v>55</v>
      </c>
      <c r="U12" s="8" t="s">
        <v>37</v>
      </c>
      <c r="V12" s="7" t="s">
        <v>37</v>
      </c>
      <c r="W12" s="7" t="s">
        <v>42</v>
      </c>
      <c r="X12" s="7">
        <v>0</v>
      </c>
      <c r="Y12" s="7">
        <v>0</v>
      </c>
      <c r="Z12" s="9">
        <f>IF(X12=0,0,ROUND(Y12/X12*100,0))</f>
        <v>0</v>
      </c>
      <c r="AA12" s="7" t="s">
        <v>37</v>
      </c>
      <c r="AB12" s="7" t="s">
        <v>37</v>
      </c>
      <c r="AC12" s="7" t="s">
        <v>43</v>
      </c>
      <c r="AD12" s="7" t="s">
        <v>42</v>
      </c>
      <c r="AE12" s="7" t="s">
        <v>37</v>
      </c>
      <c r="AF12" s="7" t="s">
        <v>37</v>
      </c>
    </row>
    <row r="13" ht="30" customHeight="1" spans="1:32" s="7" customFormat="1" x14ac:dyDescent="0.25">
      <c r="A13" s="7" t="s">
        <v>87</v>
      </c>
      <c r="B13" s="7" t="s">
        <v>88</v>
      </c>
      <c r="C13" s="7" t="s">
        <v>89</v>
      </c>
      <c r="D13" s="7" t="s">
        <v>90</v>
      </c>
      <c r="E13" s="7" t="s">
        <v>90</v>
      </c>
      <c r="F13" s="7" t="s">
        <v>37</v>
      </c>
      <c r="G13" s="7" t="s">
        <v>91</v>
      </c>
      <c r="H13" s="7" t="s">
        <v>37</v>
      </c>
      <c r="I13" s="7" t="s">
        <v>37</v>
      </c>
      <c r="J13" s="7" t="str">
        <f>IF(OR(H13="",I13=""),"",H13*I13)</f>
        <v/>
      </c>
      <c r="K13" s="7" t="str">
        <f>IF(J13="","",IF(J13&gt;=12,"קריטי",IF(J13&gt;=8,"גבוה",IF(J13&gt;=4,"בינוני","נמוך"))))</f>
        <v/>
      </c>
      <c r="L13" s="7" t="s">
        <v>39</v>
      </c>
      <c r="M13" s="7" t="s">
        <v>92</v>
      </c>
      <c r="N13" s="7" t="s">
        <v>37</v>
      </c>
      <c r="O13" s="7" t="s">
        <v>37</v>
      </c>
      <c r="P13" s="7" t="str">
        <f>IF(OR(N13="",O13=""),"",N13*O13)</f>
        <v/>
      </c>
      <c r="Q13" s="7" t="str">
        <f>IF(P13="","",IF(P13&gt;=12,"קריטי",IF(P13&gt;=8,"גבוה",IF(P13&gt;=4,"בינוני","נמוך"))))</f>
        <v/>
      </c>
      <c r="R13" s="7" t="str">
        <f>IF(J13="","",IF(X13&gt;0,ROUND(J13-IF(T13="הושלם",1,Z13/100)*(J13-IF(P13="",J13,P13)),0),IF(T13="הושלם",IF(P13="",J13,P13),IF(T13="בתהליך",IF(P13="",J13,ROUND((J13+P13)/2,0)),J13))))</f>
        <v/>
      </c>
      <c r="S13" s="7" t="str">
        <f>IF(R13="","",IF(R13&gt;=12,"קריטי",IF(R13&gt;=8,"גבוה",IF(R13&gt;=4,"בינוני","נמוך"))))</f>
        <v/>
      </c>
      <c r="T13" s="7" t="s">
        <v>55</v>
      </c>
      <c r="U13" s="8" t="s">
        <v>37</v>
      </c>
      <c r="V13" s="7" t="s">
        <v>37</v>
      </c>
      <c r="W13" s="7" t="s">
        <v>42</v>
      </c>
      <c r="X13" s="7">
        <v>0</v>
      </c>
      <c r="Y13" s="7">
        <v>0</v>
      </c>
      <c r="Z13" s="9">
        <f>IF(X13=0,0,ROUND(Y13/X13*100,0))</f>
        <v>0</v>
      </c>
      <c r="AA13" s="7" t="s">
        <v>37</v>
      </c>
      <c r="AB13" s="7" t="s">
        <v>37</v>
      </c>
      <c r="AC13" s="7" t="s">
        <v>43</v>
      </c>
      <c r="AD13" s="7" t="s">
        <v>42</v>
      </c>
      <c r="AE13" s="7" t="s">
        <v>37</v>
      </c>
      <c r="AF13" s="7" t="s">
        <v>37</v>
      </c>
    </row>
    <row r="14" ht="30" customHeight="1" spans="1:32" s="7" customFormat="1" x14ac:dyDescent="0.25">
      <c r="A14" s="7" t="s">
        <v>93</v>
      </c>
      <c r="B14" s="7" t="s">
        <v>88</v>
      </c>
      <c r="C14" s="7" t="s">
        <v>89</v>
      </c>
      <c r="D14" s="7" t="s">
        <v>94</v>
      </c>
      <c r="E14" s="7" t="s">
        <v>94</v>
      </c>
      <c r="F14" s="7" t="s">
        <v>37</v>
      </c>
      <c r="G14" s="7" t="s">
        <v>95</v>
      </c>
      <c r="H14" s="7" t="s">
        <v>37</v>
      </c>
      <c r="I14" s="7" t="s">
        <v>37</v>
      </c>
      <c r="J14" s="7" t="str">
        <f>IF(OR(H14="",I14=""),"",H14*I14)</f>
        <v/>
      </c>
      <c r="K14" s="7" t="str">
        <f>IF(J14="","",IF(J14&gt;=12,"קריטי",IF(J14&gt;=8,"גבוה",IF(J14&gt;=4,"בינוני","נמוך"))))</f>
        <v/>
      </c>
      <c r="L14" s="7" t="s">
        <v>96</v>
      </c>
      <c r="M14" s="7" t="s">
        <v>97</v>
      </c>
      <c r="N14" s="7" t="s">
        <v>37</v>
      </c>
      <c r="O14" s="7" t="s">
        <v>37</v>
      </c>
      <c r="P14" s="7" t="str">
        <f>IF(OR(N14="",O14=""),"",N14*O14)</f>
        <v/>
      </c>
      <c r="Q14" s="7" t="str">
        <f>IF(P14="","",IF(P14&gt;=12,"קריטי",IF(P14&gt;=8,"גבוה",IF(P14&gt;=4,"בינוני","נמוך"))))</f>
        <v/>
      </c>
      <c r="R14" s="7" t="str">
        <f>IF(J14="","",IF(X14&gt;0,ROUND(J14-IF(T14="הושלם",1,Z14/100)*(J14-IF(P14="",J14,P14)),0),IF(T14="הושלם",IF(P14="",J14,P14),IF(T14="בתהליך",IF(P14="",J14,ROUND((J14+P14)/2,0)),J14))))</f>
        <v/>
      </c>
      <c r="S14" s="7" t="str">
        <f>IF(R14="","",IF(R14&gt;=12,"קריטי",IF(R14&gt;=8,"גבוה",IF(R14&gt;=4,"בינוני","נמוך"))))</f>
        <v/>
      </c>
      <c r="T14" s="7" t="s">
        <v>55</v>
      </c>
      <c r="U14" s="8" t="s">
        <v>37</v>
      </c>
      <c r="V14" s="7" t="s">
        <v>37</v>
      </c>
      <c r="W14" s="7" t="s">
        <v>42</v>
      </c>
      <c r="X14" s="7">
        <v>0</v>
      </c>
      <c r="Y14" s="7">
        <v>0</v>
      </c>
      <c r="Z14" s="9">
        <f>IF(X14=0,0,ROUND(Y14/X14*100,0))</f>
        <v>0</v>
      </c>
      <c r="AA14" s="7" t="s">
        <v>37</v>
      </c>
      <c r="AB14" s="7" t="s">
        <v>37</v>
      </c>
      <c r="AC14" s="7" t="s">
        <v>43</v>
      </c>
      <c r="AD14" s="7" t="s">
        <v>42</v>
      </c>
      <c r="AE14" s="7" t="s">
        <v>37</v>
      </c>
      <c r="AF14" s="7" t="s">
        <v>37</v>
      </c>
    </row>
    <row r="15" ht="30" customHeight="1" spans="1:32" s="7" customFormat="1" x14ac:dyDescent="0.25">
      <c r="A15" s="7" t="s">
        <v>98</v>
      </c>
      <c r="B15" s="7" t="s">
        <v>88</v>
      </c>
      <c r="C15" s="7" t="s">
        <v>89</v>
      </c>
      <c r="D15" s="7" t="s">
        <v>99</v>
      </c>
      <c r="E15" s="7" t="s">
        <v>99</v>
      </c>
      <c r="F15" s="7" t="s">
        <v>37</v>
      </c>
      <c r="G15" s="7" t="s">
        <v>100</v>
      </c>
      <c r="H15" s="7" t="s">
        <v>37</v>
      </c>
      <c r="I15" s="7" t="s">
        <v>37</v>
      </c>
      <c r="J15" s="7" t="str">
        <f>IF(OR(H15="",I15=""),"",H15*I15)</f>
        <v/>
      </c>
      <c r="K15" s="7" t="str">
        <f>IF(J15="","",IF(J15&gt;=12,"קריטי",IF(J15&gt;=8,"גבוה",IF(J15&gt;=4,"בינוני","נמוך"))))</f>
        <v/>
      </c>
      <c r="L15" s="7" t="s">
        <v>101</v>
      </c>
      <c r="M15" s="7" t="s">
        <v>102</v>
      </c>
      <c r="N15" s="7" t="s">
        <v>37</v>
      </c>
      <c r="O15" s="7" t="s">
        <v>37</v>
      </c>
      <c r="P15" s="7" t="str">
        <f>IF(OR(N15="",O15=""),"",N15*O15)</f>
        <v/>
      </c>
      <c r="Q15" s="7" t="str">
        <f>IF(P15="","",IF(P15&gt;=12,"קריטי",IF(P15&gt;=8,"גבוה",IF(P15&gt;=4,"בינוני","נמוך"))))</f>
        <v/>
      </c>
      <c r="R15" s="7" t="str">
        <f>IF(J15="","",IF(X15&gt;0,ROUND(J15-IF(T15="הושלם",1,Z15/100)*(J15-IF(P15="",J15,P15)),0),IF(T15="הושלם",IF(P15="",J15,P15),IF(T15="בתהליך",IF(P15="",J15,ROUND((J15+P15)/2,0)),J15))))</f>
        <v/>
      </c>
      <c r="S15" s="7" t="str">
        <f>IF(R15="","",IF(R15&gt;=12,"קריטי",IF(R15&gt;=8,"גבוה",IF(R15&gt;=4,"בינוני","נמוך"))))</f>
        <v/>
      </c>
      <c r="T15" s="7" t="s">
        <v>55</v>
      </c>
      <c r="U15" s="8" t="s">
        <v>37</v>
      </c>
      <c r="V15" s="7" t="s">
        <v>37</v>
      </c>
      <c r="W15" s="7" t="s">
        <v>42</v>
      </c>
      <c r="X15" s="7">
        <v>0</v>
      </c>
      <c r="Y15" s="7">
        <v>0</v>
      </c>
      <c r="Z15" s="9">
        <f>IF(X15=0,0,ROUND(Y15/X15*100,0))</f>
        <v>0</v>
      </c>
      <c r="AA15" s="7" t="s">
        <v>37</v>
      </c>
      <c r="AB15" s="7" t="s">
        <v>37</v>
      </c>
      <c r="AC15" s="7" t="s">
        <v>43</v>
      </c>
      <c r="AD15" s="7" t="s">
        <v>42</v>
      </c>
      <c r="AE15" s="7" t="s">
        <v>37</v>
      </c>
      <c r="AF15" s="7" t="s">
        <v>37</v>
      </c>
    </row>
    <row r="16" ht="30" customHeight="1" spans="1:32" s="7" customFormat="1" x14ac:dyDescent="0.25">
      <c r="A16" s="7" t="s">
        <v>103</v>
      </c>
      <c r="B16" s="7" t="s">
        <v>88</v>
      </c>
      <c r="C16" s="7" t="s">
        <v>89</v>
      </c>
      <c r="D16" s="7" t="s">
        <v>104</v>
      </c>
      <c r="E16" s="7" t="s">
        <v>104</v>
      </c>
      <c r="F16" s="7" t="s">
        <v>37</v>
      </c>
      <c r="G16" s="7" t="s">
        <v>105</v>
      </c>
      <c r="H16" s="7" t="s">
        <v>37</v>
      </c>
      <c r="I16" s="7" t="s">
        <v>37</v>
      </c>
      <c r="J16" s="7" t="str">
        <f>IF(OR(H16="",I16=""),"",H16*I16)</f>
        <v/>
      </c>
      <c r="K16" s="7" t="str">
        <f>IF(J16="","",IF(J16&gt;=12,"קריטי",IF(J16&gt;=8,"גבוה",IF(J16&gt;=4,"בינוני","נמוך"))))</f>
        <v/>
      </c>
      <c r="L16" s="7" t="s">
        <v>39</v>
      </c>
      <c r="M16" s="7" t="s">
        <v>106</v>
      </c>
      <c r="N16" s="7" t="s">
        <v>37</v>
      </c>
      <c r="O16" s="7" t="s">
        <v>37</v>
      </c>
      <c r="P16" s="7" t="str">
        <f>IF(OR(N16="",O16=""),"",N16*O16)</f>
        <v/>
      </c>
      <c r="Q16" s="7" t="str">
        <f>IF(P16="","",IF(P16&gt;=12,"קריטי",IF(P16&gt;=8,"גבוה",IF(P16&gt;=4,"בינוני","נמוך"))))</f>
        <v/>
      </c>
      <c r="R16" s="7" t="str">
        <f>IF(J16="","",IF(X16&gt;0,ROUND(J16-IF(T16="הושלם",1,Z16/100)*(J16-IF(P16="",J16,P16)),0),IF(T16="הושלם",IF(P16="",J16,P16),IF(T16="בתהליך",IF(P16="",J16,ROUND((J16+P16)/2,0)),J16))))</f>
        <v/>
      </c>
      <c r="S16" s="7" t="str">
        <f>IF(R16="","",IF(R16&gt;=12,"קריטי",IF(R16&gt;=8,"גבוה",IF(R16&gt;=4,"בינוני","נמוך"))))</f>
        <v/>
      </c>
      <c r="T16" s="7" t="s">
        <v>55</v>
      </c>
      <c r="U16" s="8" t="s">
        <v>37</v>
      </c>
      <c r="V16" s="7" t="s">
        <v>37</v>
      </c>
      <c r="W16" s="7" t="s">
        <v>42</v>
      </c>
      <c r="X16" s="7">
        <v>0</v>
      </c>
      <c r="Y16" s="7">
        <v>0</v>
      </c>
      <c r="Z16" s="9">
        <f>IF(X16=0,0,ROUND(Y16/X16*100,0))</f>
        <v>0</v>
      </c>
      <c r="AA16" s="7" t="s">
        <v>37</v>
      </c>
      <c r="AB16" s="7" t="s">
        <v>37</v>
      </c>
      <c r="AC16" s="7" t="s">
        <v>43</v>
      </c>
      <c r="AD16" s="7" t="s">
        <v>42</v>
      </c>
      <c r="AE16" s="7" t="s">
        <v>37</v>
      </c>
      <c r="AF16" s="7" t="s">
        <v>37</v>
      </c>
    </row>
    <row r="17" ht="30" customHeight="1" spans="1:32" s="7" customFormat="1" x14ac:dyDescent="0.25">
      <c r="A17" s="7" t="s">
        <v>107</v>
      </c>
      <c r="B17" s="7" t="s">
        <v>88</v>
      </c>
      <c r="C17" s="7" t="s">
        <v>89</v>
      </c>
      <c r="D17" s="7" t="s">
        <v>108</v>
      </c>
      <c r="E17" s="7" t="s">
        <v>108</v>
      </c>
      <c r="F17" s="7" t="s">
        <v>37</v>
      </c>
      <c r="G17" s="7" t="s">
        <v>109</v>
      </c>
      <c r="H17" s="7" t="s">
        <v>37</v>
      </c>
      <c r="I17" s="7" t="s">
        <v>37</v>
      </c>
      <c r="J17" s="7" t="str">
        <f>IF(OR(H17="",I17=""),"",H17*I17)</f>
        <v/>
      </c>
      <c r="K17" s="7" t="str">
        <f>IF(J17="","",IF(J17&gt;=12,"קריטי",IF(J17&gt;=8,"גבוה",IF(J17&gt;=4,"בינוני","נמוך"))))</f>
        <v/>
      </c>
      <c r="L17" s="7" t="s">
        <v>39</v>
      </c>
      <c r="M17" s="7" t="s">
        <v>110</v>
      </c>
      <c r="N17" s="7" t="s">
        <v>37</v>
      </c>
      <c r="O17" s="7" t="s">
        <v>37</v>
      </c>
      <c r="P17" s="7" t="str">
        <f>IF(OR(N17="",O17=""),"",N17*O17)</f>
        <v/>
      </c>
      <c r="Q17" s="7" t="str">
        <f>IF(P17="","",IF(P17&gt;=12,"קריטי",IF(P17&gt;=8,"גבוה",IF(P17&gt;=4,"בינוני","נמוך"))))</f>
        <v/>
      </c>
      <c r="R17" s="7" t="str">
        <f>IF(J17="","",IF(X17&gt;0,ROUND(J17-IF(T17="הושלם",1,Z17/100)*(J17-IF(P17="",J17,P17)),0),IF(T17="הושלם",IF(P17="",J17,P17),IF(T17="בתהליך",IF(P17="",J17,ROUND((J17+P17)/2,0)),J17))))</f>
        <v/>
      </c>
      <c r="S17" s="7" t="str">
        <f>IF(R17="","",IF(R17&gt;=12,"קריטי",IF(R17&gt;=8,"גבוה",IF(R17&gt;=4,"בינוני","נמוך"))))</f>
        <v/>
      </c>
      <c r="T17" s="7" t="s">
        <v>55</v>
      </c>
      <c r="U17" s="8" t="s">
        <v>37</v>
      </c>
      <c r="V17" s="7" t="s">
        <v>37</v>
      </c>
      <c r="W17" s="7" t="s">
        <v>42</v>
      </c>
      <c r="X17" s="7">
        <v>0</v>
      </c>
      <c r="Y17" s="7">
        <v>0</v>
      </c>
      <c r="Z17" s="9">
        <f>IF(X17=0,0,ROUND(Y17/X17*100,0))</f>
        <v>0</v>
      </c>
      <c r="AA17" s="7" t="s">
        <v>37</v>
      </c>
      <c r="AB17" s="7" t="s">
        <v>37</v>
      </c>
      <c r="AC17" s="7" t="s">
        <v>43</v>
      </c>
      <c r="AD17" s="7" t="s">
        <v>42</v>
      </c>
      <c r="AE17" s="7" t="s">
        <v>37</v>
      </c>
      <c r="AF17" s="7" t="s">
        <v>37</v>
      </c>
    </row>
    <row r="18" ht="30" customHeight="1" spans="1:32" s="7" customFormat="1" x14ac:dyDescent="0.25">
      <c r="A18" s="7" t="s">
        <v>111</v>
      </c>
      <c r="B18" s="7" t="s">
        <v>88</v>
      </c>
      <c r="C18" s="7" t="s">
        <v>89</v>
      </c>
      <c r="D18" s="7" t="s">
        <v>112</v>
      </c>
      <c r="E18" s="7" t="s">
        <v>112</v>
      </c>
      <c r="F18" s="7" t="s">
        <v>37</v>
      </c>
      <c r="G18" s="7" t="s">
        <v>113</v>
      </c>
      <c r="H18" s="7" t="s">
        <v>37</v>
      </c>
      <c r="I18" s="7" t="s">
        <v>37</v>
      </c>
      <c r="J18" s="7" t="str">
        <f>IF(OR(H18="",I18=""),"",H18*I18)</f>
        <v/>
      </c>
      <c r="K18" s="7" t="str">
        <f>IF(J18="","",IF(J18&gt;=12,"קריטי",IF(J18&gt;=8,"גבוה",IF(J18&gt;=4,"בינוני","נמוך"))))</f>
        <v/>
      </c>
      <c r="L18" s="7" t="s">
        <v>39</v>
      </c>
      <c r="M18" s="7" t="s">
        <v>114</v>
      </c>
      <c r="N18" s="7" t="s">
        <v>37</v>
      </c>
      <c r="O18" s="7" t="s">
        <v>37</v>
      </c>
      <c r="P18" s="7" t="str">
        <f>IF(OR(N18="",O18=""),"",N18*O18)</f>
        <v/>
      </c>
      <c r="Q18" s="7" t="str">
        <f>IF(P18="","",IF(P18&gt;=12,"קריטי",IF(P18&gt;=8,"גבוה",IF(P18&gt;=4,"בינוני","נמוך"))))</f>
        <v/>
      </c>
      <c r="R18" s="7" t="str">
        <f>IF(J18="","",IF(X18&gt;0,ROUND(J18-IF(T18="הושלם",1,Z18/100)*(J18-IF(P18="",J18,P18)),0),IF(T18="הושלם",IF(P18="",J18,P18),IF(T18="בתהליך",IF(P18="",J18,ROUND((J18+P18)/2,0)),J18))))</f>
        <v/>
      </c>
      <c r="S18" s="7" t="str">
        <f>IF(R18="","",IF(R18&gt;=12,"קריטי",IF(R18&gt;=8,"גבוה",IF(R18&gt;=4,"בינוני","נמוך"))))</f>
        <v/>
      </c>
      <c r="T18" s="7" t="s">
        <v>55</v>
      </c>
      <c r="U18" s="8" t="s">
        <v>37</v>
      </c>
      <c r="V18" s="7" t="s">
        <v>37</v>
      </c>
      <c r="W18" s="7" t="s">
        <v>42</v>
      </c>
      <c r="X18" s="7">
        <v>0</v>
      </c>
      <c r="Y18" s="7">
        <v>0</v>
      </c>
      <c r="Z18" s="9">
        <f>IF(X18=0,0,ROUND(Y18/X18*100,0))</f>
        <v>0</v>
      </c>
      <c r="AA18" s="7" t="s">
        <v>37</v>
      </c>
      <c r="AB18" s="7" t="s">
        <v>37</v>
      </c>
      <c r="AC18" s="7" t="s">
        <v>43</v>
      </c>
      <c r="AD18" s="7" t="s">
        <v>42</v>
      </c>
      <c r="AE18" s="7" t="s">
        <v>37</v>
      </c>
      <c r="AF18" s="7" t="s">
        <v>37</v>
      </c>
    </row>
    <row r="19" ht="30" customHeight="1" spans="1:32" s="7" customFormat="1" x14ac:dyDescent="0.25">
      <c r="A19" s="7" t="s">
        <v>115</v>
      </c>
      <c r="B19" s="7" t="s">
        <v>88</v>
      </c>
      <c r="C19" s="7" t="s">
        <v>89</v>
      </c>
      <c r="D19" s="7" t="s">
        <v>116</v>
      </c>
      <c r="E19" s="7" t="s">
        <v>116</v>
      </c>
      <c r="F19" s="7" t="s">
        <v>37</v>
      </c>
      <c r="G19" s="7" t="s">
        <v>117</v>
      </c>
      <c r="H19" s="7" t="s">
        <v>37</v>
      </c>
      <c r="I19" s="7" t="s">
        <v>37</v>
      </c>
      <c r="J19" s="7" t="str">
        <f>IF(OR(H19="",I19=""),"",H19*I19)</f>
        <v/>
      </c>
      <c r="K19" s="7" t="str">
        <f>IF(J19="","",IF(J19&gt;=12,"קריטי",IF(J19&gt;=8,"גבוה",IF(J19&gt;=4,"בינוני","נמוך"))))</f>
        <v/>
      </c>
      <c r="L19" s="7" t="s">
        <v>96</v>
      </c>
      <c r="M19" s="7" t="s">
        <v>118</v>
      </c>
      <c r="N19" s="7" t="s">
        <v>37</v>
      </c>
      <c r="O19" s="7" t="s">
        <v>37</v>
      </c>
      <c r="P19" s="7" t="str">
        <f>IF(OR(N19="",O19=""),"",N19*O19)</f>
        <v/>
      </c>
      <c r="Q19" s="7" t="str">
        <f>IF(P19="","",IF(P19&gt;=12,"קריטי",IF(P19&gt;=8,"גבוה",IF(P19&gt;=4,"בינוני","נמוך"))))</f>
        <v/>
      </c>
      <c r="R19" s="7" t="str">
        <f>IF(J19="","",IF(X19&gt;0,ROUND(J19-IF(T19="הושלם",1,Z19/100)*(J19-IF(P19="",J19,P19)),0),IF(T19="הושלם",IF(P19="",J19,P19),IF(T19="בתהליך",IF(P19="",J19,ROUND((J19+P19)/2,0)),J19))))</f>
        <v/>
      </c>
      <c r="S19" s="7" t="str">
        <f>IF(R19="","",IF(R19&gt;=12,"קריטי",IF(R19&gt;=8,"גבוה",IF(R19&gt;=4,"בינוני","נמוך"))))</f>
        <v/>
      </c>
      <c r="T19" s="7" t="s">
        <v>55</v>
      </c>
      <c r="U19" s="8" t="s">
        <v>37</v>
      </c>
      <c r="V19" s="7" t="s">
        <v>37</v>
      </c>
      <c r="W19" s="7" t="s">
        <v>42</v>
      </c>
      <c r="X19" s="7">
        <v>0</v>
      </c>
      <c r="Y19" s="7">
        <v>0</v>
      </c>
      <c r="Z19" s="9">
        <f>IF(X19=0,0,ROUND(Y19/X19*100,0))</f>
        <v>0</v>
      </c>
      <c r="AA19" s="7" t="s">
        <v>37</v>
      </c>
      <c r="AB19" s="7" t="s">
        <v>37</v>
      </c>
      <c r="AC19" s="7" t="s">
        <v>43</v>
      </c>
      <c r="AD19" s="7" t="s">
        <v>42</v>
      </c>
      <c r="AE19" s="7" t="s">
        <v>37</v>
      </c>
      <c r="AF19" s="7" t="s">
        <v>37</v>
      </c>
    </row>
    <row r="20" ht="30" customHeight="1" spans="1:32" s="7" customFormat="1" x14ac:dyDescent="0.25">
      <c r="A20" s="7" t="s">
        <v>119</v>
      </c>
      <c r="B20" s="7" t="s">
        <v>120</v>
      </c>
      <c r="C20" s="7" t="s">
        <v>121</v>
      </c>
      <c r="D20" s="7" t="s">
        <v>122</v>
      </c>
      <c r="E20" s="7" t="s">
        <v>122</v>
      </c>
      <c r="F20" s="7" t="s">
        <v>37</v>
      </c>
      <c r="G20" s="7" t="s">
        <v>123</v>
      </c>
      <c r="H20" s="7">
        <v>2</v>
      </c>
      <c r="I20" s="7">
        <v>2</v>
      </c>
      <c r="J20" s="7">
        <f>IF(OR(H20="",I20=""),"",H20*I20)</f>
        <v>4</v>
      </c>
      <c r="K20" s="7" t="str">
        <f>IF(J20="","",IF(J20&gt;=12,"קריטי",IF(J20&gt;=8,"גבוה",IF(J20&gt;=4,"בינוני","נמוך"))))</f>
        <v>בינוני</v>
      </c>
      <c r="L20" s="7" t="s">
        <v>47</v>
      </c>
      <c r="M20" s="7" t="s">
        <v>124</v>
      </c>
      <c r="N20" s="7">
        <v>2</v>
      </c>
      <c r="O20" s="7">
        <v>1</v>
      </c>
      <c r="P20" s="7">
        <f>IF(OR(N20="",O20=""),"",N20*O20)</f>
        <v>2</v>
      </c>
      <c r="Q20" s="7" t="str">
        <f>IF(P20="","",IF(P20&gt;=12,"קריטי",IF(P20&gt;=8,"גבוה",IF(P20&gt;=4,"בינוני","נמוך"))))</f>
        <v>נמוך</v>
      </c>
      <c r="R20" s="7">
        <f>IF(J20="","",IF(X20&gt;0,ROUND(J20-IF(T20="הושלם",1,Z20/100)*(J20-IF(P20="",J20,P20)),0),IF(T20="הושלם",IF(P20="",J20,P20),IF(T20="בתהליך",IF(P20="",J20,ROUND((J20+P20)/2,0)),J20))))</f>
        <v>4</v>
      </c>
      <c r="S20" s="7" t="str">
        <f>IF(R20="","",IF(R20&gt;=12,"קריטי",IF(R20&gt;=8,"גבוה",IF(R20&gt;=4,"בינוני","נמוך"))))</f>
        <v>בינוני</v>
      </c>
      <c r="T20" s="7" t="s">
        <v>55</v>
      </c>
      <c r="U20" s="8" t="s">
        <v>37</v>
      </c>
      <c r="V20" s="7" t="s">
        <v>37</v>
      </c>
      <c r="W20" s="7" t="s">
        <v>42</v>
      </c>
      <c r="X20" s="7">
        <v>0</v>
      </c>
      <c r="Y20" s="7">
        <v>0</v>
      </c>
      <c r="Z20" s="9">
        <f>IF(X20=0,0,ROUND(Y20/X20*100,0))</f>
        <v>0</v>
      </c>
      <c r="AA20" s="7" t="s">
        <v>125</v>
      </c>
      <c r="AB20" s="7" t="s">
        <v>37</v>
      </c>
      <c r="AC20" s="7" t="s">
        <v>43</v>
      </c>
      <c r="AD20" s="7" t="s">
        <v>42</v>
      </c>
      <c r="AE20" s="7" t="s">
        <v>37</v>
      </c>
      <c r="AF20" s="7" t="s">
        <v>37</v>
      </c>
    </row>
    <row r="21" ht="30" customHeight="1" spans="1:32" s="7" customFormat="1" x14ac:dyDescent="0.25">
      <c r="A21" s="7" t="s">
        <v>126</v>
      </c>
      <c r="B21" s="7" t="s">
        <v>120</v>
      </c>
      <c r="C21" s="7" t="s">
        <v>121</v>
      </c>
      <c r="D21" s="7" t="s">
        <v>127</v>
      </c>
      <c r="E21" s="7" t="s">
        <v>127</v>
      </c>
      <c r="F21" s="7" t="s">
        <v>37</v>
      </c>
      <c r="G21" s="7" t="s">
        <v>128</v>
      </c>
      <c r="H21" s="7">
        <v>4</v>
      </c>
      <c r="I21" s="7">
        <v>4</v>
      </c>
      <c r="J21" s="7">
        <f>IF(OR(H21="",I21=""),"",H21*I21)</f>
        <v>16</v>
      </c>
      <c r="K21" s="7" t="str">
        <f>IF(J21="","",IF(J21&gt;=12,"קריטי",IF(J21&gt;=8,"גבוה",IF(J21&gt;=4,"בינוני","נמוך"))))</f>
        <v>קריטי</v>
      </c>
      <c r="L21" s="7" t="s">
        <v>59</v>
      </c>
      <c r="M21" s="7" t="s">
        <v>129</v>
      </c>
      <c r="N21" s="7">
        <v>2</v>
      </c>
      <c r="O21" s="7">
        <v>1</v>
      </c>
      <c r="P21" s="7">
        <f>IF(OR(N21="",O21=""),"",N21*O21)</f>
        <v>2</v>
      </c>
      <c r="Q21" s="7" t="str">
        <f>IF(P21="","",IF(P21&gt;=12,"קריטי",IF(P21&gt;=8,"גבוה",IF(P21&gt;=4,"בינוני","נמוך"))))</f>
        <v>נמוך</v>
      </c>
      <c r="R21" s="7">
        <f>IF(J21="","",IF(X21&gt;0,ROUND(J21-IF(T21="הושלם",1,Z21/100)*(J21-IF(P21="",J21,P21)),0),IF(T21="הושלם",IF(P21="",J21,P21),IF(T21="בתהליך",IF(P21="",J21,ROUND((J21+P21)/2,0)),J21))))</f>
        <v>2</v>
      </c>
      <c r="S21" s="7" t="str">
        <f>IF(R21="","",IF(R21&gt;=12,"קריטי",IF(R21&gt;=8,"גבוה",IF(R21&gt;=4,"בינוני","נמוך"))))</f>
        <v>נמוך</v>
      </c>
      <c r="T21" s="7" t="s">
        <v>55</v>
      </c>
      <c r="U21" s="8" t="s">
        <v>37</v>
      </c>
      <c r="V21" s="7" t="s">
        <v>49</v>
      </c>
      <c r="W21" s="7" t="s">
        <v>42</v>
      </c>
      <c r="X21" s="7">
        <v>3</v>
      </c>
      <c r="Y21" s="7">
        <v>3</v>
      </c>
      <c r="Z21" s="9">
        <f>IF(X21=0,0,ROUND(Y21/X21*100,0))</f>
        <v>100</v>
      </c>
      <c r="AA21" s="7" t="s">
        <v>130</v>
      </c>
      <c r="AB21" s="7" t="s">
        <v>37</v>
      </c>
      <c r="AC21" s="7" t="s">
        <v>43</v>
      </c>
      <c r="AD21" s="7" t="s">
        <v>42</v>
      </c>
      <c r="AE21" s="7">
        <v>24</v>
      </c>
      <c r="AF21" s="7" t="s">
        <v>37</v>
      </c>
    </row>
    <row r="22" ht="30" customHeight="1" spans="1:32" s="7" customFormat="1" x14ac:dyDescent="0.25">
      <c r="A22" s="7" t="s">
        <v>131</v>
      </c>
      <c r="B22" s="7" t="s">
        <v>120</v>
      </c>
      <c r="C22" s="7" t="s">
        <v>121</v>
      </c>
      <c r="D22" s="7" t="s">
        <v>132</v>
      </c>
      <c r="E22" s="7" t="s">
        <v>132</v>
      </c>
      <c r="F22" s="7" t="s">
        <v>37</v>
      </c>
      <c r="G22" s="7" t="s">
        <v>133</v>
      </c>
      <c r="H22" s="7" t="s">
        <v>37</v>
      </c>
      <c r="I22" s="7" t="s">
        <v>37</v>
      </c>
      <c r="J22" s="7" t="str">
        <f>IF(OR(H22="",I22=""),"",H22*I22)</f>
        <v/>
      </c>
      <c r="K22" s="7" t="str">
        <f>IF(J22="","",IF(J22&gt;=12,"קריטי",IF(J22&gt;=8,"גבוה",IF(J22&gt;=4,"בינוני","נמוך"))))</f>
        <v/>
      </c>
      <c r="L22" s="7" t="s">
        <v>53</v>
      </c>
      <c r="M22" s="7" t="s">
        <v>134</v>
      </c>
      <c r="N22" s="7" t="s">
        <v>37</v>
      </c>
      <c r="O22" s="7" t="s">
        <v>37</v>
      </c>
      <c r="P22" s="7" t="str">
        <f>IF(OR(N22="",O22=""),"",N22*O22)</f>
        <v/>
      </c>
      <c r="Q22" s="7" t="str">
        <f>IF(P22="","",IF(P22&gt;=12,"קריטי",IF(P22&gt;=8,"גבוה",IF(P22&gt;=4,"בינוני","נמוך"))))</f>
        <v/>
      </c>
      <c r="R22" s="7" t="str">
        <f>IF(J22="","",IF(X22&gt;0,ROUND(J22-IF(T22="הושלם",1,Z22/100)*(J22-IF(P22="",J22,P22)),0),IF(T22="הושלם",IF(P22="",J22,P22),IF(T22="בתהליך",IF(P22="",J22,ROUND((J22+P22)/2,0)),J22))))</f>
        <v/>
      </c>
      <c r="S22" s="7" t="str">
        <f>IF(R22="","",IF(R22&gt;=12,"קריטי",IF(R22&gt;=8,"גבוה",IF(R22&gt;=4,"בינוני","נמוך"))))</f>
        <v/>
      </c>
      <c r="T22" s="7" t="s">
        <v>55</v>
      </c>
      <c r="U22" s="8" t="s">
        <v>37</v>
      </c>
      <c r="V22" s="7" t="s">
        <v>37</v>
      </c>
      <c r="W22" s="7" t="s">
        <v>135</v>
      </c>
      <c r="X22" s="7">
        <v>0</v>
      </c>
      <c r="Y22" s="7">
        <v>0</v>
      </c>
      <c r="Z22" s="9">
        <f>IF(X22=0,0,ROUND(Y22/X22*100,0))</f>
        <v>0</v>
      </c>
      <c r="AA22" s="7" t="s">
        <v>37</v>
      </c>
      <c r="AB22" s="7" t="s">
        <v>37</v>
      </c>
      <c r="AC22" s="7" t="s">
        <v>43</v>
      </c>
      <c r="AD22" s="7" t="s">
        <v>42</v>
      </c>
      <c r="AE22" s="7">
        <v>48</v>
      </c>
      <c r="AF22" s="7" t="s">
        <v>37</v>
      </c>
    </row>
    <row r="23" ht="30" customHeight="1" spans="1:32" s="7" customFormat="1" x14ac:dyDescent="0.25">
      <c r="A23" s="7" t="s">
        <v>136</v>
      </c>
      <c r="B23" s="7" t="s">
        <v>120</v>
      </c>
      <c r="C23" s="7" t="s">
        <v>121</v>
      </c>
      <c r="D23" s="7" t="s">
        <v>137</v>
      </c>
      <c r="E23" s="7" t="s">
        <v>137</v>
      </c>
      <c r="F23" s="7" t="s">
        <v>37</v>
      </c>
      <c r="G23" s="7" t="s">
        <v>138</v>
      </c>
      <c r="H23" s="7">
        <v>3</v>
      </c>
      <c r="I23" s="7">
        <v>2</v>
      </c>
      <c r="J23" s="7">
        <f>IF(OR(H23="",I23=""),"",H23*I23)</f>
        <v>6</v>
      </c>
      <c r="K23" s="7" t="str">
        <f>IF(J23="","",IF(J23&gt;=12,"קריטי",IF(J23&gt;=8,"גבוה",IF(J23&gt;=4,"בינוני","נמוך"))))</f>
        <v>בינוני</v>
      </c>
      <c r="L23" s="7" t="s">
        <v>77</v>
      </c>
      <c r="M23" s="7" t="s">
        <v>139</v>
      </c>
      <c r="N23" s="7">
        <v>2</v>
      </c>
      <c r="O23" s="7">
        <v>1</v>
      </c>
      <c r="P23" s="7">
        <f>IF(OR(N23="",O23=""),"",N23*O23)</f>
        <v>2</v>
      </c>
      <c r="Q23" s="7" t="str">
        <f>IF(P23="","",IF(P23&gt;=12,"קריטי",IF(P23&gt;=8,"גבוה",IF(P23&gt;=4,"בינוני","נמוך"))))</f>
        <v>נמוך</v>
      </c>
      <c r="R23" s="7">
        <f>IF(J23="","",IF(X23&gt;0,ROUND(J23-IF(T23="הושלם",1,Z23/100)*(J23-IF(P23="",J23,P23)),0),IF(T23="הושלם",IF(P23="",J23,P23),IF(T23="בתהליך",IF(P23="",J23,ROUND((J23+P23)/2,0)),J23))))</f>
        <v>6</v>
      </c>
      <c r="S23" s="7" t="str">
        <f>IF(R23="","",IF(R23&gt;=12,"קריטי",IF(R23&gt;=8,"גבוה",IF(R23&gt;=4,"בינוני","נמוך"))))</f>
        <v>בינוני</v>
      </c>
      <c r="T23" s="7" t="s">
        <v>55</v>
      </c>
      <c r="U23" s="8" t="s">
        <v>37</v>
      </c>
      <c r="V23" s="7" t="s">
        <v>49</v>
      </c>
      <c r="W23" s="7" t="s">
        <v>42</v>
      </c>
      <c r="X23" s="7">
        <v>0</v>
      </c>
      <c r="Y23" s="7">
        <v>0</v>
      </c>
      <c r="Z23" s="9">
        <f>IF(X23=0,0,ROUND(Y23/X23*100,0))</f>
        <v>0</v>
      </c>
      <c r="AA23" s="7" t="s">
        <v>130</v>
      </c>
      <c r="AB23" s="7" t="s">
        <v>37</v>
      </c>
      <c r="AC23" s="7" t="s">
        <v>43</v>
      </c>
      <c r="AD23" s="7" t="s">
        <v>42</v>
      </c>
      <c r="AE23" s="7">
        <v>180</v>
      </c>
      <c r="AF23" s="7" t="s">
        <v>37</v>
      </c>
    </row>
    <row r="24" ht="30" customHeight="1" spans="1:32" s="7" customFormat="1" x14ac:dyDescent="0.25">
      <c r="A24" s="7" t="s">
        <v>140</v>
      </c>
      <c r="B24" s="7" t="s">
        <v>120</v>
      </c>
      <c r="C24" s="7" t="s">
        <v>121</v>
      </c>
      <c r="D24" s="7" t="s">
        <v>141</v>
      </c>
      <c r="E24" s="7" t="s">
        <v>141</v>
      </c>
      <c r="F24" s="7" t="s">
        <v>37</v>
      </c>
      <c r="G24" s="7" t="s">
        <v>142</v>
      </c>
      <c r="H24" s="7">
        <v>4</v>
      </c>
      <c r="I24" s="7">
        <v>4</v>
      </c>
      <c r="J24" s="7">
        <f>IF(OR(H24="",I24=""),"",H24*I24)</f>
        <v>16</v>
      </c>
      <c r="K24" s="7" t="str">
        <f>IF(J24="","",IF(J24&gt;=12,"קריטי",IF(J24&gt;=8,"גבוה",IF(J24&gt;=4,"בינוני","נמוך"))))</f>
        <v>קריטי</v>
      </c>
      <c r="L24" s="7" t="s">
        <v>47</v>
      </c>
      <c r="M24" s="7" t="s">
        <v>143</v>
      </c>
      <c r="N24" s="7">
        <v>2</v>
      </c>
      <c r="O24" s="7">
        <v>1</v>
      </c>
      <c r="P24" s="7">
        <f>IF(OR(N24="",O24=""),"",N24*O24)</f>
        <v>2</v>
      </c>
      <c r="Q24" s="7" t="str">
        <f>IF(P24="","",IF(P24&gt;=12,"קריטי",IF(P24&gt;=8,"גבוה",IF(P24&gt;=4,"בינוני","נמוך"))))</f>
        <v>נמוך</v>
      </c>
      <c r="R24" s="7">
        <f>IF(J24="","",IF(X24&gt;0,ROUND(J24-IF(T24="הושלם",1,Z24/100)*(J24-IF(P24="",J24,P24)),0),IF(T24="הושלם",IF(P24="",J24,P24),IF(T24="בתהליך",IF(P24="",J24,ROUND((J24+P24)/2,0)),J24))))</f>
        <v>9</v>
      </c>
      <c r="S24" s="7" t="str">
        <f>IF(R24="","",IF(R24&gt;=12,"קריטי",IF(R24&gt;=8,"גבוה",IF(R24&gt;=4,"בינוני","נמוך"))))</f>
        <v>גבוה</v>
      </c>
      <c r="T24" s="7" t="s">
        <v>41</v>
      </c>
      <c r="U24" s="8" t="s">
        <v>37</v>
      </c>
      <c r="V24" s="7" t="s">
        <v>49</v>
      </c>
      <c r="W24" s="7" t="s">
        <v>42</v>
      </c>
      <c r="X24" s="7">
        <v>0</v>
      </c>
      <c r="Y24" s="7">
        <v>0</v>
      </c>
      <c r="Z24" s="9">
        <f>IF(X24=0,0,ROUND(Y24/X24*100,0))</f>
        <v>0</v>
      </c>
      <c r="AA24" s="7" t="s">
        <v>125</v>
      </c>
      <c r="AB24" s="7" t="s">
        <v>37</v>
      </c>
      <c r="AC24" s="7" t="s">
        <v>43</v>
      </c>
      <c r="AD24" s="7" t="s">
        <v>42</v>
      </c>
      <c r="AE24" s="7" t="s">
        <v>37</v>
      </c>
      <c r="AF24" s="7" t="s">
        <v>37</v>
      </c>
    </row>
    <row r="25" ht="30" customHeight="1" spans="1:32" s="7" customFormat="1" x14ac:dyDescent="0.25">
      <c r="A25" s="7" t="s">
        <v>144</v>
      </c>
      <c r="B25" s="7" t="s">
        <v>120</v>
      </c>
      <c r="C25" s="7" t="s">
        <v>121</v>
      </c>
      <c r="D25" s="7" t="s">
        <v>145</v>
      </c>
      <c r="E25" s="7" t="s">
        <v>145</v>
      </c>
      <c r="F25" s="7" t="s">
        <v>37</v>
      </c>
      <c r="G25" s="7" t="s">
        <v>146</v>
      </c>
      <c r="H25" s="7" t="s">
        <v>37</v>
      </c>
      <c r="I25" s="7" t="s">
        <v>37</v>
      </c>
      <c r="J25" s="7" t="str">
        <f>IF(OR(H25="",I25=""),"",H25*I25)</f>
        <v/>
      </c>
      <c r="K25" s="7" t="str">
        <f>IF(J25="","",IF(J25&gt;=12,"קריטי",IF(J25&gt;=8,"גבוה",IF(J25&gt;=4,"בינוני","נמוך"))))</f>
        <v/>
      </c>
      <c r="L25" s="7" t="s">
        <v>96</v>
      </c>
      <c r="M25" s="7" t="s">
        <v>147</v>
      </c>
      <c r="N25" s="7" t="s">
        <v>37</v>
      </c>
      <c r="O25" s="7" t="s">
        <v>37</v>
      </c>
      <c r="P25" s="7" t="str">
        <f>IF(OR(N25="",O25=""),"",N25*O25)</f>
        <v/>
      </c>
      <c r="Q25" s="7" t="str">
        <f>IF(P25="","",IF(P25&gt;=12,"קריטי",IF(P25&gt;=8,"גבוה",IF(P25&gt;=4,"בינוני","נמוך"))))</f>
        <v/>
      </c>
      <c r="R25" s="7" t="str">
        <f>IF(J25="","",IF(X25&gt;0,ROUND(J25-IF(T25="הושלם",1,Z25/100)*(J25-IF(P25="",J25,P25)),0),IF(T25="הושלם",IF(P25="",J25,P25),IF(T25="בתהליך",IF(P25="",J25,ROUND((J25+P25)/2,0)),J25))))</f>
        <v/>
      </c>
      <c r="S25" s="7" t="str">
        <f>IF(R25="","",IF(R25&gt;=12,"קריטי",IF(R25&gt;=8,"גבוה",IF(R25&gt;=4,"בינוני","נמוך"))))</f>
        <v/>
      </c>
      <c r="T25" s="7" t="s">
        <v>55</v>
      </c>
      <c r="U25" s="8" t="s">
        <v>37</v>
      </c>
      <c r="V25" s="7" t="s">
        <v>37</v>
      </c>
      <c r="W25" s="7" t="s">
        <v>42</v>
      </c>
      <c r="X25" s="7">
        <v>0</v>
      </c>
      <c r="Y25" s="7">
        <v>0</v>
      </c>
      <c r="Z25" s="9">
        <f>IF(X25=0,0,ROUND(Y25/X25*100,0))</f>
        <v>0</v>
      </c>
      <c r="AA25" s="7" t="s">
        <v>37</v>
      </c>
      <c r="AB25" s="7" t="s">
        <v>37</v>
      </c>
      <c r="AC25" s="7" t="s">
        <v>43</v>
      </c>
      <c r="AD25" s="7" t="s">
        <v>42</v>
      </c>
      <c r="AE25" s="7" t="s">
        <v>37</v>
      </c>
      <c r="AF25" s="7" t="s">
        <v>37</v>
      </c>
    </row>
    <row r="26" ht="30" customHeight="1" spans="1:32" s="7" customFormat="1" x14ac:dyDescent="0.25">
      <c r="A26" s="7" t="s">
        <v>148</v>
      </c>
      <c r="B26" s="7" t="s">
        <v>149</v>
      </c>
      <c r="C26" s="7" t="s">
        <v>150</v>
      </c>
      <c r="D26" s="7" t="s">
        <v>151</v>
      </c>
      <c r="E26" s="7" t="s">
        <v>151</v>
      </c>
      <c r="F26" s="7" t="s">
        <v>37</v>
      </c>
      <c r="G26" s="7" t="s">
        <v>152</v>
      </c>
      <c r="H26" s="7" t="s">
        <v>37</v>
      </c>
      <c r="I26" s="7" t="s">
        <v>37</v>
      </c>
      <c r="J26" s="7" t="str">
        <f>IF(OR(H26="",I26=""),"",H26*I26)</f>
        <v/>
      </c>
      <c r="K26" s="7" t="str">
        <f>IF(J26="","",IF(J26&gt;=12,"קריטי",IF(J26&gt;=8,"גבוה",IF(J26&gt;=4,"בינוני","נמוך"))))</f>
        <v/>
      </c>
      <c r="L26" s="7" t="s">
        <v>53</v>
      </c>
      <c r="M26" s="7" t="s">
        <v>153</v>
      </c>
      <c r="N26" s="7" t="s">
        <v>37</v>
      </c>
      <c r="O26" s="7" t="s">
        <v>37</v>
      </c>
      <c r="P26" s="7" t="str">
        <f>IF(OR(N26="",O26=""),"",N26*O26)</f>
        <v/>
      </c>
      <c r="Q26" s="7" t="str">
        <f>IF(P26="","",IF(P26&gt;=12,"קריטי",IF(P26&gt;=8,"גבוה",IF(P26&gt;=4,"בינוני","נמוך"))))</f>
        <v/>
      </c>
      <c r="R26" s="7" t="str">
        <f>IF(J26="","",IF(X26&gt;0,ROUND(J26-IF(T26="הושלם",1,Z26/100)*(J26-IF(P26="",J26,P26)),0),IF(T26="הושלם",IF(P26="",J26,P26),IF(T26="בתהליך",IF(P26="",J26,ROUND((J26+P26)/2,0)),J26))))</f>
        <v/>
      </c>
      <c r="S26" s="7" t="str">
        <f>IF(R26="","",IF(R26&gt;=12,"קריטי",IF(R26&gt;=8,"גבוה",IF(R26&gt;=4,"בינוני","נמוך"))))</f>
        <v/>
      </c>
      <c r="T26" s="7" t="s">
        <v>55</v>
      </c>
      <c r="U26" s="8" t="s">
        <v>37</v>
      </c>
      <c r="V26" s="7" t="s">
        <v>37</v>
      </c>
      <c r="W26" s="7" t="s">
        <v>42</v>
      </c>
      <c r="X26" s="7">
        <v>0</v>
      </c>
      <c r="Y26" s="7">
        <v>0</v>
      </c>
      <c r="Z26" s="9">
        <f>IF(X26=0,0,ROUND(Y26/X26*100,0))</f>
        <v>0</v>
      </c>
      <c r="AA26" s="7" t="s">
        <v>37</v>
      </c>
      <c r="AB26" s="7" t="s">
        <v>37</v>
      </c>
      <c r="AC26" s="7" t="s">
        <v>43</v>
      </c>
      <c r="AD26" s="7" t="s">
        <v>42</v>
      </c>
      <c r="AE26" s="7" t="s">
        <v>37</v>
      </c>
      <c r="AF26" s="7" t="s">
        <v>37</v>
      </c>
    </row>
    <row r="27" ht="30" customHeight="1" spans="1:32" s="7" customFormat="1" x14ac:dyDescent="0.25">
      <c r="A27" s="7" t="s">
        <v>154</v>
      </c>
      <c r="B27" s="7" t="s">
        <v>149</v>
      </c>
      <c r="C27" s="7" t="s">
        <v>150</v>
      </c>
      <c r="D27" s="7" t="s">
        <v>155</v>
      </c>
      <c r="E27" s="7" t="s">
        <v>155</v>
      </c>
      <c r="F27" s="7" t="s">
        <v>37</v>
      </c>
      <c r="G27" s="7" t="s">
        <v>156</v>
      </c>
      <c r="H27" s="7" t="s">
        <v>37</v>
      </c>
      <c r="I27" s="7" t="s">
        <v>37</v>
      </c>
      <c r="J27" s="7" t="str">
        <f>IF(OR(H27="",I27=""),"",H27*I27)</f>
        <v/>
      </c>
      <c r="K27" s="7" t="str">
        <f>IF(J27="","",IF(J27&gt;=12,"קריטי",IF(J27&gt;=8,"גבוה",IF(J27&gt;=4,"בינוני","נמוך"))))</f>
        <v/>
      </c>
      <c r="L27" s="7" t="s">
        <v>47</v>
      </c>
      <c r="M27" s="7" t="s">
        <v>157</v>
      </c>
      <c r="N27" s="7" t="s">
        <v>37</v>
      </c>
      <c r="O27" s="7" t="s">
        <v>37</v>
      </c>
      <c r="P27" s="7" t="str">
        <f>IF(OR(N27="",O27=""),"",N27*O27)</f>
        <v/>
      </c>
      <c r="Q27" s="7" t="str">
        <f>IF(P27="","",IF(P27&gt;=12,"קריטי",IF(P27&gt;=8,"גבוה",IF(P27&gt;=4,"בינוני","נמוך"))))</f>
        <v/>
      </c>
      <c r="R27" s="7" t="str">
        <f>IF(J27="","",IF(X27&gt;0,ROUND(J27-IF(T27="הושלם",1,Z27/100)*(J27-IF(P27="",J27,P27)),0),IF(T27="הושלם",IF(P27="",J27,P27),IF(T27="בתהליך",IF(P27="",J27,ROUND((J27+P27)/2,0)),J27))))</f>
        <v/>
      </c>
      <c r="S27" s="7" t="str">
        <f>IF(R27="","",IF(R27&gt;=12,"קריטי",IF(R27&gt;=8,"גבוה",IF(R27&gt;=4,"בינוני","נמוך"))))</f>
        <v/>
      </c>
      <c r="T27" s="7" t="s">
        <v>55</v>
      </c>
      <c r="U27" s="8" t="s">
        <v>37</v>
      </c>
      <c r="V27" s="7" t="s">
        <v>37</v>
      </c>
      <c r="W27" s="7" t="s">
        <v>42</v>
      </c>
      <c r="X27" s="7">
        <v>0</v>
      </c>
      <c r="Y27" s="7">
        <v>0</v>
      </c>
      <c r="Z27" s="9">
        <f>IF(X27=0,0,ROUND(Y27/X27*100,0))</f>
        <v>0</v>
      </c>
      <c r="AA27" s="7" t="s">
        <v>37</v>
      </c>
      <c r="AB27" s="7" t="s">
        <v>37</v>
      </c>
      <c r="AC27" s="7" t="s">
        <v>43</v>
      </c>
      <c r="AD27" s="7" t="s">
        <v>42</v>
      </c>
      <c r="AE27" s="7" t="s">
        <v>37</v>
      </c>
      <c r="AF27" s="7" t="s">
        <v>37</v>
      </c>
    </row>
    <row r="28" ht="30" customHeight="1" spans="1:32" s="7" customFormat="1" x14ac:dyDescent="0.25">
      <c r="A28" s="7" t="s">
        <v>158</v>
      </c>
      <c r="B28" s="7" t="s">
        <v>149</v>
      </c>
      <c r="C28" s="7" t="s">
        <v>150</v>
      </c>
      <c r="D28" s="7" t="s">
        <v>159</v>
      </c>
      <c r="E28" s="7" t="s">
        <v>159</v>
      </c>
      <c r="F28" s="7" t="s">
        <v>37</v>
      </c>
      <c r="G28" s="7" t="s">
        <v>160</v>
      </c>
      <c r="H28" s="7" t="s">
        <v>37</v>
      </c>
      <c r="I28" s="7" t="s">
        <v>37</v>
      </c>
      <c r="J28" s="7" t="str">
        <f>IF(OR(H28="",I28=""),"",H28*I28)</f>
        <v/>
      </c>
      <c r="K28" s="7" t="str">
        <f>IF(J28="","",IF(J28&gt;=12,"קריטי",IF(J28&gt;=8,"גבוה",IF(J28&gt;=4,"בינוני","נמוך"))))</f>
        <v/>
      </c>
      <c r="L28" s="7" t="s">
        <v>64</v>
      </c>
      <c r="M28" s="7" t="s">
        <v>161</v>
      </c>
      <c r="N28" s="7" t="s">
        <v>37</v>
      </c>
      <c r="O28" s="7" t="s">
        <v>37</v>
      </c>
      <c r="P28" s="7" t="str">
        <f>IF(OR(N28="",O28=""),"",N28*O28)</f>
        <v/>
      </c>
      <c r="Q28" s="7" t="str">
        <f>IF(P28="","",IF(P28&gt;=12,"קריטי",IF(P28&gt;=8,"גבוה",IF(P28&gt;=4,"בינוני","נמוך"))))</f>
        <v/>
      </c>
      <c r="R28" s="7" t="str">
        <f>IF(J28="","",IF(X28&gt;0,ROUND(J28-IF(T28="הושלם",1,Z28/100)*(J28-IF(P28="",J28,P28)),0),IF(T28="הושלם",IF(P28="",J28,P28),IF(T28="בתהליך",IF(P28="",J28,ROUND((J28+P28)/2,0)),J28))))</f>
        <v/>
      </c>
      <c r="S28" s="7" t="str">
        <f>IF(R28="","",IF(R28&gt;=12,"קריטי",IF(R28&gt;=8,"גבוה",IF(R28&gt;=4,"בינוני","נמוך"))))</f>
        <v/>
      </c>
      <c r="T28" s="7" t="s">
        <v>55</v>
      </c>
      <c r="U28" s="8" t="s">
        <v>37</v>
      </c>
      <c r="V28" s="7" t="s">
        <v>37</v>
      </c>
      <c r="W28" s="7" t="s">
        <v>42</v>
      </c>
      <c r="X28" s="7">
        <v>0</v>
      </c>
      <c r="Y28" s="7">
        <v>0</v>
      </c>
      <c r="Z28" s="9">
        <f>IF(X28=0,0,ROUND(Y28/X28*100,0))</f>
        <v>0</v>
      </c>
      <c r="AA28" s="7" t="s">
        <v>37</v>
      </c>
      <c r="AB28" s="7" t="s">
        <v>37</v>
      </c>
      <c r="AC28" s="7" t="s">
        <v>43</v>
      </c>
      <c r="AD28" s="7" t="s">
        <v>42</v>
      </c>
      <c r="AE28" s="7" t="s">
        <v>37</v>
      </c>
      <c r="AF28" s="7" t="s">
        <v>37</v>
      </c>
    </row>
    <row r="29" ht="30" customHeight="1" spans="1:32" s="7" customFormat="1" x14ac:dyDescent="0.25">
      <c r="A29" s="7" t="s">
        <v>162</v>
      </c>
      <c r="B29" s="7" t="s">
        <v>149</v>
      </c>
      <c r="C29" s="7" t="s">
        <v>150</v>
      </c>
      <c r="D29" s="7" t="s">
        <v>163</v>
      </c>
      <c r="E29" s="7" t="s">
        <v>163</v>
      </c>
      <c r="F29" s="7" t="s">
        <v>37</v>
      </c>
      <c r="G29" s="7" t="s">
        <v>164</v>
      </c>
      <c r="H29" s="7" t="s">
        <v>37</v>
      </c>
      <c r="I29" s="7" t="s">
        <v>37</v>
      </c>
      <c r="J29" s="7" t="str">
        <f>IF(OR(H29="",I29=""),"",H29*I29)</f>
        <v/>
      </c>
      <c r="K29" s="7" t="str">
        <f>IF(J29="","",IF(J29&gt;=12,"קריטי",IF(J29&gt;=8,"גבוה",IF(J29&gt;=4,"בינוני","נמוך"))))</f>
        <v/>
      </c>
      <c r="L29" s="7" t="s">
        <v>47</v>
      </c>
      <c r="M29" s="7" t="s">
        <v>165</v>
      </c>
      <c r="N29" s="7" t="s">
        <v>37</v>
      </c>
      <c r="O29" s="7" t="s">
        <v>37</v>
      </c>
      <c r="P29" s="7" t="str">
        <f>IF(OR(N29="",O29=""),"",N29*O29)</f>
        <v/>
      </c>
      <c r="Q29" s="7" t="str">
        <f>IF(P29="","",IF(P29&gt;=12,"קריטי",IF(P29&gt;=8,"גבוה",IF(P29&gt;=4,"בינוני","נמוך"))))</f>
        <v/>
      </c>
      <c r="R29" s="7" t="str">
        <f>IF(J29="","",IF(X29&gt;0,ROUND(J29-IF(T29="הושלם",1,Z29/100)*(J29-IF(P29="",J29,P29)),0),IF(T29="הושלם",IF(P29="",J29,P29),IF(T29="בתהליך",IF(P29="",J29,ROUND((J29+P29)/2,0)),J29))))</f>
        <v/>
      </c>
      <c r="S29" s="7" t="str">
        <f>IF(R29="","",IF(R29&gt;=12,"קריטי",IF(R29&gt;=8,"גבוה",IF(R29&gt;=4,"בינוני","נמוך"))))</f>
        <v/>
      </c>
      <c r="T29" s="7" t="s">
        <v>55</v>
      </c>
      <c r="U29" s="8" t="s">
        <v>37</v>
      </c>
      <c r="V29" s="7" t="s">
        <v>37</v>
      </c>
      <c r="W29" s="7" t="s">
        <v>42</v>
      </c>
      <c r="X29" s="7">
        <v>0</v>
      </c>
      <c r="Y29" s="7">
        <v>0</v>
      </c>
      <c r="Z29" s="9">
        <f>IF(X29=0,0,ROUND(Y29/X29*100,0))</f>
        <v>0</v>
      </c>
      <c r="AA29" s="7" t="s">
        <v>37</v>
      </c>
      <c r="AB29" s="7" t="s">
        <v>37</v>
      </c>
      <c r="AC29" s="7" t="s">
        <v>43</v>
      </c>
      <c r="AD29" s="7" t="s">
        <v>42</v>
      </c>
      <c r="AE29" s="7" t="s">
        <v>37</v>
      </c>
      <c r="AF29" s="7" t="s">
        <v>37</v>
      </c>
    </row>
    <row r="30" ht="30" customHeight="1" spans="1:32" s="7" customFormat="1" x14ac:dyDescent="0.25">
      <c r="A30" s="7" t="s">
        <v>166</v>
      </c>
      <c r="B30" s="7" t="s">
        <v>149</v>
      </c>
      <c r="C30" s="7" t="s">
        <v>150</v>
      </c>
      <c r="D30" s="7" t="s">
        <v>167</v>
      </c>
      <c r="E30" s="7" t="s">
        <v>167</v>
      </c>
      <c r="F30" s="7" t="s">
        <v>37</v>
      </c>
      <c r="G30" s="7" t="s">
        <v>168</v>
      </c>
      <c r="H30" s="7" t="s">
        <v>37</v>
      </c>
      <c r="I30" s="7" t="s">
        <v>37</v>
      </c>
      <c r="J30" s="7" t="str">
        <f>IF(OR(H30="",I30=""),"",H30*I30)</f>
        <v/>
      </c>
      <c r="K30" s="7" t="str">
        <f>IF(J30="","",IF(J30&gt;=12,"קריטי",IF(J30&gt;=8,"גבוה",IF(J30&gt;=4,"בינוני","נמוך"))))</f>
        <v/>
      </c>
      <c r="L30" s="7" t="s">
        <v>59</v>
      </c>
      <c r="M30" s="7" t="s">
        <v>169</v>
      </c>
      <c r="N30" s="7" t="s">
        <v>37</v>
      </c>
      <c r="O30" s="7" t="s">
        <v>37</v>
      </c>
      <c r="P30" s="7" t="str">
        <f>IF(OR(N30="",O30=""),"",N30*O30)</f>
        <v/>
      </c>
      <c r="Q30" s="7" t="str">
        <f>IF(P30="","",IF(P30&gt;=12,"קריטי",IF(P30&gt;=8,"גבוה",IF(P30&gt;=4,"בינוני","נמוך"))))</f>
        <v/>
      </c>
      <c r="R30" s="7" t="str">
        <f>IF(J30="","",IF(X30&gt;0,ROUND(J30-IF(T30="הושלם",1,Z30/100)*(J30-IF(P30="",J30,P30)),0),IF(T30="הושלם",IF(P30="",J30,P30),IF(T30="בתהליך",IF(P30="",J30,ROUND((J30+P30)/2,0)),J30))))</f>
        <v/>
      </c>
      <c r="S30" s="7" t="str">
        <f>IF(R30="","",IF(R30&gt;=12,"קריטי",IF(R30&gt;=8,"גבוה",IF(R30&gt;=4,"בינוני","נמוך"))))</f>
        <v/>
      </c>
      <c r="T30" s="7" t="s">
        <v>55</v>
      </c>
      <c r="U30" s="8" t="s">
        <v>37</v>
      </c>
      <c r="V30" s="7" t="s">
        <v>37</v>
      </c>
      <c r="W30" s="7" t="s">
        <v>42</v>
      </c>
      <c r="X30" s="7">
        <v>0</v>
      </c>
      <c r="Y30" s="7">
        <v>0</v>
      </c>
      <c r="Z30" s="9">
        <f>IF(X30=0,0,ROUND(Y30/X30*100,0))</f>
        <v>0</v>
      </c>
      <c r="AA30" s="7" t="s">
        <v>37</v>
      </c>
      <c r="AB30" s="7" t="s">
        <v>37</v>
      </c>
      <c r="AC30" s="7" t="s">
        <v>43</v>
      </c>
      <c r="AD30" s="7" t="s">
        <v>42</v>
      </c>
      <c r="AE30" s="7" t="s">
        <v>37</v>
      </c>
      <c r="AF30" s="7" t="s">
        <v>37</v>
      </c>
    </row>
    <row r="31" ht="30" customHeight="1" spans="1:32" s="7" customFormat="1" x14ac:dyDescent="0.25">
      <c r="A31" s="7" t="s">
        <v>170</v>
      </c>
      <c r="B31" s="7" t="s">
        <v>149</v>
      </c>
      <c r="C31" s="7" t="s">
        <v>150</v>
      </c>
      <c r="D31" s="7" t="s">
        <v>171</v>
      </c>
      <c r="E31" s="7" t="s">
        <v>171</v>
      </c>
      <c r="F31" s="7" t="s">
        <v>37</v>
      </c>
      <c r="G31" s="7" t="s">
        <v>172</v>
      </c>
      <c r="H31" s="7" t="s">
        <v>37</v>
      </c>
      <c r="I31" s="7" t="s">
        <v>37</v>
      </c>
      <c r="J31" s="7" t="str">
        <f>IF(OR(H31="",I31=""),"",H31*I31)</f>
        <v/>
      </c>
      <c r="K31" s="7" t="str">
        <f>IF(J31="","",IF(J31&gt;=12,"קריטי",IF(J31&gt;=8,"גבוה",IF(J31&gt;=4,"בינוני","נמוך"))))</f>
        <v/>
      </c>
      <c r="L31" s="7" t="s">
        <v>53</v>
      </c>
      <c r="M31" s="7" t="s">
        <v>173</v>
      </c>
      <c r="N31" s="7" t="s">
        <v>37</v>
      </c>
      <c r="O31" s="7" t="s">
        <v>37</v>
      </c>
      <c r="P31" s="7" t="str">
        <f>IF(OR(N31="",O31=""),"",N31*O31)</f>
        <v/>
      </c>
      <c r="Q31" s="7" t="str">
        <f>IF(P31="","",IF(P31&gt;=12,"קריטי",IF(P31&gt;=8,"גבוה",IF(P31&gt;=4,"בינוני","נמוך"))))</f>
        <v/>
      </c>
      <c r="R31" s="7" t="str">
        <f>IF(J31="","",IF(X31&gt;0,ROUND(J31-IF(T31="הושלם",1,Z31/100)*(J31-IF(P31="",J31,P31)),0),IF(T31="הושלם",IF(P31="",J31,P31),IF(T31="בתהליך",IF(P31="",J31,ROUND((J31+P31)/2,0)),J31))))</f>
        <v/>
      </c>
      <c r="S31" s="7" t="str">
        <f>IF(R31="","",IF(R31&gt;=12,"קריטי",IF(R31&gt;=8,"גבוה",IF(R31&gt;=4,"בינוני","נמוך"))))</f>
        <v/>
      </c>
      <c r="T31" s="7" t="s">
        <v>55</v>
      </c>
      <c r="U31" s="8" t="s">
        <v>37</v>
      </c>
      <c r="V31" s="7" t="s">
        <v>37</v>
      </c>
      <c r="W31" s="7" t="s">
        <v>42</v>
      </c>
      <c r="X31" s="7">
        <v>0</v>
      </c>
      <c r="Y31" s="7">
        <v>0</v>
      </c>
      <c r="Z31" s="9">
        <f>IF(X31=0,0,ROUND(Y31/X31*100,0))</f>
        <v>0</v>
      </c>
      <c r="AA31" s="7" t="s">
        <v>37</v>
      </c>
      <c r="AB31" s="7" t="s">
        <v>37</v>
      </c>
      <c r="AC31" s="7" t="s">
        <v>43</v>
      </c>
      <c r="AD31" s="7" t="s">
        <v>42</v>
      </c>
      <c r="AE31" s="7" t="s">
        <v>37</v>
      </c>
      <c r="AF31" s="7" t="s">
        <v>37</v>
      </c>
    </row>
    <row r="32" ht="30" customHeight="1" spans="1:32" s="7" customFormat="1" x14ac:dyDescent="0.25">
      <c r="A32" s="7" t="s">
        <v>174</v>
      </c>
      <c r="B32" s="7" t="s">
        <v>149</v>
      </c>
      <c r="C32" s="7" t="s">
        <v>150</v>
      </c>
      <c r="D32" s="7" t="s">
        <v>175</v>
      </c>
      <c r="E32" s="7" t="s">
        <v>175</v>
      </c>
      <c r="F32" s="7" t="s">
        <v>37</v>
      </c>
      <c r="G32" s="7" t="s">
        <v>176</v>
      </c>
      <c r="H32" s="7" t="s">
        <v>37</v>
      </c>
      <c r="I32" s="7" t="s">
        <v>37</v>
      </c>
      <c r="J32" s="7" t="str">
        <f>IF(OR(H32="",I32=""),"",H32*I32)</f>
        <v/>
      </c>
      <c r="K32" s="7" t="str">
        <f>IF(J32="","",IF(J32&gt;=12,"קריטי",IF(J32&gt;=8,"גבוה",IF(J32&gt;=4,"בינוני","נמוך"))))</f>
        <v/>
      </c>
      <c r="L32" s="7" t="s">
        <v>96</v>
      </c>
      <c r="M32" s="7" t="s">
        <v>177</v>
      </c>
      <c r="N32" s="7" t="s">
        <v>37</v>
      </c>
      <c r="O32" s="7" t="s">
        <v>37</v>
      </c>
      <c r="P32" s="7" t="str">
        <f>IF(OR(N32="",O32=""),"",N32*O32)</f>
        <v/>
      </c>
      <c r="Q32" s="7" t="str">
        <f>IF(P32="","",IF(P32&gt;=12,"קריטי",IF(P32&gt;=8,"גבוה",IF(P32&gt;=4,"בינוני","נמוך"))))</f>
        <v/>
      </c>
      <c r="R32" s="7" t="str">
        <f>IF(J32="","",IF(X32&gt;0,ROUND(J32-IF(T32="הושלם",1,Z32/100)*(J32-IF(P32="",J32,P32)),0),IF(T32="הושלם",IF(P32="",J32,P32),IF(T32="בתהליך",IF(P32="",J32,ROUND((J32+P32)/2,0)),J32))))</f>
        <v/>
      </c>
      <c r="S32" s="7" t="str">
        <f>IF(R32="","",IF(R32&gt;=12,"קריטי",IF(R32&gt;=8,"גבוה",IF(R32&gt;=4,"בינוני","נמוך"))))</f>
        <v/>
      </c>
      <c r="T32" s="7" t="s">
        <v>55</v>
      </c>
      <c r="U32" s="8" t="s">
        <v>37</v>
      </c>
      <c r="V32" s="7" t="s">
        <v>37</v>
      </c>
      <c r="W32" s="7" t="s">
        <v>42</v>
      </c>
      <c r="X32" s="7">
        <v>0</v>
      </c>
      <c r="Y32" s="7">
        <v>0</v>
      </c>
      <c r="Z32" s="9">
        <f>IF(X32=0,0,ROUND(Y32/X32*100,0))</f>
        <v>0</v>
      </c>
      <c r="AA32" s="7" t="s">
        <v>37</v>
      </c>
      <c r="AB32" s="7" t="s">
        <v>37</v>
      </c>
      <c r="AC32" s="7" t="s">
        <v>43</v>
      </c>
      <c r="AD32" s="7" t="s">
        <v>42</v>
      </c>
      <c r="AE32" s="7" t="s">
        <v>37</v>
      </c>
      <c r="AF32" s="7" t="s">
        <v>37</v>
      </c>
    </row>
    <row r="33" ht="30" customHeight="1" spans="1:32" s="7" customFormat="1" x14ac:dyDescent="0.25">
      <c r="A33" s="7" t="s">
        <v>178</v>
      </c>
      <c r="B33" s="7" t="s">
        <v>179</v>
      </c>
      <c r="C33" s="7" t="s">
        <v>180</v>
      </c>
      <c r="D33" s="7" t="s">
        <v>181</v>
      </c>
      <c r="E33" s="7" t="s">
        <v>181</v>
      </c>
      <c r="F33" s="7" t="s">
        <v>37</v>
      </c>
      <c r="G33" s="7" t="s">
        <v>182</v>
      </c>
      <c r="H33" s="7">
        <v>4</v>
      </c>
      <c r="I33" s="7">
        <v>4</v>
      </c>
      <c r="J33" s="7">
        <f>IF(OR(H33="",I33=""),"",H33*I33)</f>
        <v>16</v>
      </c>
      <c r="K33" s="7" t="str">
        <f>IF(J33="","",IF(J33&gt;=12,"קריטי",IF(J33&gt;=8,"גבוה",IF(J33&gt;=4,"בינוני","נמוך"))))</f>
        <v>קריטי</v>
      </c>
      <c r="L33" s="7" t="s">
        <v>39</v>
      </c>
      <c r="M33" s="7" t="s">
        <v>183</v>
      </c>
      <c r="N33" s="7">
        <v>2</v>
      </c>
      <c r="O33" s="7">
        <v>2</v>
      </c>
      <c r="P33" s="7">
        <f>IF(OR(N33="",O33=""),"",N33*O33)</f>
        <v>4</v>
      </c>
      <c r="Q33" s="7" t="str">
        <f>IF(P33="","",IF(P33&gt;=12,"קריטי",IF(P33&gt;=8,"גבוה",IF(P33&gt;=4,"בינוני","נמוך"))))</f>
        <v>בינוני</v>
      </c>
      <c r="R33" s="7">
        <f>IF(J33="","",IF(X33&gt;0,ROUND(J33-IF(T33="הושלם",1,Z33/100)*(J33-IF(P33="",J33,P33)),0),IF(T33="הושלם",IF(P33="",J33,P33),IF(T33="בתהליך",IF(P33="",J33,ROUND((J33+P33)/2,0)),J33))))</f>
        <v>8</v>
      </c>
      <c r="S33" s="7" t="str">
        <f>IF(R33="","",IF(R33&gt;=12,"קריטי",IF(R33&gt;=8,"גבוה",IF(R33&gt;=4,"בינוני","נמוך"))))</f>
        <v>גבוה</v>
      </c>
      <c r="T33" s="7" t="s">
        <v>55</v>
      </c>
      <c r="U33" s="8" t="s">
        <v>37</v>
      </c>
      <c r="V33" s="7" t="s">
        <v>49</v>
      </c>
      <c r="W33" s="7" t="s">
        <v>42</v>
      </c>
      <c r="X33" s="7">
        <v>3</v>
      </c>
      <c r="Y33" s="7">
        <v>2</v>
      </c>
      <c r="Z33" s="9">
        <f>IF(X33=0,0,ROUND(Y33/X33*100,0))</f>
        <v>67</v>
      </c>
      <c r="AA33" s="7" t="s">
        <v>184</v>
      </c>
      <c r="AB33" s="7">
        <v>8656</v>
      </c>
      <c r="AC33" s="7" t="s">
        <v>43</v>
      </c>
      <c r="AD33" s="7" t="s">
        <v>42</v>
      </c>
      <c r="AE33" s="7" t="s">
        <v>37</v>
      </c>
      <c r="AF33" s="7" t="s">
        <v>37</v>
      </c>
    </row>
    <row r="34" ht="30" customHeight="1" spans="1:32" s="7" customFormat="1" x14ac:dyDescent="0.25">
      <c r="A34" s="7" t="s">
        <v>185</v>
      </c>
      <c r="B34" s="7" t="s">
        <v>179</v>
      </c>
      <c r="C34" s="7" t="s">
        <v>180</v>
      </c>
      <c r="D34" s="7" t="s">
        <v>186</v>
      </c>
      <c r="E34" s="7" t="s">
        <v>186</v>
      </c>
      <c r="F34" s="7" t="s">
        <v>37</v>
      </c>
      <c r="G34" s="7" t="s">
        <v>187</v>
      </c>
      <c r="H34" s="7">
        <v>4</v>
      </c>
      <c r="I34" s="7">
        <v>4</v>
      </c>
      <c r="J34" s="7">
        <f>IF(OR(H34="",I34=""),"",H34*I34)</f>
        <v>16</v>
      </c>
      <c r="K34" s="7" t="str">
        <f>IF(J34="","",IF(J34&gt;=12,"קריטי",IF(J34&gt;=8,"גבוה",IF(J34&gt;=4,"בינוני","נמוך"))))</f>
        <v>קריטי</v>
      </c>
      <c r="L34" s="7" t="s">
        <v>39</v>
      </c>
      <c r="M34" s="7" t="s">
        <v>188</v>
      </c>
      <c r="N34" s="7">
        <v>3</v>
      </c>
      <c r="O34" s="7">
        <v>2</v>
      </c>
      <c r="P34" s="7">
        <f>IF(OR(N34="",O34=""),"",N34*O34)</f>
        <v>6</v>
      </c>
      <c r="Q34" s="7" t="str">
        <f>IF(P34="","",IF(P34&gt;=12,"קריטי",IF(P34&gt;=8,"גבוה",IF(P34&gt;=4,"בינוני","נמוך"))))</f>
        <v>בינוני</v>
      </c>
      <c r="R34" s="7">
        <f>IF(J34="","",IF(X34&gt;0,ROUND(J34-IF(T34="הושלם",1,Z34/100)*(J34-IF(P34="",J34,P34)),0),IF(T34="הושלם",IF(P34="",J34,P34),IF(T34="בתהליך",IF(P34="",J34,ROUND((J34+P34)/2,0)),J34))))</f>
        <v>16</v>
      </c>
      <c r="S34" s="7" t="str">
        <f>IF(R34="","",IF(R34&gt;=12,"קריטי",IF(R34&gt;=8,"גבוה",IF(R34&gt;=4,"בינוני","נמוך"))))</f>
        <v>קריטי</v>
      </c>
      <c r="T34" s="7" t="s">
        <v>55</v>
      </c>
      <c r="U34" s="8" t="s">
        <v>37</v>
      </c>
      <c r="V34" s="7" t="s">
        <v>49</v>
      </c>
      <c r="W34" s="7" t="s">
        <v>42</v>
      </c>
      <c r="X34" s="7">
        <v>3</v>
      </c>
      <c r="Y34" s="7">
        <v>0</v>
      </c>
      <c r="Z34" s="9">
        <f>IF(X34=0,0,ROUND(Y34/X34*100,0))</f>
        <v>0</v>
      </c>
      <c r="AA34" s="7" t="s">
        <v>37</v>
      </c>
      <c r="AB34" s="7">
        <v>45648</v>
      </c>
      <c r="AC34" s="7" t="s">
        <v>189</v>
      </c>
      <c r="AD34" s="7" t="s">
        <v>42</v>
      </c>
      <c r="AE34" s="7" t="s">
        <v>37</v>
      </c>
      <c r="AF34" s="7" t="s">
        <v>37</v>
      </c>
    </row>
    <row r="35" ht="30" customHeight="1" spans="1:32" s="7" customFormat="1" x14ac:dyDescent="0.25">
      <c r="A35" s="7" t="s">
        <v>190</v>
      </c>
      <c r="B35" s="7" t="s">
        <v>179</v>
      </c>
      <c r="C35" s="7" t="s">
        <v>180</v>
      </c>
      <c r="D35" s="7" t="s">
        <v>191</v>
      </c>
      <c r="E35" s="7" t="s">
        <v>191</v>
      </c>
      <c r="F35" s="7" t="s">
        <v>37</v>
      </c>
      <c r="G35" s="7" t="s">
        <v>192</v>
      </c>
      <c r="H35" s="7">
        <v>3</v>
      </c>
      <c r="I35" s="7">
        <v>3</v>
      </c>
      <c r="J35" s="7">
        <f>IF(OR(H35="",I35=""),"",H35*I35)</f>
        <v>9</v>
      </c>
      <c r="K35" s="7" t="str">
        <f>IF(J35="","",IF(J35&gt;=12,"קריטי",IF(J35&gt;=8,"גבוה",IF(J35&gt;=4,"בינוני","נמוך"))))</f>
        <v>גבוה</v>
      </c>
      <c r="L35" s="7" t="s">
        <v>101</v>
      </c>
      <c r="M35" s="7" t="s">
        <v>193</v>
      </c>
      <c r="N35" s="7">
        <v>3</v>
      </c>
      <c r="O35" s="7">
        <v>2</v>
      </c>
      <c r="P35" s="7">
        <f>IF(OR(N35="",O35=""),"",N35*O35)</f>
        <v>6</v>
      </c>
      <c r="Q35" s="7" t="str">
        <f>IF(P35="","",IF(P35&gt;=12,"קריטי",IF(P35&gt;=8,"גבוה",IF(P35&gt;=4,"בינוני","נמוך"))))</f>
        <v>בינוני</v>
      </c>
      <c r="R35" s="7">
        <f>IF(J35="","",IF(X35&gt;0,ROUND(J35-IF(T35="הושלם",1,Z35/100)*(J35-IF(P35="",J35,P35)),0),IF(T35="הושלם",IF(P35="",J35,P35),IF(T35="בתהליך",IF(P35="",J35,ROUND((J35+P35)/2,0)),J35))))</f>
        <v>6</v>
      </c>
      <c r="S35" s="7" t="str">
        <f>IF(R35="","",IF(R35&gt;=12,"קריטי",IF(R35&gt;=8,"גבוה",IF(R35&gt;=4,"בינוני","נמוך"))))</f>
        <v>בינוני</v>
      </c>
      <c r="T35" s="7" t="s">
        <v>55</v>
      </c>
      <c r="U35" s="8" t="s">
        <v>37</v>
      </c>
      <c r="V35" s="7" t="s">
        <v>49</v>
      </c>
      <c r="W35" s="7" t="s">
        <v>42</v>
      </c>
      <c r="X35" s="7">
        <v>3</v>
      </c>
      <c r="Y35" s="7">
        <v>3</v>
      </c>
      <c r="Z35" s="9">
        <f>IF(X35=0,0,ROUND(Y35/X35*100,0))</f>
        <v>100</v>
      </c>
      <c r="AA35" s="7" t="s">
        <v>130</v>
      </c>
      <c r="AB35" s="7" t="s">
        <v>37</v>
      </c>
      <c r="AC35" s="7" t="s">
        <v>43</v>
      </c>
      <c r="AD35" s="7" t="s">
        <v>42</v>
      </c>
      <c r="AE35" s="7" t="s">
        <v>37</v>
      </c>
      <c r="AF35" s="7" t="s">
        <v>37</v>
      </c>
    </row>
    <row r="36" ht="30" customHeight="1" spans="1:32" s="7" customFormat="1" x14ac:dyDescent="0.25">
      <c r="A36" s="7" t="s">
        <v>194</v>
      </c>
      <c r="B36" s="7" t="s">
        <v>179</v>
      </c>
      <c r="C36" s="7" t="s">
        <v>180</v>
      </c>
      <c r="D36" s="7" t="s">
        <v>195</v>
      </c>
      <c r="E36" s="7" t="s">
        <v>195</v>
      </c>
      <c r="F36" s="7" t="s">
        <v>37</v>
      </c>
      <c r="G36" s="7" t="s">
        <v>196</v>
      </c>
      <c r="H36" s="7">
        <v>3</v>
      </c>
      <c r="I36" s="7">
        <v>3</v>
      </c>
      <c r="J36" s="7">
        <f>IF(OR(H36="",I36=""),"",H36*I36)</f>
        <v>9</v>
      </c>
      <c r="K36" s="7" t="str">
        <f>IF(J36="","",IF(J36&gt;=12,"קריטי",IF(J36&gt;=8,"גבוה",IF(J36&gt;=4,"בינוני","נמוך"))))</f>
        <v>גבוה</v>
      </c>
      <c r="L36" s="7" t="s">
        <v>96</v>
      </c>
      <c r="M36" s="7" t="s">
        <v>197</v>
      </c>
      <c r="N36" s="7">
        <v>2</v>
      </c>
      <c r="O36" s="7">
        <v>2</v>
      </c>
      <c r="P36" s="7">
        <f>IF(OR(N36="",O36=""),"",N36*O36)</f>
        <v>4</v>
      </c>
      <c r="Q36" s="7" t="str">
        <f>IF(P36="","",IF(P36&gt;=12,"קריטי",IF(P36&gt;=8,"גבוה",IF(P36&gt;=4,"בינוני","נמוך"))))</f>
        <v>בינוני</v>
      </c>
      <c r="R36" s="7">
        <f>IF(J36="","",IF(X36&gt;0,ROUND(J36-IF(T36="הושלם",1,Z36/100)*(J36-IF(P36="",J36,P36)),0),IF(T36="הושלם",IF(P36="",J36,P36),IF(T36="בתהליך",IF(P36="",J36,ROUND((J36+P36)/2,0)),J36))))</f>
        <v>9</v>
      </c>
      <c r="S36" s="7" t="str">
        <f>IF(R36="","",IF(R36&gt;=12,"קריטי",IF(R36&gt;=8,"גבוה",IF(R36&gt;=4,"בינוני","נמוך"))))</f>
        <v>גבוה</v>
      </c>
      <c r="T36" s="7" t="s">
        <v>55</v>
      </c>
      <c r="U36" s="8" t="s">
        <v>37</v>
      </c>
      <c r="V36" s="7" t="s">
        <v>49</v>
      </c>
      <c r="W36" s="7" t="s">
        <v>42</v>
      </c>
      <c r="X36" s="7">
        <v>2</v>
      </c>
      <c r="Y36" s="7">
        <v>0</v>
      </c>
      <c r="Z36" s="9">
        <f>IF(X36=0,0,ROUND(Y36/X36*100,0))</f>
        <v>0</v>
      </c>
      <c r="AA36" s="7" t="s">
        <v>37</v>
      </c>
      <c r="AB36" s="7" t="s">
        <v>37</v>
      </c>
      <c r="AC36" s="7" t="s">
        <v>43</v>
      </c>
      <c r="AD36" s="7" t="s">
        <v>42</v>
      </c>
      <c r="AE36" s="7" t="s">
        <v>37</v>
      </c>
      <c r="AF36" s="7" t="s">
        <v>37</v>
      </c>
    </row>
    <row r="37" ht="30" customHeight="1" spans="1:32" s="7" customFormat="1" x14ac:dyDescent="0.25">
      <c r="A37" s="7" t="s">
        <v>198</v>
      </c>
      <c r="B37" s="7" t="s">
        <v>179</v>
      </c>
      <c r="C37" s="7" t="s">
        <v>180</v>
      </c>
      <c r="D37" s="7" t="s">
        <v>199</v>
      </c>
      <c r="E37" s="7" t="s">
        <v>199</v>
      </c>
      <c r="F37" s="7" t="s">
        <v>37</v>
      </c>
      <c r="G37" s="7" t="s">
        <v>200</v>
      </c>
      <c r="H37" s="7">
        <v>4</v>
      </c>
      <c r="I37" s="7">
        <v>4</v>
      </c>
      <c r="J37" s="7">
        <f>IF(OR(H37="",I37=""),"",H37*I37)</f>
        <v>16</v>
      </c>
      <c r="K37" s="7" t="str">
        <f>IF(J37="","",IF(J37&gt;=12,"קריטי",IF(J37&gt;=8,"גבוה",IF(J37&gt;=4,"בינוני","נמוך"))))</f>
        <v>קריטי</v>
      </c>
      <c r="L37" s="7" t="s">
        <v>47</v>
      </c>
      <c r="M37" s="7" t="s">
        <v>201</v>
      </c>
      <c r="N37" s="7">
        <v>2</v>
      </c>
      <c r="O37" s="7">
        <v>2</v>
      </c>
      <c r="P37" s="7">
        <f>IF(OR(N37="",O37=""),"",N37*O37)</f>
        <v>4</v>
      </c>
      <c r="Q37" s="7" t="str">
        <f>IF(P37="","",IF(P37&gt;=12,"קריטי",IF(P37&gt;=8,"גבוה",IF(P37&gt;=4,"בינוני","נמוך"))))</f>
        <v>בינוני</v>
      </c>
      <c r="R37" s="7">
        <f>IF(J37="","",IF(X37&gt;0,ROUND(J37-IF(T37="הושלם",1,Z37/100)*(J37-IF(P37="",J37,P37)),0),IF(T37="הושלם",IF(P37="",J37,P37),IF(T37="בתהליך",IF(P37="",J37,ROUND((J37+P37)/2,0)),J37))))</f>
        <v>16</v>
      </c>
      <c r="S37" s="7" t="str">
        <f>IF(R37="","",IF(R37&gt;=12,"קריטי",IF(R37&gt;=8,"גבוה",IF(R37&gt;=4,"בינוני","נמוך"))))</f>
        <v>קריטי</v>
      </c>
      <c r="T37" s="7" t="s">
        <v>55</v>
      </c>
      <c r="U37" s="8" t="s">
        <v>37</v>
      </c>
      <c r="V37" s="7" t="s">
        <v>49</v>
      </c>
      <c r="W37" s="7" t="s">
        <v>42</v>
      </c>
      <c r="X37" s="7">
        <v>1</v>
      </c>
      <c r="Y37" s="7">
        <v>0</v>
      </c>
      <c r="Z37" s="9">
        <f>IF(X37=0,0,ROUND(Y37/X37*100,0))</f>
        <v>0</v>
      </c>
      <c r="AA37" s="7" t="s">
        <v>184</v>
      </c>
      <c r="AB37" s="7" t="s">
        <v>37</v>
      </c>
      <c r="AC37" s="7" t="s">
        <v>43</v>
      </c>
      <c r="AD37" s="7" t="s">
        <v>42</v>
      </c>
      <c r="AE37" s="7" t="s">
        <v>37</v>
      </c>
      <c r="AF37" s="7" t="s">
        <v>37</v>
      </c>
    </row>
    <row r="38" ht="30" customHeight="1" spans="1:32" s="7" customFormat="1" x14ac:dyDescent="0.25">
      <c r="A38" s="7" t="s">
        <v>202</v>
      </c>
      <c r="B38" s="7" t="s">
        <v>179</v>
      </c>
      <c r="C38" s="7" t="s">
        <v>180</v>
      </c>
      <c r="D38" s="7" t="s">
        <v>203</v>
      </c>
      <c r="E38" s="7" t="s">
        <v>203</v>
      </c>
      <c r="F38" s="7" t="s">
        <v>37</v>
      </c>
      <c r="G38" s="7" t="s">
        <v>204</v>
      </c>
      <c r="H38" s="7">
        <v>3</v>
      </c>
      <c r="I38" s="7">
        <v>3</v>
      </c>
      <c r="J38" s="7">
        <f>IF(OR(H38="",I38=""),"",H38*I38)</f>
        <v>9</v>
      </c>
      <c r="K38" s="7" t="str">
        <f>IF(J38="","",IF(J38&gt;=12,"קריטי",IF(J38&gt;=8,"גבוה",IF(J38&gt;=4,"בינוני","נמוך"))))</f>
        <v>גבוה</v>
      </c>
      <c r="L38" s="7" t="s">
        <v>77</v>
      </c>
      <c r="M38" s="7" t="s">
        <v>205</v>
      </c>
      <c r="N38" s="7">
        <v>2</v>
      </c>
      <c r="O38" s="7">
        <v>1</v>
      </c>
      <c r="P38" s="7">
        <f>IF(OR(N38="",O38=""),"",N38*O38)</f>
        <v>2</v>
      </c>
      <c r="Q38" s="7" t="str">
        <f>IF(P38="","",IF(P38&gt;=12,"קריטי",IF(P38&gt;=8,"גבוה",IF(P38&gt;=4,"בינוני","נמוך"))))</f>
        <v>נמוך</v>
      </c>
      <c r="R38" s="7">
        <f>IF(J38="","",IF(X38&gt;0,ROUND(J38-IF(T38="הושלם",1,Z38/100)*(J38-IF(P38="",J38,P38)),0),IF(T38="הושלם",IF(P38="",J38,P38),IF(T38="בתהליך",IF(P38="",J38,ROUND((J38+P38)/2,0)),J38))))</f>
        <v>6</v>
      </c>
      <c r="S38" s="7" t="str">
        <f>IF(R38="","",IF(R38&gt;=12,"קריטי",IF(R38&gt;=8,"גבוה",IF(R38&gt;=4,"בינוני","נמוך"))))</f>
        <v>בינוני</v>
      </c>
      <c r="T38" s="7" t="s">
        <v>41</v>
      </c>
      <c r="U38" s="8" t="s">
        <v>37</v>
      </c>
      <c r="V38" s="7" t="s">
        <v>49</v>
      </c>
      <c r="W38" s="7" t="s">
        <v>42</v>
      </c>
      <c r="X38" s="7">
        <v>0</v>
      </c>
      <c r="Y38" s="7">
        <v>0</v>
      </c>
      <c r="Z38" s="9">
        <f>IF(X38=0,0,ROUND(Y38/X38*100,0))</f>
        <v>0</v>
      </c>
      <c r="AA38" s="7" t="s">
        <v>37</v>
      </c>
      <c r="AB38" s="7" t="s">
        <v>37</v>
      </c>
      <c r="AC38" s="7" t="s">
        <v>43</v>
      </c>
      <c r="AD38" s="7" t="s">
        <v>42</v>
      </c>
      <c r="AE38" s="7" t="s">
        <v>37</v>
      </c>
      <c r="AF38" s="7" t="s">
        <v>37</v>
      </c>
    </row>
    <row r="39" ht="30" customHeight="1" spans="1:32" s="7" customFormat="1" x14ac:dyDescent="0.25">
      <c r="A39" s="7" t="s">
        <v>206</v>
      </c>
      <c r="B39" s="7" t="s">
        <v>207</v>
      </c>
      <c r="C39" s="7" t="s">
        <v>208</v>
      </c>
      <c r="D39" s="7" t="s">
        <v>209</v>
      </c>
      <c r="E39" s="7" t="s">
        <v>209</v>
      </c>
      <c r="F39" s="7" t="s">
        <v>37</v>
      </c>
      <c r="G39" s="7" t="s">
        <v>210</v>
      </c>
      <c r="H39" s="7">
        <v>2</v>
      </c>
      <c r="I39" s="7">
        <v>1</v>
      </c>
      <c r="J39" s="7">
        <f>IF(OR(H39="",I39=""),"",H39*I39)</f>
        <v>2</v>
      </c>
      <c r="K39" s="7" t="str">
        <f>IF(J39="","",IF(J39&gt;=12,"קריטי",IF(J39&gt;=8,"גבוה",IF(J39&gt;=4,"בינוני","נמוך"))))</f>
        <v>נמוך</v>
      </c>
      <c r="L39" s="7" t="s">
        <v>47</v>
      </c>
      <c r="M39" s="7" t="s">
        <v>211</v>
      </c>
      <c r="N39" s="7">
        <v>1</v>
      </c>
      <c r="O39" s="7">
        <v>1</v>
      </c>
      <c r="P39" s="7">
        <f>IF(OR(N39="",O39=""),"",N39*O39)</f>
        <v>1</v>
      </c>
      <c r="Q39" s="7" t="str">
        <f>IF(P39="","",IF(P39&gt;=12,"קריטי",IF(P39&gt;=8,"גבוה",IF(P39&gt;=4,"בינוני","נמוך"))))</f>
        <v>נמוך</v>
      </c>
      <c r="R39" s="7">
        <f>IF(J39="","",IF(X39&gt;0,ROUND(J39-IF(T39="הושלם",1,Z39/100)*(J39-IF(P39="",J39,P39)),0),IF(T39="הושלם",IF(P39="",J39,P39),IF(T39="בתהליך",IF(P39="",J39,ROUND((J39+P39)/2,0)),J39))))</f>
        <v>2</v>
      </c>
      <c r="S39" s="7" t="str">
        <f>IF(R39="","",IF(R39&gt;=12,"קריטי",IF(R39&gt;=8,"גבוה",IF(R39&gt;=4,"בינוני","נמוך"))))</f>
        <v>נמוך</v>
      </c>
      <c r="T39" s="7" t="s">
        <v>55</v>
      </c>
      <c r="U39" s="8" t="s">
        <v>37</v>
      </c>
      <c r="V39" s="7" t="s">
        <v>212</v>
      </c>
      <c r="W39" s="7" t="s">
        <v>42</v>
      </c>
      <c r="X39" s="7">
        <v>0</v>
      </c>
      <c r="Y39" s="7">
        <v>0</v>
      </c>
      <c r="Z39" s="9">
        <f>IF(X39=0,0,ROUND(Y39/X39*100,0))</f>
        <v>0</v>
      </c>
      <c r="AA39" s="7" t="s">
        <v>37</v>
      </c>
      <c r="AB39" s="7" t="s">
        <v>37</v>
      </c>
      <c r="AC39" s="7" t="s">
        <v>43</v>
      </c>
      <c r="AD39" s="7" t="s">
        <v>42</v>
      </c>
      <c r="AE39" s="7" t="s">
        <v>37</v>
      </c>
      <c r="AF39" s="7" t="s">
        <v>37</v>
      </c>
    </row>
    <row r="40" ht="30" customHeight="1" spans="1:32" s="7" customFormat="1" x14ac:dyDescent="0.25">
      <c r="A40" s="7" t="s">
        <v>213</v>
      </c>
      <c r="B40" s="7" t="s">
        <v>207</v>
      </c>
      <c r="C40" s="7" t="s">
        <v>208</v>
      </c>
      <c r="D40" s="7" t="s">
        <v>214</v>
      </c>
      <c r="E40" s="7" t="s">
        <v>214</v>
      </c>
      <c r="F40" s="7" t="s">
        <v>37</v>
      </c>
      <c r="G40" s="7" t="s">
        <v>215</v>
      </c>
      <c r="H40" s="7">
        <v>2</v>
      </c>
      <c r="I40" s="7">
        <v>1</v>
      </c>
      <c r="J40" s="7">
        <f>IF(OR(H40="",I40=""),"",H40*I40)</f>
        <v>2</v>
      </c>
      <c r="K40" s="7" t="str">
        <f>IF(J40="","",IF(J40&gt;=12,"קריטי",IF(J40&gt;=8,"גבוה",IF(J40&gt;=4,"בינוני","נמוך"))))</f>
        <v>נמוך</v>
      </c>
      <c r="L40" s="7" t="s">
        <v>39</v>
      </c>
      <c r="M40" s="7" t="s">
        <v>216</v>
      </c>
      <c r="N40" s="7">
        <v>1</v>
      </c>
      <c r="O40" s="7">
        <v>1</v>
      </c>
      <c r="P40" s="7">
        <f>IF(OR(N40="",O40=""),"",N40*O40)</f>
        <v>1</v>
      </c>
      <c r="Q40" s="7" t="str">
        <f>IF(P40="","",IF(P40&gt;=12,"קריטי",IF(P40&gt;=8,"גבוה",IF(P40&gt;=4,"בינוני","נמוך"))))</f>
        <v>נמוך</v>
      </c>
      <c r="R40" s="7">
        <f>IF(J40="","",IF(X40&gt;0,ROUND(J40-IF(T40="הושלם",1,Z40/100)*(J40-IF(P40="",J40,P40)),0),IF(T40="הושלם",IF(P40="",J40,P40),IF(T40="בתהליך",IF(P40="",J40,ROUND((J40+P40)/2,0)),J40))))</f>
        <v>2</v>
      </c>
      <c r="S40" s="7" t="str">
        <f>IF(R40="","",IF(R40&gt;=12,"קריטי",IF(R40&gt;=8,"גבוה",IF(R40&gt;=4,"בינוני","נמוך"))))</f>
        <v>נמוך</v>
      </c>
      <c r="T40" s="7" t="s">
        <v>55</v>
      </c>
      <c r="U40" s="8" t="s">
        <v>37</v>
      </c>
      <c r="V40" s="7" t="s">
        <v>212</v>
      </c>
      <c r="W40" s="7" t="s">
        <v>42</v>
      </c>
      <c r="X40" s="7">
        <v>0</v>
      </c>
      <c r="Y40" s="7">
        <v>0</v>
      </c>
      <c r="Z40" s="9">
        <f>IF(X40=0,0,ROUND(Y40/X40*100,0))</f>
        <v>0</v>
      </c>
      <c r="AA40" s="7" t="s">
        <v>37</v>
      </c>
      <c r="AB40" s="7" t="s">
        <v>37</v>
      </c>
      <c r="AC40" s="7" t="s">
        <v>43</v>
      </c>
      <c r="AD40" s="7" t="s">
        <v>42</v>
      </c>
      <c r="AE40" s="7" t="s">
        <v>37</v>
      </c>
      <c r="AF40" s="7" t="s">
        <v>37</v>
      </c>
    </row>
    <row r="41" ht="30" customHeight="1" spans="1:32" s="7" customFormat="1" x14ac:dyDescent="0.25">
      <c r="A41" s="7" t="s">
        <v>217</v>
      </c>
      <c r="B41" s="7" t="s">
        <v>207</v>
      </c>
      <c r="C41" s="7" t="s">
        <v>208</v>
      </c>
      <c r="D41" s="7" t="s">
        <v>218</v>
      </c>
      <c r="E41" s="7" t="s">
        <v>218</v>
      </c>
      <c r="F41" s="7" t="s">
        <v>37</v>
      </c>
      <c r="G41" s="7" t="s">
        <v>219</v>
      </c>
      <c r="H41" s="7">
        <v>3</v>
      </c>
      <c r="I41" s="7">
        <v>2</v>
      </c>
      <c r="J41" s="7">
        <f>IF(OR(H41="",I41=""),"",H41*I41)</f>
        <v>6</v>
      </c>
      <c r="K41" s="7" t="str">
        <f>IF(J41="","",IF(J41&gt;=12,"קריטי",IF(J41&gt;=8,"גבוה",IF(J41&gt;=4,"בינוני","נמוך"))))</f>
        <v>בינוני</v>
      </c>
      <c r="L41" s="7" t="s">
        <v>47</v>
      </c>
      <c r="M41" s="7" t="s">
        <v>220</v>
      </c>
      <c r="N41" s="7">
        <v>2</v>
      </c>
      <c r="O41" s="7">
        <v>1</v>
      </c>
      <c r="P41" s="7">
        <f>IF(OR(N41="",O41=""),"",N41*O41)</f>
        <v>2</v>
      </c>
      <c r="Q41" s="7" t="str">
        <f>IF(P41="","",IF(P41&gt;=12,"קריטי",IF(P41&gt;=8,"גבוה",IF(P41&gt;=4,"בינוני","נמוך"))))</f>
        <v>נמוך</v>
      </c>
      <c r="R41" s="7">
        <f>IF(J41="","",IF(X41&gt;0,ROUND(J41-IF(T41="הושלם",1,Z41/100)*(J41-IF(P41="",J41,P41)),0),IF(T41="הושלם",IF(P41="",J41,P41),IF(T41="בתהליך",IF(P41="",J41,ROUND((J41+P41)/2,0)),J41))))</f>
        <v>6</v>
      </c>
      <c r="S41" s="7" t="str">
        <f>IF(R41="","",IF(R41&gt;=12,"קריטי",IF(R41&gt;=8,"גבוה",IF(R41&gt;=4,"בינוני","נמוך"))))</f>
        <v>בינוני</v>
      </c>
      <c r="T41" s="7" t="s">
        <v>55</v>
      </c>
      <c r="U41" s="8" t="s">
        <v>37</v>
      </c>
      <c r="V41" s="7" t="s">
        <v>49</v>
      </c>
      <c r="W41" s="7" t="s">
        <v>42</v>
      </c>
      <c r="X41" s="7">
        <v>0</v>
      </c>
      <c r="Y41" s="7">
        <v>0</v>
      </c>
      <c r="Z41" s="9">
        <f>IF(X41=0,0,ROUND(Y41/X41*100,0))</f>
        <v>0</v>
      </c>
      <c r="AA41" s="7" t="s">
        <v>37</v>
      </c>
      <c r="AB41" s="7" t="s">
        <v>37</v>
      </c>
      <c r="AC41" s="7" t="s">
        <v>43</v>
      </c>
      <c r="AD41" s="7" t="s">
        <v>42</v>
      </c>
      <c r="AE41" s="7" t="s">
        <v>37</v>
      </c>
      <c r="AF41" s="7" t="s">
        <v>37</v>
      </c>
    </row>
    <row r="42" ht="30" customHeight="1" spans="1:32" s="7" customFormat="1" x14ac:dyDescent="0.25">
      <c r="A42" s="7" t="s">
        <v>221</v>
      </c>
      <c r="B42" s="7" t="s">
        <v>207</v>
      </c>
      <c r="C42" s="7" t="s">
        <v>208</v>
      </c>
      <c r="D42" s="7" t="s">
        <v>222</v>
      </c>
      <c r="E42" s="7" t="s">
        <v>222</v>
      </c>
      <c r="F42" s="7" t="s">
        <v>37</v>
      </c>
      <c r="G42" s="7" t="s">
        <v>223</v>
      </c>
      <c r="H42" s="7">
        <v>3</v>
      </c>
      <c r="I42" s="7">
        <v>1</v>
      </c>
      <c r="J42" s="7">
        <f>IF(OR(H42="",I42=""),"",H42*I42)</f>
        <v>3</v>
      </c>
      <c r="K42" s="7" t="str">
        <f>IF(J42="","",IF(J42&gt;=12,"קריטי",IF(J42&gt;=8,"גבוה",IF(J42&gt;=4,"בינוני","נמוך"))))</f>
        <v>נמוך</v>
      </c>
      <c r="L42" s="7" t="s">
        <v>96</v>
      </c>
      <c r="M42" s="7" t="s">
        <v>224</v>
      </c>
      <c r="N42" s="7">
        <v>2</v>
      </c>
      <c r="O42" s="7">
        <v>1</v>
      </c>
      <c r="P42" s="7">
        <f>IF(OR(N42="",O42=""),"",N42*O42)</f>
        <v>2</v>
      </c>
      <c r="Q42" s="7" t="str">
        <f>IF(P42="","",IF(P42&gt;=12,"קריטי",IF(P42&gt;=8,"גבוה",IF(P42&gt;=4,"בינוני","נמוך"))))</f>
        <v>נמוך</v>
      </c>
      <c r="R42" s="7">
        <f>IF(J42="","",IF(X42&gt;0,ROUND(J42-IF(T42="הושלם",1,Z42/100)*(J42-IF(P42="",J42,P42)),0),IF(T42="הושלם",IF(P42="",J42,P42),IF(T42="בתהליך",IF(P42="",J42,ROUND((J42+P42)/2,0)),J42))))</f>
        <v>3</v>
      </c>
      <c r="S42" s="7" t="str">
        <f>IF(R42="","",IF(R42&gt;=12,"קריטי",IF(R42&gt;=8,"גבוה",IF(R42&gt;=4,"בינוני","נמוך"))))</f>
        <v>נמוך</v>
      </c>
      <c r="T42" s="7" t="s">
        <v>55</v>
      </c>
      <c r="U42" s="8" t="s">
        <v>37</v>
      </c>
      <c r="V42" s="7" t="s">
        <v>49</v>
      </c>
      <c r="W42" s="7" t="s">
        <v>42</v>
      </c>
      <c r="X42" s="7">
        <v>0</v>
      </c>
      <c r="Y42" s="7">
        <v>0</v>
      </c>
      <c r="Z42" s="9">
        <f>IF(X42=0,0,ROUND(Y42/X42*100,0))</f>
        <v>0</v>
      </c>
      <c r="AA42" s="7" t="s">
        <v>37</v>
      </c>
      <c r="AB42" s="7" t="s">
        <v>37</v>
      </c>
      <c r="AC42" s="7" t="s">
        <v>43</v>
      </c>
      <c r="AD42" s="7" t="s">
        <v>42</v>
      </c>
      <c r="AE42" s="7" t="s">
        <v>37</v>
      </c>
      <c r="AF42" s="7" t="s">
        <v>37</v>
      </c>
    </row>
    <row r="43" ht="30" customHeight="1" spans="1:32" s="7" customFormat="1" x14ac:dyDescent="0.25">
      <c r="A43" s="7" t="s">
        <v>225</v>
      </c>
      <c r="B43" s="7" t="s">
        <v>207</v>
      </c>
      <c r="C43" s="7" t="s">
        <v>208</v>
      </c>
      <c r="D43" s="7" t="s">
        <v>226</v>
      </c>
      <c r="E43" s="7" t="s">
        <v>226</v>
      </c>
      <c r="F43" s="7" t="s">
        <v>37</v>
      </c>
      <c r="G43" s="7" t="s">
        <v>227</v>
      </c>
      <c r="H43" s="7">
        <v>4</v>
      </c>
      <c r="I43" s="7">
        <v>4</v>
      </c>
      <c r="J43" s="7">
        <f>IF(OR(H43="",I43=""),"",H43*I43)</f>
        <v>16</v>
      </c>
      <c r="K43" s="7" t="str">
        <f>IF(J43="","",IF(J43&gt;=12,"קריטי",IF(J43&gt;=8,"גבוה",IF(J43&gt;=4,"בינוני","נמוך"))))</f>
        <v>קריטי</v>
      </c>
      <c r="L43" s="7" t="s">
        <v>39</v>
      </c>
      <c r="M43" s="7" t="s">
        <v>228</v>
      </c>
      <c r="N43" s="7">
        <v>3</v>
      </c>
      <c r="O43" s="7">
        <v>3</v>
      </c>
      <c r="P43" s="7">
        <f>IF(OR(N43="",O43=""),"",N43*O43)</f>
        <v>9</v>
      </c>
      <c r="Q43" s="7" t="str">
        <f>IF(P43="","",IF(P43&gt;=12,"קריטי",IF(P43&gt;=8,"גבוה",IF(P43&gt;=4,"בינוני","נמוך"))))</f>
        <v>גבוה</v>
      </c>
      <c r="R43" s="7">
        <f>IF(J43="","",IF(X43&gt;0,ROUND(J43-IF(T43="הושלם",1,Z43/100)*(J43-IF(P43="",J43,P43)),0),IF(T43="הושלם",IF(P43="",J43,P43),IF(T43="בתהליך",IF(P43="",J43,ROUND((J43+P43)/2,0)),J43))))</f>
        <v>16</v>
      </c>
      <c r="S43" s="7" t="str">
        <f>IF(R43="","",IF(R43&gt;=12,"קריטי",IF(R43&gt;=8,"גבוה",IF(R43&gt;=4,"בינוני","נמוך"))))</f>
        <v>קריטי</v>
      </c>
      <c r="T43" s="7" t="s">
        <v>55</v>
      </c>
      <c r="U43" s="8" t="s">
        <v>37</v>
      </c>
      <c r="V43" s="7" t="s">
        <v>49</v>
      </c>
      <c r="W43" s="7" t="s">
        <v>42</v>
      </c>
      <c r="X43" s="7">
        <v>3</v>
      </c>
      <c r="Y43" s="7">
        <v>0</v>
      </c>
      <c r="Z43" s="9">
        <f>IF(X43=0,0,ROUND(Y43/X43*100,0))</f>
        <v>0</v>
      </c>
      <c r="AA43" s="7" t="s">
        <v>37</v>
      </c>
      <c r="AB43" s="7" t="s">
        <v>37</v>
      </c>
      <c r="AC43" s="7" t="s">
        <v>43</v>
      </c>
      <c r="AD43" s="7" t="s">
        <v>42</v>
      </c>
      <c r="AE43" s="7" t="s">
        <v>37</v>
      </c>
      <c r="AF43" s="7" t="s">
        <v>37</v>
      </c>
    </row>
    <row r="44" ht="30" customHeight="1" spans="1:32" s="7" customFormat="1" x14ac:dyDescent="0.25">
      <c r="A44" s="7" t="s">
        <v>229</v>
      </c>
      <c r="B44" s="7" t="s">
        <v>230</v>
      </c>
      <c r="C44" s="7" t="s">
        <v>231</v>
      </c>
      <c r="D44" s="7" t="s">
        <v>232</v>
      </c>
      <c r="E44" s="7" t="s">
        <v>232</v>
      </c>
      <c r="F44" s="7" t="s">
        <v>37</v>
      </c>
      <c r="G44" s="7" t="s">
        <v>233</v>
      </c>
      <c r="H44" s="7">
        <v>3</v>
      </c>
      <c r="I44" s="7">
        <v>2</v>
      </c>
      <c r="J44" s="7">
        <f>IF(OR(H44="",I44=""),"",H44*I44)</f>
        <v>6</v>
      </c>
      <c r="K44" s="7" t="str">
        <f>IF(J44="","",IF(J44&gt;=12,"קריטי",IF(J44&gt;=8,"גבוה",IF(J44&gt;=4,"בינוני","נמוך"))))</f>
        <v>בינוני</v>
      </c>
      <c r="L44" s="7" t="s">
        <v>59</v>
      </c>
      <c r="M44" s="7" t="s">
        <v>234</v>
      </c>
      <c r="N44" s="7">
        <v>2</v>
      </c>
      <c r="O44" s="7">
        <v>1</v>
      </c>
      <c r="P44" s="7">
        <f>IF(OR(N44="",O44=""),"",N44*O44)</f>
        <v>2</v>
      </c>
      <c r="Q44" s="7" t="str">
        <f>IF(P44="","",IF(P44&gt;=12,"קריטי",IF(P44&gt;=8,"גבוה",IF(P44&gt;=4,"בינוני","נמוך"))))</f>
        <v>נמוך</v>
      </c>
      <c r="R44" s="7">
        <f>IF(J44="","",IF(X44&gt;0,ROUND(J44-IF(T44="הושלם",1,Z44/100)*(J44-IF(P44="",J44,P44)),0),IF(T44="הושלם",IF(P44="",J44,P44),IF(T44="בתהליך",IF(P44="",J44,ROUND((J44+P44)/2,0)),J44))))</f>
        <v>6</v>
      </c>
      <c r="S44" s="7" t="str">
        <f>IF(R44="","",IF(R44&gt;=12,"קריטי",IF(R44&gt;=8,"גבוה",IF(R44&gt;=4,"בינוני","נמוך"))))</f>
        <v>בינוני</v>
      </c>
      <c r="T44" s="7" t="s">
        <v>55</v>
      </c>
      <c r="U44" s="8" t="s">
        <v>37</v>
      </c>
      <c r="V44" s="7" t="s">
        <v>49</v>
      </c>
      <c r="W44" s="7" t="s">
        <v>42</v>
      </c>
      <c r="X44" s="7">
        <v>2</v>
      </c>
      <c r="Y44" s="7">
        <v>0</v>
      </c>
      <c r="Z44" s="9">
        <f>IF(X44=0,0,ROUND(Y44/X44*100,0))</f>
        <v>0</v>
      </c>
      <c r="AA44" s="7" t="s">
        <v>37</v>
      </c>
      <c r="AB44" s="7">
        <v>55000</v>
      </c>
      <c r="AC44" s="7" t="s">
        <v>189</v>
      </c>
      <c r="AD44" s="7" t="s">
        <v>42</v>
      </c>
      <c r="AE44" s="7" t="s">
        <v>37</v>
      </c>
      <c r="AF44" s="7" t="s">
        <v>37</v>
      </c>
    </row>
    <row r="45" ht="30" customHeight="1" spans="1:32" s="7" customFormat="1" x14ac:dyDescent="0.25">
      <c r="A45" s="7" t="s">
        <v>235</v>
      </c>
      <c r="B45" s="7" t="s">
        <v>230</v>
      </c>
      <c r="C45" s="7" t="s">
        <v>231</v>
      </c>
      <c r="D45" s="7" t="s">
        <v>236</v>
      </c>
      <c r="E45" s="7" t="s">
        <v>236</v>
      </c>
      <c r="F45" s="7" t="s">
        <v>37</v>
      </c>
      <c r="G45" s="7" t="s">
        <v>237</v>
      </c>
      <c r="H45" s="7">
        <v>4</v>
      </c>
      <c r="I45" s="7">
        <v>3</v>
      </c>
      <c r="J45" s="7">
        <f>IF(OR(H45="",I45=""),"",H45*I45)</f>
        <v>12</v>
      </c>
      <c r="K45" s="7" t="str">
        <f>IF(J45="","",IF(J45&gt;=12,"קריטי",IF(J45&gt;=8,"גבוה",IF(J45&gt;=4,"בינוני","נמוך"))))</f>
        <v>קריטי</v>
      </c>
      <c r="L45" s="7" t="s">
        <v>53</v>
      </c>
      <c r="M45" s="7" t="s">
        <v>238</v>
      </c>
      <c r="N45" s="7">
        <v>2</v>
      </c>
      <c r="O45" s="7">
        <v>1</v>
      </c>
      <c r="P45" s="7">
        <f>IF(OR(N45="",O45=""),"",N45*O45)</f>
        <v>2</v>
      </c>
      <c r="Q45" s="7" t="str">
        <f>IF(P45="","",IF(P45&gt;=12,"קריטי",IF(P45&gt;=8,"גבוה",IF(P45&gt;=4,"בינוני","נמוך"))))</f>
        <v>נמוך</v>
      </c>
      <c r="R45" s="7">
        <f>IF(J45="","",IF(X45&gt;0,ROUND(J45-IF(T45="הושלם",1,Z45/100)*(J45-IF(P45="",J45,P45)),0),IF(T45="הושלם",IF(P45="",J45,P45),IF(T45="בתהליך",IF(P45="",J45,ROUND((J45+P45)/2,0)),J45))))</f>
        <v>2</v>
      </c>
      <c r="S45" s="7" t="str">
        <f>IF(R45="","",IF(R45&gt;=12,"קריטי",IF(R45&gt;=8,"גבוה",IF(R45&gt;=4,"בינוני","נמוך"))))</f>
        <v>נמוך</v>
      </c>
      <c r="T45" s="7" t="s">
        <v>239</v>
      </c>
      <c r="U45" s="8" t="s">
        <v>37</v>
      </c>
      <c r="V45" s="7" t="s">
        <v>49</v>
      </c>
      <c r="W45" s="7" t="s">
        <v>42</v>
      </c>
      <c r="X45" s="7">
        <v>0</v>
      </c>
      <c r="Y45" s="7">
        <v>0</v>
      </c>
      <c r="Z45" s="9">
        <f>IF(X45=0,0,ROUND(Y45/X45*100,0))</f>
        <v>0</v>
      </c>
      <c r="AA45" s="7" t="s">
        <v>184</v>
      </c>
      <c r="AB45" s="7">
        <v>10000</v>
      </c>
      <c r="AC45" s="7" t="s">
        <v>43</v>
      </c>
      <c r="AD45" s="7" t="s">
        <v>42</v>
      </c>
      <c r="AE45" s="7" t="s">
        <v>37</v>
      </c>
      <c r="AF45" s="7" t="s">
        <v>37</v>
      </c>
    </row>
    <row r="46" ht="30" customHeight="1" spans="1:32" s="7" customFormat="1" x14ac:dyDescent="0.25">
      <c r="A46" s="7" t="s">
        <v>240</v>
      </c>
      <c r="B46" s="7" t="s">
        <v>230</v>
      </c>
      <c r="C46" s="7" t="s">
        <v>231</v>
      </c>
      <c r="D46" s="7" t="s">
        <v>241</v>
      </c>
      <c r="E46" s="7" t="s">
        <v>241</v>
      </c>
      <c r="F46" s="7" t="s">
        <v>37</v>
      </c>
      <c r="G46" s="7" t="s">
        <v>242</v>
      </c>
      <c r="H46" s="7" t="s">
        <v>37</v>
      </c>
      <c r="I46" s="7" t="s">
        <v>37</v>
      </c>
      <c r="J46" s="7" t="str">
        <f>IF(OR(H46="",I46=""),"",H46*I46)</f>
        <v/>
      </c>
      <c r="K46" s="7" t="str">
        <f>IF(J46="","",IF(J46&gt;=12,"קריטי",IF(J46&gt;=8,"גבוה",IF(J46&gt;=4,"בינוני","נמוך"))))</f>
        <v/>
      </c>
      <c r="L46" s="7" t="s">
        <v>77</v>
      </c>
      <c r="M46" s="7" t="s">
        <v>243</v>
      </c>
      <c r="N46" s="7" t="s">
        <v>37</v>
      </c>
      <c r="O46" s="7" t="s">
        <v>37</v>
      </c>
      <c r="P46" s="7" t="str">
        <f>IF(OR(N46="",O46=""),"",N46*O46)</f>
        <v/>
      </c>
      <c r="Q46" s="7" t="str">
        <f>IF(P46="","",IF(P46&gt;=12,"קריטי",IF(P46&gt;=8,"גבוה",IF(P46&gt;=4,"בינוני","נמוך"))))</f>
        <v/>
      </c>
      <c r="R46" s="7" t="str">
        <f>IF(J46="","",IF(X46&gt;0,ROUND(J46-IF(T46="הושלם",1,Z46/100)*(J46-IF(P46="",J46,P46)),0),IF(T46="הושלם",IF(P46="",J46,P46),IF(T46="בתהליך",IF(P46="",J46,ROUND((J46+P46)/2,0)),J46))))</f>
        <v/>
      </c>
      <c r="S46" s="7" t="str">
        <f>IF(R46="","",IF(R46&gt;=12,"קריטי",IF(R46&gt;=8,"גבוה",IF(R46&gt;=4,"בינוני","נמוך"))))</f>
        <v/>
      </c>
      <c r="T46" s="7" t="s">
        <v>55</v>
      </c>
      <c r="U46" s="8" t="s">
        <v>37</v>
      </c>
      <c r="V46" s="7" t="s">
        <v>37</v>
      </c>
      <c r="W46" s="7" t="s">
        <v>42</v>
      </c>
      <c r="X46" s="7">
        <v>0</v>
      </c>
      <c r="Y46" s="7">
        <v>0</v>
      </c>
      <c r="Z46" s="9">
        <f>IF(X46=0,0,ROUND(Y46/X46*100,0))</f>
        <v>0</v>
      </c>
      <c r="AA46" s="7" t="s">
        <v>37</v>
      </c>
      <c r="AB46" s="7" t="s">
        <v>37</v>
      </c>
      <c r="AC46" s="7" t="s">
        <v>43</v>
      </c>
      <c r="AD46" s="7" t="s">
        <v>42</v>
      </c>
      <c r="AE46" s="7" t="s">
        <v>37</v>
      </c>
      <c r="AF46" s="7" t="s">
        <v>37</v>
      </c>
    </row>
    <row r="47" ht="30" customHeight="1" spans="1:32" s="7" customFormat="1" x14ac:dyDescent="0.25">
      <c r="A47" s="7" t="s">
        <v>244</v>
      </c>
      <c r="B47" s="7" t="s">
        <v>230</v>
      </c>
      <c r="C47" s="7" t="s">
        <v>231</v>
      </c>
      <c r="D47" s="7" t="s">
        <v>245</v>
      </c>
      <c r="E47" s="7" t="s">
        <v>245</v>
      </c>
      <c r="F47" s="7" t="s">
        <v>37</v>
      </c>
      <c r="G47" s="7" t="s">
        <v>246</v>
      </c>
      <c r="H47" s="7" t="s">
        <v>37</v>
      </c>
      <c r="I47" s="7" t="s">
        <v>37</v>
      </c>
      <c r="J47" s="7" t="str">
        <f>IF(OR(H47="",I47=""),"",H47*I47)</f>
        <v/>
      </c>
      <c r="K47" s="7" t="str">
        <f>IF(J47="","",IF(J47&gt;=12,"קריטי",IF(J47&gt;=8,"גבוה",IF(J47&gt;=4,"בינוני","נמוך"))))</f>
        <v/>
      </c>
      <c r="L47" s="7" t="s">
        <v>64</v>
      </c>
      <c r="M47" s="7" t="s">
        <v>247</v>
      </c>
      <c r="N47" s="7" t="s">
        <v>37</v>
      </c>
      <c r="O47" s="7" t="s">
        <v>37</v>
      </c>
      <c r="P47" s="7" t="str">
        <f>IF(OR(N47="",O47=""),"",N47*O47)</f>
        <v/>
      </c>
      <c r="Q47" s="7" t="str">
        <f>IF(P47="","",IF(P47&gt;=12,"קריטי",IF(P47&gt;=8,"גבוה",IF(P47&gt;=4,"בינוני","נמוך"))))</f>
        <v/>
      </c>
      <c r="R47" s="7" t="str">
        <f>IF(J47="","",IF(X47&gt;0,ROUND(J47-IF(T47="הושלם",1,Z47/100)*(J47-IF(P47="",J47,P47)),0),IF(T47="הושלם",IF(P47="",J47,P47),IF(T47="בתהליך",IF(P47="",J47,ROUND((J47+P47)/2,0)),J47))))</f>
        <v/>
      </c>
      <c r="S47" s="7" t="str">
        <f>IF(R47="","",IF(R47&gt;=12,"קריטי",IF(R47&gt;=8,"גבוה",IF(R47&gt;=4,"בינוני","נמוך"))))</f>
        <v/>
      </c>
      <c r="T47" s="7" t="s">
        <v>55</v>
      </c>
      <c r="U47" s="8" t="s">
        <v>37</v>
      </c>
      <c r="V47" s="7" t="s">
        <v>37</v>
      </c>
      <c r="W47" s="7" t="s">
        <v>42</v>
      </c>
      <c r="X47" s="7">
        <v>0</v>
      </c>
      <c r="Y47" s="7">
        <v>0</v>
      </c>
      <c r="Z47" s="9">
        <f>IF(X47=0,0,ROUND(Y47/X47*100,0))</f>
        <v>0</v>
      </c>
      <c r="AA47" s="7" t="s">
        <v>37</v>
      </c>
      <c r="AB47" s="7" t="s">
        <v>37</v>
      </c>
      <c r="AC47" s="7" t="s">
        <v>43</v>
      </c>
      <c r="AD47" s="7" t="s">
        <v>42</v>
      </c>
      <c r="AE47" s="7" t="s">
        <v>37</v>
      </c>
      <c r="AF47" s="7" t="s">
        <v>37</v>
      </c>
    </row>
    <row r="48" ht="30" customHeight="1" spans="1:32" s="7" customFormat="1" x14ac:dyDescent="0.25">
      <c r="A48" s="7" t="s">
        <v>248</v>
      </c>
      <c r="B48" s="7" t="s">
        <v>230</v>
      </c>
      <c r="C48" s="7" t="s">
        <v>231</v>
      </c>
      <c r="D48" s="7" t="s">
        <v>249</v>
      </c>
      <c r="E48" s="7" t="s">
        <v>249</v>
      </c>
      <c r="F48" s="7" t="s">
        <v>37</v>
      </c>
      <c r="G48" s="7" t="s">
        <v>250</v>
      </c>
      <c r="H48" s="7" t="s">
        <v>37</v>
      </c>
      <c r="I48" s="7" t="s">
        <v>37</v>
      </c>
      <c r="J48" s="7" t="str">
        <f>IF(OR(H48="",I48=""),"",H48*I48)</f>
        <v/>
      </c>
      <c r="K48" s="7" t="str">
        <f>IF(J48="","",IF(J48&gt;=12,"קריטי",IF(J48&gt;=8,"גבוה",IF(J48&gt;=4,"בינוני","נמוך"))))</f>
        <v/>
      </c>
      <c r="L48" s="7" t="s">
        <v>64</v>
      </c>
      <c r="M48" s="7" t="s">
        <v>251</v>
      </c>
      <c r="N48" s="7" t="s">
        <v>37</v>
      </c>
      <c r="O48" s="7" t="s">
        <v>37</v>
      </c>
      <c r="P48" s="7" t="str">
        <f>IF(OR(N48="",O48=""),"",N48*O48)</f>
        <v/>
      </c>
      <c r="Q48" s="7" t="str">
        <f>IF(P48="","",IF(P48&gt;=12,"קריטי",IF(P48&gt;=8,"גבוה",IF(P48&gt;=4,"בינוני","נמוך"))))</f>
        <v/>
      </c>
      <c r="R48" s="7" t="str">
        <f>IF(J48="","",IF(X48&gt;0,ROUND(J48-IF(T48="הושלם",1,Z48/100)*(J48-IF(P48="",J48,P48)),0),IF(T48="הושלם",IF(P48="",J48,P48),IF(T48="בתהליך",IF(P48="",J48,ROUND((J48+P48)/2,0)),J48))))</f>
        <v/>
      </c>
      <c r="S48" s="7" t="str">
        <f>IF(R48="","",IF(R48&gt;=12,"קריטי",IF(R48&gt;=8,"גבוה",IF(R48&gt;=4,"בינוני","נמוך"))))</f>
        <v/>
      </c>
      <c r="T48" s="7" t="s">
        <v>55</v>
      </c>
      <c r="U48" s="8" t="s">
        <v>37</v>
      </c>
      <c r="V48" s="7" t="s">
        <v>37</v>
      </c>
      <c r="W48" s="7" t="s">
        <v>42</v>
      </c>
      <c r="X48" s="7">
        <v>0</v>
      </c>
      <c r="Y48" s="7">
        <v>0</v>
      </c>
      <c r="Z48" s="9">
        <f>IF(X48=0,0,ROUND(Y48/X48*100,0))</f>
        <v>0</v>
      </c>
      <c r="AA48" s="7" t="s">
        <v>37</v>
      </c>
      <c r="AB48" s="7" t="s">
        <v>37</v>
      </c>
      <c r="AC48" s="7" t="s">
        <v>43</v>
      </c>
      <c r="AD48" s="7" t="s">
        <v>42</v>
      </c>
      <c r="AE48" s="7" t="s">
        <v>37</v>
      </c>
      <c r="AF48" s="7" t="s">
        <v>37</v>
      </c>
    </row>
    <row r="49" ht="30" customHeight="1" spans="1:32" s="7" customFormat="1" x14ac:dyDescent="0.25">
      <c r="A49" s="7" t="s">
        <v>252</v>
      </c>
      <c r="B49" s="7" t="s">
        <v>230</v>
      </c>
      <c r="C49" s="7" t="s">
        <v>231</v>
      </c>
      <c r="D49" s="7" t="s">
        <v>253</v>
      </c>
      <c r="E49" s="7" t="s">
        <v>253</v>
      </c>
      <c r="F49" s="7" t="s">
        <v>37</v>
      </c>
      <c r="G49" s="7" t="s">
        <v>254</v>
      </c>
      <c r="H49" s="7" t="s">
        <v>37</v>
      </c>
      <c r="I49" s="7" t="s">
        <v>37</v>
      </c>
      <c r="J49" s="7" t="str">
        <f>IF(OR(H49="",I49=""),"",H49*I49)</f>
        <v/>
      </c>
      <c r="K49" s="7" t="str">
        <f>IF(J49="","",IF(J49&gt;=12,"קריטי",IF(J49&gt;=8,"גבוה",IF(J49&gt;=4,"בינוני","נמוך"))))</f>
        <v/>
      </c>
      <c r="L49" s="7" t="s">
        <v>77</v>
      </c>
      <c r="M49" s="7" t="s">
        <v>255</v>
      </c>
      <c r="N49" s="7" t="s">
        <v>37</v>
      </c>
      <c r="O49" s="7" t="s">
        <v>37</v>
      </c>
      <c r="P49" s="7" t="str">
        <f>IF(OR(N49="",O49=""),"",N49*O49)</f>
        <v/>
      </c>
      <c r="Q49" s="7" t="str">
        <f>IF(P49="","",IF(P49&gt;=12,"קריטי",IF(P49&gt;=8,"גבוה",IF(P49&gt;=4,"בינוני","נמוך"))))</f>
        <v/>
      </c>
      <c r="R49" s="7" t="str">
        <f>IF(J49="","",IF(X49&gt;0,ROUND(J49-IF(T49="הושלם",1,Z49/100)*(J49-IF(P49="",J49,P49)),0),IF(T49="הושלם",IF(P49="",J49,P49),IF(T49="בתהליך",IF(P49="",J49,ROUND((J49+P49)/2,0)),J49))))</f>
        <v/>
      </c>
      <c r="S49" s="7" t="str">
        <f>IF(R49="","",IF(R49&gt;=12,"קריטי",IF(R49&gt;=8,"גבוה",IF(R49&gt;=4,"בינוני","נמוך"))))</f>
        <v/>
      </c>
      <c r="T49" s="7" t="s">
        <v>55</v>
      </c>
      <c r="U49" s="8" t="s">
        <v>37</v>
      </c>
      <c r="V49" s="7" t="s">
        <v>37</v>
      </c>
      <c r="W49" s="7" t="s">
        <v>42</v>
      </c>
      <c r="X49" s="7">
        <v>0</v>
      </c>
      <c r="Y49" s="7">
        <v>0</v>
      </c>
      <c r="Z49" s="9">
        <f>IF(X49=0,0,ROUND(Y49/X49*100,0))</f>
        <v>0</v>
      </c>
      <c r="AA49" s="7" t="s">
        <v>37</v>
      </c>
      <c r="AB49" s="7" t="s">
        <v>37</v>
      </c>
      <c r="AC49" s="7" t="s">
        <v>43</v>
      </c>
      <c r="AD49" s="7" t="s">
        <v>42</v>
      </c>
      <c r="AE49" s="7" t="s">
        <v>37</v>
      </c>
      <c r="AF49" s="7" t="s">
        <v>37</v>
      </c>
    </row>
    <row r="50" ht="30" customHeight="1" spans="1:32" s="7" customFormat="1" x14ac:dyDescent="0.25">
      <c r="A50" s="7" t="s">
        <v>256</v>
      </c>
      <c r="B50" s="7" t="s">
        <v>230</v>
      </c>
      <c r="C50" s="7" t="s">
        <v>231</v>
      </c>
      <c r="D50" s="7" t="s">
        <v>257</v>
      </c>
      <c r="E50" s="7" t="s">
        <v>257</v>
      </c>
      <c r="F50" s="7" t="s">
        <v>37</v>
      </c>
      <c r="G50" s="7" t="s">
        <v>258</v>
      </c>
      <c r="H50" s="7" t="s">
        <v>37</v>
      </c>
      <c r="I50" s="7" t="s">
        <v>37</v>
      </c>
      <c r="J50" s="7" t="str">
        <f>IF(OR(H50="",I50=""),"",H50*I50)</f>
        <v/>
      </c>
      <c r="K50" s="7" t="str">
        <f>IF(J50="","",IF(J50&gt;=12,"קריטי",IF(J50&gt;=8,"גבוה",IF(J50&gt;=4,"בינוני","נמוך"))))</f>
        <v/>
      </c>
      <c r="L50" s="7" t="s">
        <v>53</v>
      </c>
      <c r="M50" s="7" t="s">
        <v>259</v>
      </c>
      <c r="N50" s="7" t="s">
        <v>37</v>
      </c>
      <c r="O50" s="7" t="s">
        <v>37</v>
      </c>
      <c r="P50" s="7" t="str">
        <f>IF(OR(N50="",O50=""),"",N50*O50)</f>
        <v/>
      </c>
      <c r="Q50" s="7" t="str">
        <f>IF(P50="","",IF(P50&gt;=12,"קריטי",IF(P50&gt;=8,"גבוה",IF(P50&gt;=4,"בינוני","נמוך"))))</f>
        <v/>
      </c>
      <c r="R50" s="7" t="str">
        <f>IF(J50="","",IF(X50&gt;0,ROUND(J50-IF(T50="הושלם",1,Z50/100)*(J50-IF(P50="",J50,P50)),0),IF(T50="הושלם",IF(P50="",J50,P50),IF(T50="בתהליך",IF(P50="",J50,ROUND((J50+P50)/2,0)),J50))))</f>
        <v/>
      </c>
      <c r="S50" s="7" t="str">
        <f>IF(R50="","",IF(R50&gt;=12,"קריטי",IF(R50&gt;=8,"גבוה",IF(R50&gt;=4,"בינוני","נמוך"))))</f>
        <v/>
      </c>
      <c r="T50" s="7" t="s">
        <v>55</v>
      </c>
      <c r="U50" s="8" t="s">
        <v>37</v>
      </c>
      <c r="V50" s="7" t="s">
        <v>37</v>
      </c>
      <c r="W50" s="7" t="s">
        <v>42</v>
      </c>
      <c r="X50" s="7">
        <v>0</v>
      </c>
      <c r="Y50" s="7">
        <v>0</v>
      </c>
      <c r="Z50" s="9">
        <f>IF(X50=0,0,ROUND(Y50/X50*100,0))</f>
        <v>0</v>
      </c>
      <c r="AA50" s="7" t="s">
        <v>37</v>
      </c>
      <c r="AB50" s="7" t="s">
        <v>37</v>
      </c>
      <c r="AC50" s="7" t="s">
        <v>43</v>
      </c>
      <c r="AD50" s="7" t="s">
        <v>42</v>
      </c>
      <c r="AE50" s="7" t="s">
        <v>37</v>
      </c>
      <c r="AF50" s="7" t="s">
        <v>37</v>
      </c>
    </row>
    <row r="51" ht="30" customHeight="1" spans="1:32" s="7" customFormat="1" x14ac:dyDescent="0.25">
      <c r="A51" s="7" t="s">
        <v>260</v>
      </c>
      <c r="B51" s="7" t="s">
        <v>261</v>
      </c>
      <c r="C51" s="7" t="s">
        <v>262</v>
      </c>
      <c r="D51" s="7" t="s">
        <v>263</v>
      </c>
      <c r="E51" s="7" t="s">
        <v>263</v>
      </c>
      <c r="F51" s="7" t="s">
        <v>37</v>
      </c>
      <c r="G51" s="7" t="s">
        <v>264</v>
      </c>
      <c r="H51" s="7" t="s">
        <v>37</v>
      </c>
      <c r="I51" s="7" t="s">
        <v>37</v>
      </c>
      <c r="J51" s="7" t="str">
        <f>IF(OR(H51="",I51=""),"",H51*I51)</f>
        <v/>
      </c>
      <c r="K51" s="7" t="str">
        <f>IF(J51="","",IF(J51&gt;=12,"קריטי",IF(J51&gt;=8,"גבוה",IF(J51&gt;=4,"בינוני","נמוך"))))</f>
        <v/>
      </c>
      <c r="L51" s="7" t="s">
        <v>59</v>
      </c>
      <c r="M51" s="7" t="s">
        <v>265</v>
      </c>
      <c r="N51" s="7" t="s">
        <v>37</v>
      </c>
      <c r="O51" s="7" t="s">
        <v>37</v>
      </c>
      <c r="P51" s="7" t="str">
        <f>IF(OR(N51="",O51=""),"",N51*O51)</f>
        <v/>
      </c>
      <c r="Q51" s="7" t="str">
        <f>IF(P51="","",IF(P51&gt;=12,"קריטי",IF(P51&gt;=8,"גבוה",IF(P51&gt;=4,"בינוני","נמוך"))))</f>
        <v/>
      </c>
      <c r="R51" s="7" t="str">
        <f>IF(J51="","",IF(X51&gt;0,ROUND(J51-IF(T51="הושלם",1,Z51/100)*(J51-IF(P51="",J51,P51)),0),IF(T51="הושלם",IF(P51="",J51,P51),IF(T51="בתהליך",IF(P51="",J51,ROUND((J51+P51)/2,0)),J51))))</f>
        <v/>
      </c>
      <c r="S51" s="7" t="str">
        <f>IF(R51="","",IF(R51&gt;=12,"קריטי",IF(R51&gt;=8,"גבוה",IF(R51&gt;=4,"בינוני","נמוך"))))</f>
        <v/>
      </c>
      <c r="T51" s="7" t="s">
        <v>55</v>
      </c>
      <c r="U51" s="8" t="s">
        <v>37</v>
      </c>
      <c r="V51" s="7" t="s">
        <v>37</v>
      </c>
      <c r="W51" s="7" t="s">
        <v>42</v>
      </c>
      <c r="X51" s="7">
        <v>0</v>
      </c>
      <c r="Y51" s="7">
        <v>0</v>
      </c>
      <c r="Z51" s="9">
        <f>IF(X51=0,0,ROUND(Y51/X51*100,0))</f>
        <v>0</v>
      </c>
      <c r="AA51" s="7" t="s">
        <v>37</v>
      </c>
      <c r="AB51" s="7" t="s">
        <v>37</v>
      </c>
      <c r="AC51" s="7" t="s">
        <v>43</v>
      </c>
      <c r="AD51" s="7" t="s">
        <v>42</v>
      </c>
      <c r="AE51" s="7" t="s">
        <v>37</v>
      </c>
      <c r="AF51" s="7" t="s">
        <v>37</v>
      </c>
    </row>
    <row r="52" ht="30" customHeight="1" spans="1:32" s="7" customFormat="1" x14ac:dyDescent="0.25">
      <c r="A52" s="7" t="s">
        <v>266</v>
      </c>
      <c r="B52" s="7" t="s">
        <v>261</v>
      </c>
      <c r="C52" s="7" t="s">
        <v>262</v>
      </c>
      <c r="D52" s="7" t="s">
        <v>267</v>
      </c>
      <c r="E52" s="7" t="s">
        <v>267</v>
      </c>
      <c r="F52" s="7" t="s">
        <v>37</v>
      </c>
      <c r="G52" s="7" t="s">
        <v>268</v>
      </c>
      <c r="H52" s="7" t="s">
        <v>37</v>
      </c>
      <c r="I52" s="7" t="s">
        <v>37</v>
      </c>
      <c r="J52" s="7" t="str">
        <f>IF(OR(H52="",I52=""),"",H52*I52)</f>
        <v/>
      </c>
      <c r="K52" s="7" t="str">
        <f>IF(J52="","",IF(J52&gt;=12,"קריטי",IF(J52&gt;=8,"גבוה",IF(J52&gt;=4,"בינוני","נמוך"))))</f>
        <v/>
      </c>
      <c r="L52" s="7" t="s">
        <v>59</v>
      </c>
      <c r="M52" s="7" t="s">
        <v>269</v>
      </c>
      <c r="N52" s="7" t="s">
        <v>37</v>
      </c>
      <c r="O52" s="7" t="s">
        <v>37</v>
      </c>
      <c r="P52" s="7" t="str">
        <f>IF(OR(N52="",O52=""),"",N52*O52)</f>
        <v/>
      </c>
      <c r="Q52" s="7" t="str">
        <f>IF(P52="","",IF(P52&gt;=12,"קריטי",IF(P52&gt;=8,"גבוה",IF(P52&gt;=4,"בינוני","נמוך"))))</f>
        <v/>
      </c>
      <c r="R52" s="7" t="str">
        <f>IF(J52="","",IF(X52&gt;0,ROUND(J52-IF(T52="הושלם",1,Z52/100)*(J52-IF(P52="",J52,P52)),0),IF(T52="הושלם",IF(P52="",J52,P52),IF(T52="בתהליך",IF(P52="",J52,ROUND((J52+P52)/2,0)),J52))))</f>
        <v/>
      </c>
      <c r="S52" s="7" t="str">
        <f>IF(R52="","",IF(R52&gt;=12,"קריטי",IF(R52&gt;=8,"גבוה",IF(R52&gt;=4,"בינוני","נמוך"))))</f>
        <v/>
      </c>
      <c r="T52" s="7" t="s">
        <v>55</v>
      </c>
      <c r="U52" s="8" t="s">
        <v>37</v>
      </c>
      <c r="V52" s="7" t="s">
        <v>37</v>
      </c>
      <c r="W52" s="7" t="s">
        <v>42</v>
      </c>
      <c r="X52" s="7">
        <v>0</v>
      </c>
      <c r="Y52" s="7">
        <v>0</v>
      </c>
      <c r="Z52" s="9">
        <f>IF(X52=0,0,ROUND(Y52/X52*100,0))</f>
        <v>0</v>
      </c>
      <c r="AA52" s="7" t="s">
        <v>37</v>
      </c>
      <c r="AB52" s="7" t="s">
        <v>37</v>
      </c>
      <c r="AC52" s="7" t="s">
        <v>43</v>
      </c>
      <c r="AD52" s="7" t="s">
        <v>42</v>
      </c>
      <c r="AE52" s="7" t="s">
        <v>37</v>
      </c>
      <c r="AF52" s="7" t="s">
        <v>37</v>
      </c>
    </row>
    <row r="53" ht="30" customHeight="1" spans="1:32" s="7" customFormat="1" x14ac:dyDescent="0.25">
      <c r="A53" s="7" t="s">
        <v>270</v>
      </c>
      <c r="B53" s="7" t="s">
        <v>261</v>
      </c>
      <c r="C53" s="7" t="s">
        <v>262</v>
      </c>
      <c r="D53" s="7" t="s">
        <v>271</v>
      </c>
      <c r="E53" s="7" t="s">
        <v>271</v>
      </c>
      <c r="F53" s="7" t="s">
        <v>37</v>
      </c>
      <c r="G53" s="7" t="s">
        <v>272</v>
      </c>
      <c r="H53" s="7" t="s">
        <v>37</v>
      </c>
      <c r="I53" s="7" t="s">
        <v>37</v>
      </c>
      <c r="J53" s="7" t="str">
        <f>IF(OR(H53="",I53=""),"",H53*I53)</f>
        <v/>
      </c>
      <c r="K53" s="7" t="str">
        <f>IF(J53="","",IF(J53&gt;=12,"קריטי",IF(J53&gt;=8,"גבוה",IF(J53&gt;=4,"בינוני","נמוך"))))</f>
        <v/>
      </c>
      <c r="L53" s="7" t="s">
        <v>53</v>
      </c>
      <c r="M53" s="7" t="s">
        <v>273</v>
      </c>
      <c r="N53" s="7" t="s">
        <v>37</v>
      </c>
      <c r="O53" s="7" t="s">
        <v>37</v>
      </c>
      <c r="P53" s="7" t="str">
        <f>IF(OR(N53="",O53=""),"",N53*O53)</f>
        <v/>
      </c>
      <c r="Q53" s="7" t="str">
        <f>IF(P53="","",IF(P53&gt;=12,"קריטי",IF(P53&gt;=8,"גבוה",IF(P53&gt;=4,"בינוני","נמוך"))))</f>
        <v/>
      </c>
      <c r="R53" s="7" t="str">
        <f>IF(J53="","",IF(X53&gt;0,ROUND(J53-IF(T53="הושלם",1,Z53/100)*(J53-IF(P53="",J53,P53)),0),IF(T53="הושלם",IF(P53="",J53,P53),IF(T53="בתהליך",IF(P53="",J53,ROUND((J53+P53)/2,0)),J53))))</f>
        <v/>
      </c>
      <c r="S53" s="7" t="str">
        <f>IF(R53="","",IF(R53&gt;=12,"קריטי",IF(R53&gt;=8,"גבוה",IF(R53&gt;=4,"בינוני","נמוך"))))</f>
        <v/>
      </c>
      <c r="T53" s="7" t="s">
        <v>55</v>
      </c>
      <c r="U53" s="8" t="s">
        <v>37</v>
      </c>
      <c r="V53" s="7" t="s">
        <v>37</v>
      </c>
      <c r="W53" s="7" t="s">
        <v>42</v>
      </c>
      <c r="X53" s="7">
        <v>0</v>
      </c>
      <c r="Y53" s="7">
        <v>0</v>
      </c>
      <c r="Z53" s="9">
        <f>IF(X53=0,0,ROUND(Y53/X53*100,0))</f>
        <v>0</v>
      </c>
      <c r="AA53" s="7" t="s">
        <v>37</v>
      </c>
      <c r="AB53" s="7" t="s">
        <v>37</v>
      </c>
      <c r="AC53" s="7" t="s">
        <v>43</v>
      </c>
      <c r="AD53" s="7" t="s">
        <v>42</v>
      </c>
      <c r="AE53" s="7" t="s">
        <v>37</v>
      </c>
      <c r="AF53" s="7" t="s">
        <v>37</v>
      </c>
    </row>
    <row r="54" ht="30" customHeight="1" spans="1:32" s="7" customFormat="1" x14ac:dyDescent="0.25">
      <c r="A54" s="7" t="s">
        <v>274</v>
      </c>
      <c r="B54" s="7" t="s">
        <v>261</v>
      </c>
      <c r="C54" s="7" t="s">
        <v>262</v>
      </c>
      <c r="D54" s="7" t="s">
        <v>275</v>
      </c>
      <c r="E54" s="7" t="s">
        <v>275</v>
      </c>
      <c r="F54" s="7" t="s">
        <v>37</v>
      </c>
      <c r="G54" s="7" t="s">
        <v>276</v>
      </c>
      <c r="H54" s="7" t="s">
        <v>37</v>
      </c>
      <c r="I54" s="7" t="s">
        <v>37</v>
      </c>
      <c r="J54" s="7" t="str">
        <f>IF(OR(H54="",I54=""),"",H54*I54)</f>
        <v/>
      </c>
      <c r="K54" s="7" t="str">
        <f>IF(J54="","",IF(J54&gt;=12,"קריטי",IF(J54&gt;=8,"גבוה",IF(J54&gt;=4,"בינוני","נמוך"))))</f>
        <v/>
      </c>
      <c r="L54" s="7" t="s">
        <v>64</v>
      </c>
      <c r="M54" s="7" t="s">
        <v>277</v>
      </c>
      <c r="N54" s="7" t="s">
        <v>37</v>
      </c>
      <c r="O54" s="7" t="s">
        <v>37</v>
      </c>
      <c r="P54" s="7" t="str">
        <f>IF(OR(N54="",O54=""),"",N54*O54)</f>
        <v/>
      </c>
      <c r="Q54" s="7" t="str">
        <f>IF(P54="","",IF(P54&gt;=12,"קריטי",IF(P54&gt;=8,"גבוה",IF(P54&gt;=4,"בינוני","נמוך"))))</f>
        <v/>
      </c>
      <c r="R54" s="7" t="str">
        <f>IF(J54="","",IF(X54&gt;0,ROUND(J54-IF(T54="הושלם",1,Z54/100)*(J54-IF(P54="",J54,P54)),0),IF(T54="הושלם",IF(P54="",J54,P54),IF(T54="בתהליך",IF(P54="",J54,ROUND((J54+P54)/2,0)),J54))))</f>
        <v/>
      </c>
      <c r="S54" s="7" t="str">
        <f>IF(R54="","",IF(R54&gt;=12,"קריטי",IF(R54&gt;=8,"גבוה",IF(R54&gt;=4,"בינוני","נמוך"))))</f>
        <v/>
      </c>
      <c r="T54" s="7" t="s">
        <v>55</v>
      </c>
      <c r="U54" s="8" t="s">
        <v>37</v>
      </c>
      <c r="V54" s="7" t="s">
        <v>37</v>
      </c>
      <c r="W54" s="7" t="s">
        <v>42</v>
      </c>
      <c r="X54" s="7">
        <v>0</v>
      </c>
      <c r="Y54" s="7">
        <v>0</v>
      </c>
      <c r="Z54" s="9">
        <f>IF(X54=0,0,ROUND(Y54/X54*100,0))</f>
        <v>0</v>
      </c>
      <c r="AA54" s="7" t="s">
        <v>37</v>
      </c>
      <c r="AB54" s="7" t="s">
        <v>37</v>
      </c>
      <c r="AC54" s="7" t="s">
        <v>43</v>
      </c>
      <c r="AD54" s="7" t="s">
        <v>42</v>
      </c>
      <c r="AE54" s="7" t="s">
        <v>37</v>
      </c>
      <c r="AF54" s="7" t="s">
        <v>37</v>
      </c>
    </row>
    <row r="55" ht="30" customHeight="1" spans="1:32" s="7" customFormat="1" x14ac:dyDescent="0.25">
      <c r="A55" s="7" t="s">
        <v>278</v>
      </c>
      <c r="B55" s="7" t="s">
        <v>261</v>
      </c>
      <c r="C55" s="7" t="s">
        <v>262</v>
      </c>
      <c r="D55" s="7" t="s">
        <v>279</v>
      </c>
      <c r="E55" s="7" t="s">
        <v>279</v>
      </c>
      <c r="F55" s="7" t="s">
        <v>37</v>
      </c>
      <c r="G55" s="7" t="s">
        <v>280</v>
      </c>
      <c r="H55" s="7" t="s">
        <v>37</v>
      </c>
      <c r="I55" s="7" t="s">
        <v>37</v>
      </c>
      <c r="J55" s="7" t="str">
        <f>IF(OR(H55="",I55=""),"",H55*I55)</f>
        <v/>
      </c>
      <c r="K55" s="7" t="str">
        <f>IF(J55="","",IF(J55&gt;=12,"קריטי",IF(J55&gt;=8,"גבוה",IF(J55&gt;=4,"בינוני","נמוך"))))</f>
        <v/>
      </c>
      <c r="L55" s="7" t="s">
        <v>47</v>
      </c>
      <c r="M55" s="7" t="s">
        <v>281</v>
      </c>
      <c r="N55" s="7" t="s">
        <v>37</v>
      </c>
      <c r="O55" s="7" t="s">
        <v>37</v>
      </c>
      <c r="P55" s="7" t="str">
        <f>IF(OR(N55="",O55=""),"",N55*O55)</f>
        <v/>
      </c>
      <c r="Q55" s="7" t="str">
        <f>IF(P55="","",IF(P55&gt;=12,"קריטי",IF(P55&gt;=8,"גבוה",IF(P55&gt;=4,"בינוני","נמוך"))))</f>
        <v/>
      </c>
      <c r="R55" s="7" t="str">
        <f>IF(J55="","",IF(X55&gt;0,ROUND(J55-IF(T55="הושלם",1,Z55/100)*(J55-IF(P55="",J55,P55)),0),IF(T55="הושלם",IF(P55="",J55,P55),IF(T55="בתהליך",IF(P55="",J55,ROUND((J55+P55)/2,0)),J55))))</f>
        <v/>
      </c>
      <c r="S55" s="7" t="str">
        <f>IF(R55="","",IF(R55&gt;=12,"קריטי",IF(R55&gt;=8,"גבוה",IF(R55&gt;=4,"בינוני","נמוך"))))</f>
        <v/>
      </c>
      <c r="T55" s="7" t="s">
        <v>55</v>
      </c>
      <c r="U55" s="8" t="s">
        <v>37</v>
      </c>
      <c r="V55" s="7" t="s">
        <v>37</v>
      </c>
      <c r="W55" s="7" t="s">
        <v>42</v>
      </c>
      <c r="X55" s="7">
        <v>0</v>
      </c>
      <c r="Y55" s="7">
        <v>0</v>
      </c>
      <c r="Z55" s="9">
        <f>IF(X55=0,0,ROUND(Y55/X55*100,0))</f>
        <v>0</v>
      </c>
      <c r="AA55" s="7" t="s">
        <v>37</v>
      </c>
      <c r="AB55" s="7" t="s">
        <v>37</v>
      </c>
      <c r="AC55" s="7" t="s">
        <v>43</v>
      </c>
      <c r="AD55" s="7" t="s">
        <v>42</v>
      </c>
      <c r="AE55" s="7" t="s">
        <v>37</v>
      </c>
      <c r="AF55" s="7" t="s">
        <v>37</v>
      </c>
    </row>
    <row r="56" ht="30" customHeight="1" spans="1:32" s="7" customFormat="1" x14ac:dyDescent="0.25">
      <c r="A56" s="7" t="s">
        <v>282</v>
      </c>
      <c r="B56" s="7" t="s">
        <v>261</v>
      </c>
      <c r="C56" s="7" t="s">
        <v>262</v>
      </c>
      <c r="D56" s="7" t="s">
        <v>283</v>
      </c>
      <c r="E56" s="7" t="s">
        <v>283</v>
      </c>
      <c r="F56" s="7" t="s">
        <v>37</v>
      </c>
      <c r="G56" s="7" t="s">
        <v>284</v>
      </c>
      <c r="H56" s="7" t="s">
        <v>37</v>
      </c>
      <c r="I56" s="7" t="s">
        <v>37</v>
      </c>
      <c r="J56" s="7" t="str">
        <f>IF(OR(H56="",I56=""),"",H56*I56)</f>
        <v/>
      </c>
      <c r="K56" s="7" t="str">
        <f>IF(J56="","",IF(J56&gt;=12,"קריטי",IF(J56&gt;=8,"גבוה",IF(J56&gt;=4,"בינוני","נמוך"))))</f>
        <v/>
      </c>
      <c r="L56" s="7" t="s">
        <v>47</v>
      </c>
      <c r="M56" s="7" t="s">
        <v>285</v>
      </c>
      <c r="N56" s="7" t="s">
        <v>37</v>
      </c>
      <c r="O56" s="7" t="s">
        <v>37</v>
      </c>
      <c r="P56" s="7" t="str">
        <f>IF(OR(N56="",O56=""),"",N56*O56)</f>
        <v/>
      </c>
      <c r="Q56" s="7" t="str">
        <f>IF(P56="","",IF(P56&gt;=12,"קריטי",IF(P56&gt;=8,"גבוה",IF(P56&gt;=4,"בינוני","נמוך"))))</f>
        <v/>
      </c>
      <c r="R56" s="7" t="str">
        <f>IF(J56="","",IF(X56&gt;0,ROUND(J56-IF(T56="הושלם",1,Z56/100)*(J56-IF(P56="",J56,P56)),0),IF(T56="הושלם",IF(P56="",J56,P56),IF(T56="בתהליך",IF(P56="",J56,ROUND((J56+P56)/2,0)),J56))))</f>
        <v/>
      </c>
      <c r="S56" s="7" t="str">
        <f>IF(R56="","",IF(R56&gt;=12,"קריטי",IF(R56&gt;=8,"גבוה",IF(R56&gt;=4,"בינוני","נמוך"))))</f>
        <v/>
      </c>
      <c r="T56" s="7" t="s">
        <v>55</v>
      </c>
      <c r="U56" s="8" t="s">
        <v>37</v>
      </c>
      <c r="V56" s="7" t="s">
        <v>37</v>
      </c>
      <c r="W56" s="7" t="s">
        <v>42</v>
      </c>
      <c r="X56" s="7">
        <v>0</v>
      </c>
      <c r="Y56" s="7">
        <v>0</v>
      </c>
      <c r="Z56" s="9">
        <f>IF(X56=0,0,ROUND(Y56/X56*100,0))</f>
        <v>0</v>
      </c>
      <c r="AA56" s="7" t="s">
        <v>37</v>
      </c>
      <c r="AB56" s="7" t="s">
        <v>37</v>
      </c>
      <c r="AC56" s="7" t="s">
        <v>43</v>
      </c>
      <c r="AD56" s="7" t="s">
        <v>42</v>
      </c>
      <c r="AE56" s="7" t="s">
        <v>37</v>
      </c>
      <c r="AF56" s="7" t="s">
        <v>37</v>
      </c>
    </row>
    <row r="57" ht="30" customHeight="1" spans="1:32" s="7" customFormat="1" x14ac:dyDescent="0.25">
      <c r="A57" s="7" t="s">
        <v>286</v>
      </c>
      <c r="B57" s="7" t="s">
        <v>261</v>
      </c>
      <c r="C57" s="7" t="s">
        <v>262</v>
      </c>
      <c r="D57" s="7" t="s">
        <v>287</v>
      </c>
      <c r="E57" s="7" t="s">
        <v>287</v>
      </c>
      <c r="F57" s="7" t="s">
        <v>37</v>
      </c>
      <c r="G57" s="7" t="s">
        <v>288</v>
      </c>
      <c r="H57" s="7" t="s">
        <v>37</v>
      </c>
      <c r="I57" s="7" t="s">
        <v>37</v>
      </c>
      <c r="J57" s="7" t="str">
        <f>IF(OR(H57="",I57=""),"",H57*I57)</f>
        <v/>
      </c>
      <c r="K57" s="7" t="str">
        <f>IF(J57="","",IF(J57&gt;=12,"קריטי",IF(J57&gt;=8,"גבוה",IF(J57&gt;=4,"בינוני","נמוך"))))</f>
        <v/>
      </c>
      <c r="L57" s="7" t="s">
        <v>101</v>
      </c>
      <c r="M57" s="7" t="s">
        <v>289</v>
      </c>
      <c r="N57" s="7" t="s">
        <v>37</v>
      </c>
      <c r="O57" s="7" t="s">
        <v>37</v>
      </c>
      <c r="P57" s="7" t="str">
        <f>IF(OR(N57="",O57=""),"",N57*O57)</f>
        <v/>
      </c>
      <c r="Q57" s="7" t="str">
        <f>IF(P57="","",IF(P57&gt;=12,"קריטי",IF(P57&gt;=8,"גבוה",IF(P57&gt;=4,"בינוני","נמוך"))))</f>
        <v/>
      </c>
      <c r="R57" s="7" t="str">
        <f>IF(J57="","",IF(X57&gt;0,ROUND(J57-IF(T57="הושלם",1,Z57/100)*(J57-IF(P57="",J57,P57)),0),IF(T57="הושלם",IF(P57="",J57,P57),IF(T57="בתהליך",IF(P57="",J57,ROUND((J57+P57)/2,0)),J57))))</f>
        <v/>
      </c>
      <c r="S57" s="7" t="str">
        <f>IF(R57="","",IF(R57&gt;=12,"קריטי",IF(R57&gt;=8,"גבוה",IF(R57&gt;=4,"בינוני","נמוך"))))</f>
        <v/>
      </c>
      <c r="T57" s="7" t="s">
        <v>55</v>
      </c>
      <c r="U57" s="8" t="s">
        <v>37</v>
      </c>
      <c r="V57" s="7" t="s">
        <v>37</v>
      </c>
      <c r="W57" s="7" t="s">
        <v>42</v>
      </c>
      <c r="X57" s="7">
        <v>0</v>
      </c>
      <c r="Y57" s="7">
        <v>0</v>
      </c>
      <c r="Z57" s="9">
        <f>IF(X57=0,0,ROUND(Y57/X57*100,0))</f>
        <v>0</v>
      </c>
      <c r="AA57" s="7" t="s">
        <v>37</v>
      </c>
      <c r="AB57" s="7" t="s">
        <v>37</v>
      </c>
      <c r="AC57" s="7" t="s">
        <v>43</v>
      </c>
      <c r="AD57" s="7" t="s">
        <v>42</v>
      </c>
      <c r="AE57" s="7" t="s">
        <v>37</v>
      </c>
      <c r="AF57" s="7" t="s">
        <v>37</v>
      </c>
    </row>
    <row r="58" ht="30" customHeight="1" spans="1:32" s="7" customFormat="1" x14ac:dyDescent="0.25">
      <c r="A58" s="7" t="s">
        <v>290</v>
      </c>
      <c r="B58" s="7" t="s">
        <v>291</v>
      </c>
      <c r="C58" s="7" t="s">
        <v>292</v>
      </c>
      <c r="D58" s="7" t="s">
        <v>293</v>
      </c>
      <c r="E58" s="7" t="s">
        <v>293</v>
      </c>
      <c r="F58" s="7" t="s">
        <v>37</v>
      </c>
      <c r="G58" s="7" t="s">
        <v>294</v>
      </c>
      <c r="H58" s="7" t="s">
        <v>37</v>
      </c>
      <c r="I58" s="7" t="s">
        <v>37</v>
      </c>
      <c r="J58" s="7" t="str">
        <f>IF(OR(H58="",I58=""),"",H58*I58)</f>
        <v/>
      </c>
      <c r="K58" s="7" t="str">
        <f>IF(J58="","",IF(J58&gt;=12,"קריטי",IF(J58&gt;=8,"גבוה",IF(J58&gt;=4,"בינוני","נמוך"))))</f>
        <v/>
      </c>
      <c r="L58" s="7" t="s">
        <v>53</v>
      </c>
      <c r="M58" s="7" t="s">
        <v>295</v>
      </c>
      <c r="N58" s="7" t="s">
        <v>37</v>
      </c>
      <c r="O58" s="7" t="s">
        <v>37</v>
      </c>
      <c r="P58" s="7" t="str">
        <f>IF(OR(N58="",O58=""),"",N58*O58)</f>
        <v/>
      </c>
      <c r="Q58" s="7" t="str">
        <f>IF(P58="","",IF(P58&gt;=12,"קריטי",IF(P58&gt;=8,"גבוה",IF(P58&gt;=4,"בינוני","נמוך"))))</f>
        <v/>
      </c>
      <c r="R58" s="7" t="str">
        <f>IF(J58="","",IF(X58&gt;0,ROUND(J58-IF(T58="הושלם",1,Z58/100)*(J58-IF(P58="",J58,P58)),0),IF(T58="הושלם",IF(P58="",J58,P58),IF(T58="בתהליך",IF(P58="",J58,ROUND((J58+P58)/2,0)),J58))))</f>
        <v/>
      </c>
      <c r="S58" s="7" t="str">
        <f>IF(R58="","",IF(R58&gt;=12,"קריטי",IF(R58&gt;=8,"גבוה",IF(R58&gt;=4,"בינוני","נמוך"))))</f>
        <v/>
      </c>
      <c r="T58" s="7" t="s">
        <v>55</v>
      </c>
      <c r="U58" s="8" t="s">
        <v>37</v>
      </c>
      <c r="V58" s="7" t="s">
        <v>37</v>
      </c>
      <c r="W58" s="7" t="s">
        <v>42</v>
      </c>
      <c r="X58" s="7">
        <v>0</v>
      </c>
      <c r="Y58" s="7">
        <v>0</v>
      </c>
      <c r="Z58" s="9">
        <f>IF(X58=0,0,ROUND(Y58/X58*100,0))</f>
        <v>0</v>
      </c>
      <c r="AA58" s="7" t="s">
        <v>37</v>
      </c>
      <c r="AB58" s="7" t="s">
        <v>37</v>
      </c>
      <c r="AC58" s="7" t="s">
        <v>43</v>
      </c>
      <c r="AD58" s="7" t="s">
        <v>42</v>
      </c>
      <c r="AE58" s="7" t="s">
        <v>37</v>
      </c>
      <c r="AF58" s="7" t="s">
        <v>37</v>
      </c>
    </row>
    <row r="59" ht="30" customHeight="1" spans="1:32" s="7" customFormat="1" x14ac:dyDescent="0.25">
      <c r="A59" s="7" t="s">
        <v>296</v>
      </c>
      <c r="B59" s="7" t="s">
        <v>291</v>
      </c>
      <c r="C59" s="7" t="s">
        <v>292</v>
      </c>
      <c r="D59" s="7" t="s">
        <v>297</v>
      </c>
      <c r="E59" s="7" t="s">
        <v>297</v>
      </c>
      <c r="F59" s="7" t="s">
        <v>37</v>
      </c>
      <c r="G59" s="7" t="s">
        <v>298</v>
      </c>
      <c r="H59" s="7" t="s">
        <v>37</v>
      </c>
      <c r="I59" s="7" t="s">
        <v>37</v>
      </c>
      <c r="J59" s="7" t="str">
        <f>IF(OR(H59="",I59=""),"",H59*I59)</f>
        <v/>
      </c>
      <c r="K59" s="7" t="str">
        <f>IF(J59="","",IF(J59&gt;=12,"קריטי",IF(J59&gt;=8,"גבוה",IF(J59&gt;=4,"בינוני","נמוך"))))</f>
        <v/>
      </c>
      <c r="L59" s="7" t="s">
        <v>39</v>
      </c>
      <c r="M59" s="7" t="s">
        <v>299</v>
      </c>
      <c r="N59" s="7" t="s">
        <v>37</v>
      </c>
      <c r="O59" s="7" t="s">
        <v>37</v>
      </c>
      <c r="P59" s="7" t="str">
        <f>IF(OR(N59="",O59=""),"",N59*O59)</f>
        <v/>
      </c>
      <c r="Q59" s="7" t="str">
        <f>IF(P59="","",IF(P59&gt;=12,"קריטי",IF(P59&gt;=8,"גבוה",IF(P59&gt;=4,"בינוני","נמוך"))))</f>
        <v/>
      </c>
      <c r="R59" s="7" t="str">
        <f>IF(J59="","",IF(X59&gt;0,ROUND(J59-IF(T59="הושלם",1,Z59/100)*(J59-IF(P59="",J59,P59)),0),IF(T59="הושלם",IF(P59="",J59,P59),IF(T59="בתהליך",IF(P59="",J59,ROUND((J59+P59)/2,0)),J59))))</f>
        <v/>
      </c>
      <c r="S59" s="7" t="str">
        <f>IF(R59="","",IF(R59&gt;=12,"קריטי",IF(R59&gt;=8,"גבוה",IF(R59&gt;=4,"בינוני","נמוך"))))</f>
        <v/>
      </c>
      <c r="T59" s="7" t="s">
        <v>55</v>
      </c>
      <c r="U59" s="8" t="s">
        <v>37</v>
      </c>
      <c r="V59" s="7" t="s">
        <v>37</v>
      </c>
      <c r="W59" s="7" t="s">
        <v>42</v>
      </c>
      <c r="X59" s="7">
        <v>0</v>
      </c>
      <c r="Y59" s="7">
        <v>0</v>
      </c>
      <c r="Z59" s="9">
        <f>IF(X59=0,0,ROUND(Y59/X59*100,0))</f>
        <v>0</v>
      </c>
      <c r="AA59" s="7" t="s">
        <v>37</v>
      </c>
      <c r="AB59" s="7" t="s">
        <v>37</v>
      </c>
      <c r="AC59" s="7" t="s">
        <v>43</v>
      </c>
      <c r="AD59" s="7" t="s">
        <v>42</v>
      </c>
      <c r="AE59" s="7" t="s">
        <v>37</v>
      </c>
      <c r="AF59" s="7" t="s">
        <v>37</v>
      </c>
    </row>
    <row r="60" ht="30" customHeight="1" spans="1:32" s="7" customFormat="1" x14ac:dyDescent="0.25">
      <c r="A60" s="7" t="s">
        <v>300</v>
      </c>
      <c r="B60" s="7" t="s">
        <v>291</v>
      </c>
      <c r="C60" s="7" t="s">
        <v>292</v>
      </c>
      <c r="D60" s="7" t="s">
        <v>301</v>
      </c>
      <c r="E60" s="7" t="s">
        <v>301</v>
      </c>
      <c r="F60" s="7" t="s">
        <v>37</v>
      </c>
      <c r="G60" s="7" t="s">
        <v>302</v>
      </c>
      <c r="H60" s="7" t="s">
        <v>37</v>
      </c>
      <c r="I60" s="7" t="s">
        <v>37</v>
      </c>
      <c r="J60" s="7" t="str">
        <f>IF(OR(H60="",I60=""),"",H60*I60)</f>
        <v/>
      </c>
      <c r="K60" s="7" t="str">
        <f>IF(J60="","",IF(J60&gt;=12,"קריטי",IF(J60&gt;=8,"גבוה",IF(J60&gt;=4,"בינוני","נמוך"))))</f>
        <v/>
      </c>
      <c r="L60" s="7" t="s">
        <v>53</v>
      </c>
      <c r="M60" s="7" t="s">
        <v>303</v>
      </c>
      <c r="N60" s="7" t="s">
        <v>37</v>
      </c>
      <c r="O60" s="7" t="s">
        <v>37</v>
      </c>
      <c r="P60" s="7" t="str">
        <f>IF(OR(N60="",O60=""),"",N60*O60)</f>
        <v/>
      </c>
      <c r="Q60" s="7" t="str">
        <f>IF(P60="","",IF(P60&gt;=12,"קריטי",IF(P60&gt;=8,"גבוה",IF(P60&gt;=4,"בינוני","נמוך"))))</f>
        <v/>
      </c>
      <c r="R60" s="7" t="str">
        <f>IF(J60="","",IF(X60&gt;0,ROUND(J60-IF(T60="הושלם",1,Z60/100)*(J60-IF(P60="",J60,P60)),0),IF(T60="הושלם",IF(P60="",J60,P60),IF(T60="בתהליך",IF(P60="",J60,ROUND((J60+P60)/2,0)),J60))))</f>
        <v/>
      </c>
      <c r="S60" s="7" t="str">
        <f>IF(R60="","",IF(R60&gt;=12,"קריטי",IF(R60&gt;=8,"גבוה",IF(R60&gt;=4,"בינוני","נמוך"))))</f>
        <v/>
      </c>
      <c r="T60" s="7" t="s">
        <v>55</v>
      </c>
      <c r="U60" s="8" t="s">
        <v>37</v>
      </c>
      <c r="V60" s="7" t="s">
        <v>37</v>
      </c>
      <c r="W60" s="7" t="s">
        <v>42</v>
      </c>
      <c r="X60" s="7">
        <v>0</v>
      </c>
      <c r="Y60" s="7">
        <v>0</v>
      </c>
      <c r="Z60" s="9">
        <f>IF(X60=0,0,ROUND(Y60/X60*100,0))</f>
        <v>0</v>
      </c>
      <c r="AA60" s="7" t="s">
        <v>37</v>
      </c>
      <c r="AB60" s="7" t="s">
        <v>37</v>
      </c>
      <c r="AC60" s="7" t="s">
        <v>43</v>
      </c>
      <c r="AD60" s="7" t="s">
        <v>42</v>
      </c>
      <c r="AE60" s="7" t="s">
        <v>37</v>
      </c>
      <c r="AF60" s="7" t="s">
        <v>37</v>
      </c>
    </row>
    <row r="61" ht="30" customHeight="1" spans="1:32" s="7" customFormat="1" x14ac:dyDescent="0.25">
      <c r="A61" s="7" t="s">
        <v>304</v>
      </c>
      <c r="B61" s="7" t="s">
        <v>291</v>
      </c>
      <c r="C61" s="7" t="s">
        <v>292</v>
      </c>
      <c r="D61" s="7" t="s">
        <v>305</v>
      </c>
      <c r="E61" s="7" t="s">
        <v>305</v>
      </c>
      <c r="F61" s="7" t="s">
        <v>37</v>
      </c>
      <c r="G61" s="7" t="s">
        <v>306</v>
      </c>
      <c r="H61" s="7" t="s">
        <v>37</v>
      </c>
      <c r="I61" s="7" t="s">
        <v>37</v>
      </c>
      <c r="J61" s="7" t="str">
        <f>IF(OR(H61="",I61=""),"",H61*I61)</f>
        <v/>
      </c>
      <c r="K61" s="7" t="str">
        <f>IF(J61="","",IF(J61&gt;=12,"קריטי",IF(J61&gt;=8,"גבוה",IF(J61&gt;=4,"בינוני","נמוך"))))</f>
        <v/>
      </c>
      <c r="L61" s="7" t="s">
        <v>59</v>
      </c>
      <c r="M61" s="7" t="s">
        <v>307</v>
      </c>
      <c r="N61" s="7" t="s">
        <v>37</v>
      </c>
      <c r="O61" s="7" t="s">
        <v>37</v>
      </c>
      <c r="P61" s="7" t="str">
        <f>IF(OR(N61="",O61=""),"",N61*O61)</f>
        <v/>
      </c>
      <c r="Q61" s="7" t="str">
        <f>IF(P61="","",IF(P61&gt;=12,"קריטי",IF(P61&gt;=8,"גבוה",IF(P61&gt;=4,"בינוני","נמוך"))))</f>
        <v/>
      </c>
      <c r="R61" s="7" t="str">
        <f>IF(J61="","",IF(X61&gt;0,ROUND(J61-IF(T61="הושלם",1,Z61/100)*(J61-IF(P61="",J61,P61)),0),IF(T61="הושלם",IF(P61="",J61,P61),IF(T61="בתהליך",IF(P61="",J61,ROUND((J61+P61)/2,0)),J61))))</f>
        <v/>
      </c>
      <c r="S61" s="7" t="str">
        <f>IF(R61="","",IF(R61&gt;=12,"קריטי",IF(R61&gt;=8,"גבוה",IF(R61&gt;=4,"בינוני","נמוך"))))</f>
        <v/>
      </c>
      <c r="T61" s="7" t="s">
        <v>55</v>
      </c>
      <c r="U61" s="8" t="s">
        <v>37</v>
      </c>
      <c r="V61" s="7" t="s">
        <v>37</v>
      </c>
      <c r="W61" s="7" t="s">
        <v>42</v>
      </c>
      <c r="X61" s="7">
        <v>0</v>
      </c>
      <c r="Y61" s="7">
        <v>0</v>
      </c>
      <c r="Z61" s="9">
        <f>IF(X61=0,0,ROUND(Y61/X61*100,0))</f>
        <v>0</v>
      </c>
      <c r="AA61" s="7" t="s">
        <v>37</v>
      </c>
      <c r="AB61" s="7" t="s">
        <v>37</v>
      </c>
      <c r="AC61" s="7" t="s">
        <v>43</v>
      </c>
      <c r="AD61" s="7" t="s">
        <v>42</v>
      </c>
      <c r="AE61" s="7" t="s">
        <v>37</v>
      </c>
      <c r="AF61" s="7" t="s">
        <v>37</v>
      </c>
    </row>
    <row r="62" ht="30" customHeight="1" spans="1:32" s="7" customFormat="1" x14ac:dyDescent="0.25">
      <c r="A62" s="7" t="s">
        <v>308</v>
      </c>
      <c r="B62" s="7" t="s">
        <v>291</v>
      </c>
      <c r="C62" s="7" t="s">
        <v>292</v>
      </c>
      <c r="D62" s="7" t="s">
        <v>309</v>
      </c>
      <c r="E62" s="7" t="s">
        <v>309</v>
      </c>
      <c r="F62" s="7" t="s">
        <v>37</v>
      </c>
      <c r="G62" s="7" t="s">
        <v>310</v>
      </c>
      <c r="H62" s="7" t="s">
        <v>37</v>
      </c>
      <c r="I62" s="7" t="s">
        <v>37</v>
      </c>
      <c r="J62" s="7" t="str">
        <f>IF(OR(H62="",I62=""),"",H62*I62)</f>
        <v/>
      </c>
      <c r="K62" s="7" t="str">
        <f>IF(J62="","",IF(J62&gt;=12,"קריטי",IF(J62&gt;=8,"גבוה",IF(J62&gt;=4,"בינוני","נמוך"))))</f>
        <v/>
      </c>
      <c r="L62" s="7" t="s">
        <v>101</v>
      </c>
      <c r="M62" s="7" t="s">
        <v>311</v>
      </c>
      <c r="N62" s="7" t="s">
        <v>37</v>
      </c>
      <c r="O62" s="7" t="s">
        <v>37</v>
      </c>
      <c r="P62" s="7" t="str">
        <f>IF(OR(N62="",O62=""),"",N62*O62)</f>
        <v/>
      </c>
      <c r="Q62" s="7" t="str">
        <f>IF(P62="","",IF(P62&gt;=12,"קריטי",IF(P62&gt;=8,"גבוה",IF(P62&gt;=4,"בינוני","נמוך"))))</f>
        <v/>
      </c>
      <c r="R62" s="7" t="str">
        <f>IF(J62="","",IF(X62&gt;0,ROUND(J62-IF(T62="הושלם",1,Z62/100)*(J62-IF(P62="",J62,P62)),0),IF(T62="הושלם",IF(P62="",J62,P62),IF(T62="בתהליך",IF(P62="",J62,ROUND((J62+P62)/2,0)),J62))))</f>
        <v/>
      </c>
      <c r="S62" s="7" t="str">
        <f>IF(R62="","",IF(R62&gt;=12,"קריטי",IF(R62&gt;=8,"גבוה",IF(R62&gt;=4,"בינוני","נמוך"))))</f>
        <v/>
      </c>
      <c r="T62" s="7" t="s">
        <v>55</v>
      </c>
      <c r="U62" s="8" t="s">
        <v>37</v>
      </c>
      <c r="V62" s="7" t="s">
        <v>37</v>
      </c>
      <c r="W62" s="7" t="s">
        <v>42</v>
      </c>
      <c r="X62" s="7">
        <v>0</v>
      </c>
      <c r="Y62" s="7">
        <v>0</v>
      </c>
      <c r="Z62" s="9">
        <f>IF(X62=0,0,ROUND(Y62/X62*100,0))</f>
        <v>0</v>
      </c>
      <c r="AA62" s="7" t="s">
        <v>37</v>
      </c>
      <c r="AB62" s="7" t="s">
        <v>37</v>
      </c>
      <c r="AC62" s="7" t="s">
        <v>43</v>
      </c>
      <c r="AD62" s="7" t="s">
        <v>42</v>
      </c>
      <c r="AE62" s="7" t="s">
        <v>37</v>
      </c>
      <c r="AF62" s="7" t="s">
        <v>37</v>
      </c>
    </row>
    <row r="63" ht="30" customHeight="1" spans="1:32" s="7" customFormat="1" x14ac:dyDescent="0.25">
      <c r="A63" s="7" t="s">
        <v>312</v>
      </c>
      <c r="B63" s="7" t="s">
        <v>291</v>
      </c>
      <c r="C63" s="7" t="s">
        <v>292</v>
      </c>
      <c r="D63" s="7" t="s">
        <v>313</v>
      </c>
      <c r="E63" s="7" t="s">
        <v>313</v>
      </c>
      <c r="F63" s="7" t="s">
        <v>37</v>
      </c>
      <c r="G63" s="7" t="s">
        <v>314</v>
      </c>
      <c r="H63" s="7" t="s">
        <v>37</v>
      </c>
      <c r="I63" s="7" t="s">
        <v>37</v>
      </c>
      <c r="J63" s="7" t="str">
        <f>IF(OR(H63="",I63=""),"",H63*I63)</f>
        <v/>
      </c>
      <c r="K63" s="7" t="str">
        <f>IF(J63="","",IF(J63&gt;=12,"קריטי",IF(J63&gt;=8,"גבוה",IF(J63&gt;=4,"בינוני","נמוך"))))</f>
        <v/>
      </c>
      <c r="L63" s="7" t="s">
        <v>77</v>
      </c>
      <c r="M63" s="7" t="s">
        <v>315</v>
      </c>
      <c r="N63" s="7" t="s">
        <v>37</v>
      </c>
      <c r="O63" s="7" t="s">
        <v>37</v>
      </c>
      <c r="P63" s="7" t="str">
        <f>IF(OR(N63="",O63=""),"",N63*O63)</f>
        <v/>
      </c>
      <c r="Q63" s="7" t="str">
        <f>IF(P63="","",IF(P63&gt;=12,"קריטי",IF(P63&gt;=8,"גבוה",IF(P63&gt;=4,"בינוני","נמוך"))))</f>
        <v/>
      </c>
      <c r="R63" s="7" t="str">
        <f>IF(J63="","",IF(X63&gt;0,ROUND(J63-IF(T63="הושלם",1,Z63/100)*(J63-IF(P63="",J63,P63)),0),IF(T63="הושלם",IF(P63="",J63,P63),IF(T63="בתהליך",IF(P63="",J63,ROUND((J63+P63)/2,0)),J63))))</f>
        <v/>
      </c>
      <c r="S63" s="7" t="str">
        <f>IF(R63="","",IF(R63&gt;=12,"קריטי",IF(R63&gt;=8,"גבוה",IF(R63&gt;=4,"בינוני","נמוך"))))</f>
        <v/>
      </c>
      <c r="T63" s="7" t="s">
        <v>55</v>
      </c>
      <c r="U63" s="8" t="s">
        <v>37</v>
      </c>
      <c r="V63" s="7" t="s">
        <v>37</v>
      </c>
      <c r="W63" s="7" t="s">
        <v>42</v>
      </c>
      <c r="X63" s="7">
        <v>0</v>
      </c>
      <c r="Y63" s="7">
        <v>0</v>
      </c>
      <c r="Z63" s="9">
        <f>IF(X63=0,0,ROUND(Y63/X63*100,0))</f>
        <v>0</v>
      </c>
      <c r="AA63" s="7" t="s">
        <v>37</v>
      </c>
      <c r="AB63" s="7" t="s">
        <v>37</v>
      </c>
      <c r="AC63" s="7" t="s">
        <v>43</v>
      </c>
      <c r="AD63" s="7" t="s">
        <v>42</v>
      </c>
      <c r="AE63" s="7" t="s">
        <v>37</v>
      </c>
      <c r="AF63" s="7" t="s">
        <v>37</v>
      </c>
    </row>
    <row r="64" ht="30" customHeight="1" spans="1:32" s="7" customFormat="1" x14ac:dyDescent="0.25">
      <c r="A64" s="7" t="s">
        <v>316</v>
      </c>
      <c r="B64" s="7" t="s">
        <v>317</v>
      </c>
      <c r="C64" s="7" t="s">
        <v>318</v>
      </c>
      <c r="D64" s="7" t="s">
        <v>319</v>
      </c>
      <c r="E64" s="7" t="s">
        <v>319</v>
      </c>
      <c r="F64" s="7" t="s">
        <v>37</v>
      </c>
      <c r="G64" s="7" t="s">
        <v>320</v>
      </c>
      <c r="H64" s="7" t="s">
        <v>37</v>
      </c>
      <c r="I64" s="7" t="s">
        <v>37</v>
      </c>
      <c r="J64" s="7" t="str">
        <f>IF(OR(H64="",I64=""),"",H64*I64)</f>
        <v/>
      </c>
      <c r="K64" s="7" t="str">
        <f>IF(J64="","",IF(J64&gt;=12,"קריטי",IF(J64&gt;=8,"גבוה",IF(J64&gt;=4,"בינוני","נמוך"))))</f>
        <v/>
      </c>
      <c r="L64" s="7" t="s">
        <v>101</v>
      </c>
      <c r="M64" s="7" t="s">
        <v>321</v>
      </c>
      <c r="N64" s="7" t="s">
        <v>37</v>
      </c>
      <c r="O64" s="7" t="s">
        <v>37</v>
      </c>
      <c r="P64" s="7" t="str">
        <f>IF(OR(N64="",O64=""),"",N64*O64)</f>
        <v/>
      </c>
      <c r="Q64" s="7" t="str">
        <f>IF(P64="","",IF(P64&gt;=12,"קריטי",IF(P64&gt;=8,"גבוה",IF(P64&gt;=4,"בינוני","נמוך"))))</f>
        <v/>
      </c>
      <c r="R64" s="7" t="str">
        <f>IF(J64="","",IF(X64&gt;0,ROUND(J64-IF(T64="הושלם",1,Z64/100)*(J64-IF(P64="",J64,P64)),0),IF(T64="הושלם",IF(P64="",J64,P64),IF(T64="בתהליך",IF(P64="",J64,ROUND((J64+P64)/2,0)),J64))))</f>
        <v/>
      </c>
      <c r="S64" s="7" t="str">
        <f>IF(R64="","",IF(R64&gt;=12,"קריטי",IF(R64&gt;=8,"גבוה",IF(R64&gt;=4,"בינוני","נמוך"))))</f>
        <v/>
      </c>
      <c r="T64" s="7" t="s">
        <v>55</v>
      </c>
      <c r="U64" s="8" t="s">
        <v>37</v>
      </c>
      <c r="V64" s="7" t="s">
        <v>37</v>
      </c>
      <c r="W64" s="7" t="s">
        <v>42</v>
      </c>
      <c r="X64" s="7">
        <v>0</v>
      </c>
      <c r="Y64" s="7">
        <v>0</v>
      </c>
      <c r="Z64" s="9">
        <f>IF(X64=0,0,ROUND(Y64/X64*100,0))</f>
        <v>0</v>
      </c>
      <c r="AA64" s="7" t="s">
        <v>37</v>
      </c>
      <c r="AB64" s="7" t="s">
        <v>37</v>
      </c>
      <c r="AC64" s="7" t="s">
        <v>43</v>
      </c>
      <c r="AD64" s="7" t="s">
        <v>42</v>
      </c>
      <c r="AE64" s="7" t="s">
        <v>37</v>
      </c>
      <c r="AF64" s="7" t="s">
        <v>37</v>
      </c>
    </row>
    <row r="65" ht="30" customHeight="1" spans="1:32" s="7" customFormat="1" x14ac:dyDescent="0.25">
      <c r="A65" s="7" t="s">
        <v>322</v>
      </c>
      <c r="B65" s="7" t="s">
        <v>317</v>
      </c>
      <c r="C65" s="7" t="s">
        <v>318</v>
      </c>
      <c r="D65" s="7" t="s">
        <v>323</v>
      </c>
      <c r="E65" s="7" t="s">
        <v>323</v>
      </c>
      <c r="F65" s="7" t="s">
        <v>37</v>
      </c>
      <c r="G65" s="7" t="s">
        <v>324</v>
      </c>
      <c r="H65" s="7" t="s">
        <v>37</v>
      </c>
      <c r="I65" s="7" t="s">
        <v>37</v>
      </c>
      <c r="J65" s="7" t="str">
        <f>IF(OR(H65="",I65=""),"",H65*I65)</f>
        <v/>
      </c>
      <c r="K65" s="7" t="str">
        <f>IF(J65="","",IF(J65&gt;=12,"קריטי",IF(J65&gt;=8,"גבוה",IF(J65&gt;=4,"בינוני","נמוך"))))</f>
        <v/>
      </c>
      <c r="L65" s="7" t="s">
        <v>96</v>
      </c>
      <c r="M65" s="7" t="s">
        <v>325</v>
      </c>
      <c r="N65" s="7" t="s">
        <v>37</v>
      </c>
      <c r="O65" s="7" t="s">
        <v>37</v>
      </c>
      <c r="P65" s="7" t="str">
        <f>IF(OR(N65="",O65=""),"",N65*O65)</f>
        <v/>
      </c>
      <c r="Q65" s="7" t="str">
        <f>IF(P65="","",IF(P65&gt;=12,"קריטי",IF(P65&gt;=8,"גבוה",IF(P65&gt;=4,"בינוני","נמוך"))))</f>
        <v/>
      </c>
      <c r="R65" s="7" t="str">
        <f>IF(J65="","",IF(X65&gt;0,ROUND(J65-IF(T65="הושלם",1,Z65/100)*(J65-IF(P65="",J65,P65)),0),IF(T65="הושלם",IF(P65="",J65,P65),IF(T65="בתהליך",IF(P65="",J65,ROUND((J65+P65)/2,0)),J65))))</f>
        <v/>
      </c>
      <c r="S65" s="7" t="str">
        <f>IF(R65="","",IF(R65&gt;=12,"קריטי",IF(R65&gt;=8,"גבוה",IF(R65&gt;=4,"בינוני","נמוך"))))</f>
        <v/>
      </c>
      <c r="T65" s="7" t="s">
        <v>55</v>
      </c>
      <c r="U65" s="8" t="s">
        <v>37</v>
      </c>
      <c r="V65" s="7" t="s">
        <v>37</v>
      </c>
      <c r="W65" s="7" t="s">
        <v>42</v>
      </c>
      <c r="X65" s="7">
        <v>0</v>
      </c>
      <c r="Y65" s="7">
        <v>0</v>
      </c>
      <c r="Z65" s="9">
        <f>IF(X65=0,0,ROUND(Y65/X65*100,0))</f>
        <v>0</v>
      </c>
      <c r="AA65" s="7" t="s">
        <v>37</v>
      </c>
      <c r="AB65" s="7" t="s">
        <v>37</v>
      </c>
      <c r="AC65" s="7" t="s">
        <v>43</v>
      </c>
      <c r="AD65" s="7" t="s">
        <v>42</v>
      </c>
      <c r="AE65" s="7" t="s">
        <v>37</v>
      </c>
      <c r="AF65" s="7" t="s">
        <v>37</v>
      </c>
    </row>
    <row r="66" ht="30" customHeight="1" spans="1:32" s="7" customFormat="1" x14ac:dyDescent="0.25">
      <c r="A66" s="7" t="s">
        <v>326</v>
      </c>
      <c r="B66" s="7" t="s">
        <v>317</v>
      </c>
      <c r="C66" s="7" t="s">
        <v>318</v>
      </c>
      <c r="D66" s="7" t="s">
        <v>327</v>
      </c>
      <c r="E66" s="7" t="s">
        <v>327</v>
      </c>
      <c r="F66" s="7" t="s">
        <v>37</v>
      </c>
      <c r="G66" s="7" t="s">
        <v>328</v>
      </c>
      <c r="H66" s="7" t="s">
        <v>37</v>
      </c>
      <c r="I66" s="7" t="s">
        <v>37</v>
      </c>
      <c r="J66" s="7" t="str">
        <f>IF(OR(H66="",I66=""),"",H66*I66)</f>
        <v/>
      </c>
      <c r="K66" s="7" t="str">
        <f>IF(J66="","",IF(J66&gt;=12,"קריטי",IF(J66&gt;=8,"גבוה",IF(J66&gt;=4,"בינוני","נמוך"))))</f>
        <v/>
      </c>
      <c r="L66" s="7" t="s">
        <v>39</v>
      </c>
      <c r="M66" s="7" t="s">
        <v>329</v>
      </c>
      <c r="N66" s="7" t="s">
        <v>37</v>
      </c>
      <c r="O66" s="7" t="s">
        <v>37</v>
      </c>
      <c r="P66" s="7" t="str">
        <f>IF(OR(N66="",O66=""),"",N66*O66)</f>
        <v/>
      </c>
      <c r="Q66" s="7" t="str">
        <f>IF(P66="","",IF(P66&gt;=12,"קריטי",IF(P66&gt;=8,"גבוה",IF(P66&gt;=4,"בינוני","נמוך"))))</f>
        <v/>
      </c>
      <c r="R66" s="7" t="str">
        <f>IF(J66="","",IF(X66&gt;0,ROUND(J66-IF(T66="הושלם",1,Z66/100)*(J66-IF(P66="",J66,P66)),0),IF(T66="הושלם",IF(P66="",J66,P66),IF(T66="בתהליך",IF(P66="",J66,ROUND((J66+P66)/2,0)),J66))))</f>
        <v/>
      </c>
      <c r="S66" s="7" t="str">
        <f>IF(R66="","",IF(R66&gt;=12,"קריטי",IF(R66&gt;=8,"גבוה",IF(R66&gt;=4,"בינוני","נמוך"))))</f>
        <v/>
      </c>
      <c r="T66" s="7" t="s">
        <v>55</v>
      </c>
      <c r="U66" s="8" t="s">
        <v>37</v>
      </c>
      <c r="V66" s="7" t="s">
        <v>37</v>
      </c>
      <c r="W66" s="7" t="s">
        <v>42</v>
      </c>
      <c r="X66" s="7">
        <v>0</v>
      </c>
      <c r="Y66" s="7">
        <v>0</v>
      </c>
      <c r="Z66" s="9">
        <f>IF(X66=0,0,ROUND(Y66/X66*100,0))</f>
        <v>0</v>
      </c>
      <c r="AA66" s="7" t="s">
        <v>37</v>
      </c>
      <c r="AB66" s="7" t="s">
        <v>37</v>
      </c>
      <c r="AC66" s="7" t="s">
        <v>43</v>
      </c>
      <c r="AD66" s="7" t="s">
        <v>42</v>
      </c>
      <c r="AE66" s="7" t="s">
        <v>37</v>
      </c>
      <c r="AF66" s="7" t="s">
        <v>37</v>
      </c>
    </row>
    <row r="67" ht="30" customHeight="1" spans="1:32" s="7" customFormat="1" x14ac:dyDescent="0.25">
      <c r="A67" s="7" t="s">
        <v>330</v>
      </c>
      <c r="B67" s="7" t="s">
        <v>331</v>
      </c>
      <c r="C67" s="7" t="s">
        <v>332</v>
      </c>
      <c r="D67" s="7" t="s">
        <v>333</v>
      </c>
      <c r="E67" s="7" t="s">
        <v>333</v>
      </c>
      <c r="F67" s="7" t="s">
        <v>37</v>
      </c>
      <c r="G67" s="7" t="s">
        <v>334</v>
      </c>
      <c r="H67" s="7" t="s">
        <v>37</v>
      </c>
      <c r="I67" s="7" t="s">
        <v>37</v>
      </c>
      <c r="J67" s="7" t="str">
        <f>IF(OR(H67="",I67=""),"",H67*I67)</f>
        <v/>
      </c>
      <c r="K67" s="7" t="str">
        <f>IF(J67="","",IF(J67&gt;=12,"קריטי",IF(J67&gt;=8,"גבוה",IF(J67&gt;=4,"בינוני","נמוך"))))</f>
        <v/>
      </c>
      <c r="L67" s="7" t="s">
        <v>53</v>
      </c>
      <c r="M67" s="7" t="s">
        <v>335</v>
      </c>
      <c r="N67" s="7" t="s">
        <v>37</v>
      </c>
      <c r="O67" s="7" t="s">
        <v>37</v>
      </c>
      <c r="P67" s="7" t="str">
        <f>IF(OR(N67="",O67=""),"",N67*O67)</f>
        <v/>
      </c>
      <c r="Q67" s="7" t="str">
        <f>IF(P67="","",IF(P67&gt;=12,"קריטי",IF(P67&gt;=8,"גבוה",IF(P67&gt;=4,"בינוני","נמוך"))))</f>
        <v/>
      </c>
      <c r="R67" s="7" t="str">
        <f>IF(J67="","",IF(X67&gt;0,ROUND(J67-IF(T67="הושלם",1,Z67/100)*(J67-IF(P67="",J67,P67)),0),IF(T67="הושלם",IF(P67="",J67,P67),IF(T67="בתהליך",IF(P67="",J67,ROUND((J67+P67)/2,0)),J67))))</f>
        <v/>
      </c>
      <c r="S67" s="7" t="str">
        <f>IF(R67="","",IF(R67&gt;=12,"קריטי",IF(R67&gt;=8,"גבוה",IF(R67&gt;=4,"בינוני","נמוך"))))</f>
        <v/>
      </c>
      <c r="T67" s="7" t="s">
        <v>55</v>
      </c>
      <c r="U67" s="8" t="s">
        <v>37</v>
      </c>
      <c r="V67" s="7" t="s">
        <v>37</v>
      </c>
      <c r="W67" s="7" t="s">
        <v>42</v>
      </c>
      <c r="X67" s="7">
        <v>0</v>
      </c>
      <c r="Y67" s="7">
        <v>0</v>
      </c>
      <c r="Z67" s="9">
        <f>IF(X67=0,0,ROUND(Y67/X67*100,0))</f>
        <v>0</v>
      </c>
      <c r="AA67" s="7" t="s">
        <v>37</v>
      </c>
      <c r="AB67" s="7" t="s">
        <v>37</v>
      </c>
      <c r="AC67" s="7" t="s">
        <v>43</v>
      </c>
      <c r="AD67" s="7" t="s">
        <v>42</v>
      </c>
      <c r="AE67" s="7" t="s">
        <v>37</v>
      </c>
      <c r="AF67" s="7" t="s">
        <v>37</v>
      </c>
    </row>
    <row r="68" ht="30" customHeight="1" spans="1:32" s="7" customFormat="1" x14ac:dyDescent="0.25">
      <c r="A68" s="7" t="s">
        <v>336</v>
      </c>
      <c r="B68" s="7" t="s">
        <v>331</v>
      </c>
      <c r="C68" s="7" t="s">
        <v>332</v>
      </c>
      <c r="D68" s="7" t="s">
        <v>337</v>
      </c>
      <c r="E68" s="7" t="s">
        <v>337</v>
      </c>
      <c r="F68" s="7" t="s">
        <v>37</v>
      </c>
      <c r="G68" s="7" t="s">
        <v>338</v>
      </c>
      <c r="H68" s="7" t="s">
        <v>37</v>
      </c>
      <c r="I68" s="7" t="s">
        <v>37</v>
      </c>
      <c r="J68" s="7" t="str">
        <f>IF(OR(H68="",I68=""),"",H68*I68)</f>
        <v/>
      </c>
      <c r="K68" s="7" t="str">
        <f>IF(J68="","",IF(J68&gt;=12,"קריטי",IF(J68&gt;=8,"גבוה",IF(J68&gt;=4,"בינוני","נמוך"))))</f>
        <v/>
      </c>
      <c r="L68" s="7" t="s">
        <v>101</v>
      </c>
      <c r="M68" s="7" t="s">
        <v>339</v>
      </c>
      <c r="N68" s="7" t="s">
        <v>37</v>
      </c>
      <c r="O68" s="7" t="s">
        <v>37</v>
      </c>
      <c r="P68" s="7" t="str">
        <f>IF(OR(N68="",O68=""),"",N68*O68)</f>
        <v/>
      </c>
      <c r="Q68" s="7" t="str">
        <f>IF(P68="","",IF(P68&gt;=12,"קריטי",IF(P68&gt;=8,"גבוה",IF(P68&gt;=4,"בינוני","נמוך"))))</f>
        <v/>
      </c>
      <c r="R68" s="7" t="str">
        <f>IF(J68="","",IF(X68&gt;0,ROUND(J68-IF(T68="הושלם",1,Z68/100)*(J68-IF(P68="",J68,P68)),0),IF(T68="הושלם",IF(P68="",J68,P68),IF(T68="בתהליך",IF(P68="",J68,ROUND((J68+P68)/2,0)),J68))))</f>
        <v/>
      </c>
      <c r="S68" s="7" t="str">
        <f>IF(R68="","",IF(R68&gt;=12,"קריטי",IF(R68&gt;=8,"גבוה",IF(R68&gt;=4,"בינוני","נמוך"))))</f>
        <v/>
      </c>
      <c r="T68" s="7" t="s">
        <v>55</v>
      </c>
      <c r="U68" s="8" t="s">
        <v>37</v>
      </c>
      <c r="V68" s="7" t="s">
        <v>37</v>
      </c>
      <c r="W68" s="7" t="s">
        <v>42</v>
      </c>
      <c r="X68" s="7">
        <v>0</v>
      </c>
      <c r="Y68" s="7">
        <v>0</v>
      </c>
      <c r="Z68" s="9">
        <f>IF(X68=0,0,ROUND(Y68/X68*100,0))</f>
        <v>0</v>
      </c>
      <c r="AA68" s="7" t="s">
        <v>37</v>
      </c>
      <c r="AB68" s="7" t="s">
        <v>37</v>
      </c>
      <c r="AC68" s="7" t="s">
        <v>43</v>
      </c>
      <c r="AD68" s="7" t="s">
        <v>42</v>
      </c>
      <c r="AE68" s="7" t="s">
        <v>37</v>
      </c>
      <c r="AF68" s="7" t="s">
        <v>37</v>
      </c>
    </row>
    <row r="69" ht="30" customHeight="1" spans="1:32" s="7" customFormat="1" x14ac:dyDescent="0.25">
      <c r="A69" s="7" t="s">
        <v>340</v>
      </c>
      <c r="B69" s="7" t="s">
        <v>331</v>
      </c>
      <c r="C69" s="7" t="s">
        <v>332</v>
      </c>
      <c r="D69" s="7" t="s">
        <v>341</v>
      </c>
      <c r="E69" s="7" t="s">
        <v>341</v>
      </c>
      <c r="F69" s="7" t="s">
        <v>37</v>
      </c>
      <c r="G69" s="7" t="s">
        <v>342</v>
      </c>
      <c r="H69" s="7" t="s">
        <v>37</v>
      </c>
      <c r="I69" s="7" t="s">
        <v>37</v>
      </c>
      <c r="J69" s="7" t="str">
        <f>IF(OR(H69="",I69=""),"",H69*I69)</f>
        <v/>
      </c>
      <c r="K69" s="7" t="str">
        <f>IF(J69="","",IF(J69&gt;=12,"קריטי",IF(J69&gt;=8,"גבוה",IF(J69&gt;=4,"בינוני","נמוך"))))</f>
        <v/>
      </c>
      <c r="L69" s="7" t="s">
        <v>39</v>
      </c>
      <c r="M69" s="7" t="s">
        <v>343</v>
      </c>
      <c r="N69" s="7" t="s">
        <v>37</v>
      </c>
      <c r="O69" s="7" t="s">
        <v>37</v>
      </c>
      <c r="P69" s="7" t="str">
        <f>IF(OR(N69="",O69=""),"",N69*O69)</f>
        <v/>
      </c>
      <c r="Q69" s="7" t="str">
        <f>IF(P69="","",IF(P69&gt;=12,"קריטי",IF(P69&gt;=8,"גבוה",IF(P69&gt;=4,"בינוני","נמוך"))))</f>
        <v/>
      </c>
      <c r="R69" s="7" t="str">
        <f>IF(J69="","",IF(X69&gt;0,ROUND(J69-IF(T69="הושלם",1,Z69/100)*(J69-IF(P69="",J69,P69)),0),IF(T69="הושלם",IF(P69="",J69,P69),IF(T69="בתהליך",IF(P69="",J69,ROUND((J69+P69)/2,0)),J69))))</f>
        <v/>
      </c>
      <c r="S69" s="7" t="str">
        <f>IF(R69="","",IF(R69&gt;=12,"קריטי",IF(R69&gt;=8,"גבוה",IF(R69&gt;=4,"בינוני","נמוך"))))</f>
        <v/>
      </c>
      <c r="T69" s="7" t="s">
        <v>55</v>
      </c>
      <c r="U69" s="8" t="s">
        <v>37</v>
      </c>
      <c r="V69" s="7" t="s">
        <v>37</v>
      </c>
      <c r="W69" s="7" t="s">
        <v>42</v>
      </c>
      <c r="X69" s="7">
        <v>0</v>
      </c>
      <c r="Y69" s="7">
        <v>0</v>
      </c>
      <c r="Z69" s="9">
        <f>IF(X69=0,0,ROUND(Y69/X69*100,0))</f>
        <v>0</v>
      </c>
      <c r="AA69" s="7" t="s">
        <v>37</v>
      </c>
      <c r="AB69" s="7" t="s">
        <v>37</v>
      </c>
      <c r="AC69" s="7" t="s">
        <v>43</v>
      </c>
      <c r="AD69" s="7" t="s">
        <v>42</v>
      </c>
      <c r="AE69" s="7" t="s">
        <v>37</v>
      </c>
      <c r="AF69" s="7" t="s">
        <v>37</v>
      </c>
    </row>
    <row r="70" ht="30" customHeight="1" spans="1:32" s="7" customFormat="1" x14ac:dyDescent="0.25">
      <c r="A70" s="7" t="s">
        <v>344</v>
      </c>
      <c r="B70" s="7" t="s">
        <v>331</v>
      </c>
      <c r="C70" s="7" t="s">
        <v>332</v>
      </c>
      <c r="D70" s="7" t="s">
        <v>345</v>
      </c>
      <c r="E70" s="7" t="s">
        <v>345</v>
      </c>
      <c r="F70" s="7" t="s">
        <v>37</v>
      </c>
      <c r="G70" s="7" t="s">
        <v>346</v>
      </c>
      <c r="H70" s="7" t="s">
        <v>37</v>
      </c>
      <c r="I70" s="7" t="s">
        <v>37</v>
      </c>
      <c r="J70" s="7" t="str">
        <f>IF(OR(H70="",I70=""),"",H70*I70)</f>
        <v/>
      </c>
      <c r="K70" s="7" t="str">
        <f>IF(J70="","",IF(J70&gt;=12,"קריטי",IF(J70&gt;=8,"גבוה",IF(J70&gt;=4,"בינוני","נמוך"))))</f>
        <v/>
      </c>
      <c r="L70" s="7" t="s">
        <v>53</v>
      </c>
      <c r="M70" s="7" t="s">
        <v>347</v>
      </c>
      <c r="N70" s="7" t="s">
        <v>37</v>
      </c>
      <c r="O70" s="7" t="s">
        <v>37</v>
      </c>
      <c r="P70" s="7" t="str">
        <f>IF(OR(N70="",O70=""),"",N70*O70)</f>
        <v/>
      </c>
      <c r="Q70" s="7" t="str">
        <f>IF(P70="","",IF(P70&gt;=12,"קריטי",IF(P70&gt;=8,"גבוה",IF(P70&gt;=4,"בינוני","נמוך"))))</f>
        <v/>
      </c>
      <c r="R70" s="7" t="str">
        <f>IF(J70="","",IF(X70&gt;0,ROUND(J70-IF(T70="הושלם",1,Z70/100)*(J70-IF(P70="",J70,P70)),0),IF(T70="הושלם",IF(P70="",J70,P70),IF(T70="בתהליך",IF(P70="",J70,ROUND((J70+P70)/2,0)),J70))))</f>
        <v/>
      </c>
      <c r="S70" s="7" t="str">
        <f>IF(R70="","",IF(R70&gt;=12,"קריטי",IF(R70&gt;=8,"גבוה",IF(R70&gt;=4,"בינוני","נמוך"))))</f>
        <v/>
      </c>
      <c r="T70" s="7" t="s">
        <v>55</v>
      </c>
      <c r="U70" s="8" t="s">
        <v>37</v>
      </c>
      <c r="V70" s="7" t="s">
        <v>37</v>
      </c>
      <c r="W70" s="7" t="s">
        <v>42</v>
      </c>
      <c r="X70" s="7">
        <v>0</v>
      </c>
      <c r="Y70" s="7">
        <v>0</v>
      </c>
      <c r="Z70" s="9">
        <f>IF(X70=0,0,ROUND(Y70/X70*100,0))</f>
        <v>0</v>
      </c>
      <c r="AA70" s="7" t="s">
        <v>37</v>
      </c>
      <c r="AB70" s="7" t="s">
        <v>37</v>
      </c>
      <c r="AC70" s="7" t="s">
        <v>43</v>
      </c>
      <c r="AD70" s="7" t="s">
        <v>42</v>
      </c>
      <c r="AE70" s="7" t="s">
        <v>37</v>
      </c>
      <c r="AF70" s="7" t="s">
        <v>37</v>
      </c>
    </row>
    <row r="71" ht="30" customHeight="1" spans="1:32" s="7" customFormat="1" x14ac:dyDescent="0.25">
      <c r="A71" s="7" t="s">
        <v>348</v>
      </c>
      <c r="B71" s="7" t="s">
        <v>331</v>
      </c>
      <c r="C71" s="7" t="s">
        <v>332</v>
      </c>
      <c r="D71" s="7" t="s">
        <v>349</v>
      </c>
      <c r="E71" s="7" t="s">
        <v>349</v>
      </c>
      <c r="F71" s="7" t="s">
        <v>37</v>
      </c>
      <c r="G71" s="7" t="s">
        <v>350</v>
      </c>
      <c r="H71" s="7" t="s">
        <v>37</v>
      </c>
      <c r="I71" s="7" t="s">
        <v>37</v>
      </c>
      <c r="J71" s="7" t="str">
        <f>IF(OR(H71="",I71=""),"",H71*I71)</f>
        <v/>
      </c>
      <c r="K71" s="7" t="str">
        <f>IF(J71="","",IF(J71&gt;=12,"קריטי",IF(J71&gt;=8,"גבוה",IF(J71&gt;=4,"בינוני","נמוך"))))</f>
        <v/>
      </c>
      <c r="L71" s="7" t="s">
        <v>96</v>
      </c>
      <c r="M71" s="7" t="s">
        <v>351</v>
      </c>
      <c r="N71" s="7" t="s">
        <v>37</v>
      </c>
      <c r="O71" s="7" t="s">
        <v>37</v>
      </c>
      <c r="P71" s="7" t="str">
        <f>IF(OR(N71="",O71=""),"",N71*O71)</f>
        <v/>
      </c>
      <c r="Q71" s="7" t="str">
        <f>IF(P71="","",IF(P71&gt;=12,"קריטי",IF(P71&gt;=8,"גבוה",IF(P71&gt;=4,"בינוני","נמוך"))))</f>
        <v/>
      </c>
      <c r="R71" s="7" t="str">
        <f>IF(J71="","",IF(X71&gt;0,ROUND(J71-IF(T71="הושלם",1,Z71/100)*(J71-IF(P71="",J71,P71)),0),IF(T71="הושלם",IF(P71="",J71,P71),IF(T71="בתהליך",IF(P71="",J71,ROUND((J71+P71)/2,0)),J71))))</f>
        <v/>
      </c>
      <c r="S71" s="7" t="str">
        <f>IF(R71="","",IF(R71&gt;=12,"קריטי",IF(R71&gt;=8,"גבוה",IF(R71&gt;=4,"בינוני","נמוך"))))</f>
        <v/>
      </c>
      <c r="T71" s="7" t="s">
        <v>55</v>
      </c>
      <c r="U71" s="8" t="s">
        <v>37</v>
      </c>
      <c r="V71" s="7" t="s">
        <v>37</v>
      </c>
      <c r="W71" s="7" t="s">
        <v>42</v>
      </c>
      <c r="X71" s="7">
        <v>0</v>
      </c>
      <c r="Y71" s="7">
        <v>0</v>
      </c>
      <c r="Z71" s="9">
        <f>IF(X71=0,0,ROUND(Y71/X71*100,0))</f>
        <v>0</v>
      </c>
      <c r="AA71" s="7" t="s">
        <v>37</v>
      </c>
      <c r="AB71" s="7" t="s">
        <v>37</v>
      </c>
      <c r="AC71" s="7" t="s">
        <v>43</v>
      </c>
      <c r="AD71" s="7" t="s">
        <v>42</v>
      </c>
      <c r="AE71" s="7" t="s">
        <v>37</v>
      </c>
      <c r="AF71" s="7" t="s">
        <v>37</v>
      </c>
    </row>
    <row r="72" ht="30" customHeight="1" spans="1:32" s="7" customFormat="1" x14ac:dyDescent="0.25">
      <c r="A72" s="7" t="s">
        <v>352</v>
      </c>
      <c r="B72" s="7" t="s">
        <v>353</v>
      </c>
      <c r="C72" s="7" t="s">
        <v>354</v>
      </c>
      <c r="D72" s="7" t="s">
        <v>355</v>
      </c>
      <c r="E72" s="7" t="s">
        <v>355</v>
      </c>
      <c r="F72" s="7" t="s">
        <v>37</v>
      </c>
      <c r="G72" s="7" t="s">
        <v>356</v>
      </c>
      <c r="H72" s="7" t="s">
        <v>37</v>
      </c>
      <c r="I72" s="7" t="s">
        <v>37</v>
      </c>
      <c r="J72" s="7" t="str">
        <f>IF(OR(H72="",I72=""),"",H72*I72)</f>
        <v/>
      </c>
      <c r="K72" s="7" t="str">
        <f>IF(J72="","",IF(J72&gt;=12,"קריטי",IF(J72&gt;=8,"גבוה",IF(J72&gt;=4,"בינוני","נמוך"))))</f>
        <v/>
      </c>
      <c r="L72" s="7" t="s">
        <v>64</v>
      </c>
      <c r="M72" s="7" t="s">
        <v>357</v>
      </c>
      <c r="N72" s="7" t="s">
        <v>37</v>
      </c>
      <c r="O72" s="7" t="s">
        <v>37</v>
      </c>
      <c r="P72" s="7" t="str">
        <f>IF(OR(N72="",O72=""),"",N72*O72)</f>
        <v/>
      </c>
      <c r="Q72" s="7" t="str">
        <f>IF(P72="","",IF(P72&gt;=12,"קריטי",IF(P72&gt;=8,"גבוה",IF(P72&gt;=4,"בינוני","נמוך"))))</f>
        <v/>
      </c>
      <c r="R72" s="7" t="str">
        <f>IF(J72="","",IF(X72&gt;0,ROUND(J72-IF(T72="הושלם",1,Z72/100)*(J72-IF(P72="",J72,P72)),0),IF(T72="הושלם",IF(P72="",J72,P72),IF(T72="בתהליך",IF(P72="",J72,ROUND((J72+P72)/2,0)),J72))))</f>
        <v/>
      </c>
      <c r="S72" s="7" t="str">
        <f>IF(R72="","",IF(R72&gt;=12,"קריטי",IF(R72&gt;=8,"גבוה",IF(R72&gt;=4,"בינוני","נמוך"))))</f>
        <v/>
      </c>
      <c r="T72" s="7" t="s">
        <v>55</v>
      </c>
      <c r="U72" s="8" t="s">
        <v>37</v>
      </c>
      <c r="V72" s="7" t="s">
        <v>37</v>
      </c>
      <c r="W72" s="7" t="s">
        <v>42</v>
      </c>
      <c r="X72" s="7">
        <v>0</v>
      </c>
      <c r="Y72" s="7">
        <v>0</v>
      </c>
      <c r="Z72" s="9">
        <f>IF(X72=0,0,ROUND(Y72/X72*100,0))</f>
        <v>0</v>
      </c>
      <c r="AA72" s="7" t="s">
        <v>37</v>
      </c>
      <c r="AB72" s="7" t="s">
        <v>37</v>
      </c>
      <c r="AC72" s="7" t="s">
        <v>43</v>
      </c>
      <c r="AD72" s="7" t="s">
        <v>42</v>
      </c>
      <c r="AE72" s="7" t="s">
        <v>37</v>
      </c>
      <c r="AF72" s="7" t="s">
        <v>37</v>
      </c>
    </row>
    <row r="73" ht="30" customHeight="1" spans="1:32" s="7" customFormat="1" x14ac:dyDescent="0.25">
      <c r="A73" s="7" t="s">
        <v>358</v>
      </c>
      <c r="B73" s="7" t="s">
        <v>353</v>
      </c>
      <c r="C73" s="7" t="s">
        <v>354</v>
      </c>
      <c r="D73" s="7" t="s">
        <v>359</v>
      </c>
      <c r="E73" s="7" t="s">
        <v>359</v>
      </c>
      <c r="F73" s="7" t="s">
        <v>37</v>
      </c>
      <c r="G73" s="7" t="s">
        <v>360</v>
      </c>
      <c r="H73" s="7" t="s">
        <v>37</v>
      </c>
      <c r="I73" s="7" t="s">
        <v>37</v>
      </c>
      <c r="J73" s="7" t="str">
        <f>IF(OR(H73="",I73=""),"",H73*I73)</f>
        <v/>
      </c>
      <c r="K73" s="7" t="str">
        <f>IF(J73="","",IF(J73&gt;=12,"קריטי",IF(J73&gt;=8,"גבוה",IF(J73&gt;=4,"בינוני","נמוך"))))</f>
        <v/>
      </c>
      <c r="L73" s="7" t="s">
        <v>96</v>
      </c>
      <c r="M73" s="7" t="s">
        <v>361</v>
      </c>
      <c r="N73" s="7" t="s">
        <v>37</v>
      </c>
      <c r="O73" s="7" t="s">
        <v>37</v>
      </c>
      <c r="P73" s="7" t="str">
        <f>IF(OR(N73="",O73=""),"",N73*O73)</f>
        <v/>
      </c>
      <c r="Q73" s="7" t="str">
        <f>IF(P73="","",IF(P73&gt;=12,"קריטי",IF(P73&gt;=8,"גבוה",IF(P73&gt;=4,"בינוני","נמוך"))))</f>
        <v/>
      </c>
      <c r="R73" s="7" t="str">
        <f>IF(J73="","",IF(X73&gt;0,ROUND(J73-IF(T73="הושלם",1,Z73/100)*(J73-IF(P73="",J73,P73)),0),IF(T73="הושלם",IF(P73="",J73,P73),IF(T73="בתהליך",IF(P73="",J73,ROUND((J73+P73)/2,0)),J73))))</f>
        <v/>
      </c>
      <c r="S73" s="7" t="str">
        <f>IF(R73="","",IF(R73&gt;=12,"קריטי",IF(R73&gt;=8,"גבוה",IF(R73&gt;=4,"בינוני","נמוך"))))</f>
        <v/>
      </c>
      <c r="T73" s="7" t="s">
        <v>55</v>
      </c>
      <c r="U73" s="8" t="s">
        <v>37</v>
      </c>
      <c r="V73" s="7" t="s">
        <v>37</v>
      </c>
      <c r="W73" s="7" t="s">
        <v>42</v>
      </c>
      <c r="X73" s="7">
        <v>0</v>
      </c>
      <c r="Y73" s="7">
        <v>0</v>
      </c>
      <c r="Z73" s="9">
        <f>IF(X73=0,0,ROUND(Y73/X73*100,0))</f>
        <v>0</v>
      </c>
      <c r="AA73" s="7" t="s">
        <v>37</v>
      </c>
      <c r="AB73" s="7" t="s">
        <v>37</v>
      </c>
      <c r="AC73" s="7" t="s">
        <v>43</v>
      </c>
      <c r="AD73" s="7" t="s">
        <v>42</v>
      </c>
      <c r="AE73" s="7" t="s">
        <v>37</v>
      </c>
      <c r="AF73" s="7" t="s">
        <v>37</v>
      </c>
    </row>
    <row r="74" ht="30" customHeight="1" spans="1:32" s="7" customFormat="1" x14ac:dyDescent="0.25">
      <c r="A74" s="7" t="s">
        <v>362</v>
      </c>
      <c r="B74" s="7" t="s">
        <v>353</v>
      </c>
      <c r="C74" s="7" t="s">
        <v>354</v>
      </c>
      <c r="D74" s="7" t="s">
        <v>363</v>
      </c>
      <c r="E74" s="7" t="s">
        <v>363</v>
      </c>
      <c r="F74" s="7" t="s">
        <v>37</v>
      </c>
      <c r="G74" s="7" t="s">
        <v>364</v>
      </c>
      <c r="H74" s="7" t="s">
        <v>37</v>
      </c>
      <c r="I74" s="7" t="s">
        <v>37</v>
      </c>
      <c r="J74" s="7" t="str">
        <f>IF(OR(H74="",I74=""),"",H74*I74)</f>
        <v/>
      </c>
      <c r="K74" s="7" t="str">
        <f>IF(J74="","",IF(J74&gt;=12,"קריטי",IF(J74&gt;=8,"גבוה",IF(J74&gt;=4,"בינוני","נמוך"))))</f>
        <v/>
      </c>
      <c r="L74" s="7" t="s">
        <v>39</v>
      </c>
      <c r="M74" s="7" t="s">
        <v>365</v>
      </c>
      <c r="N74" s="7" t="s">
        <v>37</v>
      </c>
      <c r="O74" s="7" t="s">
        <v>37</v>
      </c>
      <c r="P74" s="7" t="str">
        <f>IF(OR(N74="",O74=""),"",N74*O74)</f>
        <v/>
      </c>
      <c r="Q74" s="7" t="str">
        <f>IF(P74="","",IF(P74&gt;=12,"קריטי",IF(P74&gt;=8,"גבוה",IF(P74&gt;=4,"בינוני","נמוך"))))</f>
        <v/>
      </c>
      <c r="R74" s="7" t="str">
        <f>IF(J74="","",IF(X74&gt;0,ROUND(J74-IF(T74="הושלם",1,Z74/100)*(J74-IF(P74="",J74,P74)),0),IF(T74="הושלם",IF(P74="",J74,P74),IF(T74="בתהליך",IF(P74="",J74,ROUND((J74+P74)/2,0)),J74))))</f>
        <v/>
      </c>
      <c r="S74" s="7" t="str">
        <f>IF(R74="","",IF(R74&gt;=12,"קריטי",IF(R74&gt;=8,"גבוה",IF(R74&gt;=4,"בינוני","נמוך"))))</f>
        <v/>
      </c>
      <c r="T74" s="7" t="s">
        <v>55</v>
      </c>
      <c r="U74" s="8" t="s">
        <v>37</v>
      </c>
      <c r="V74" s="7" t="s">
        <v>37</v>
      </c>
      <c r="W74" s="7" t="s">
        <v>42</v>
      </c>
      <c r="X74" s="7">
        <v>0</v>
      </c>
      <c r="Y74" s="7">
        <v>0</v>
      </c>
      <c r="Z74" s="9">
        <f>IF(X74=0,0,ROUND(Y74/X74*100,0))</f>
        <v>0</v>
      </c>
      <c r="AA74" s="7" t="s">
        <v>37</v>
      </c>
      <c r="AB74" s="7" t="s">
        <v>37</v>
      </c>
      <c r="AC74" s="7" t="s">
        <v>43</v>
      </c>
      <c r="AD74" s="7" t="s">
        <v>42</v>
      </c>
      <c r="AE74" s="7" t="s">
        <v>37</v>
      </c>
      <c r="AF74" s="7" t="s">
        <v>37</v>
      </c>
    </row>
  </sheetData>
  <autoFilter ref="A2:AF2"/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2" customWidth="1"/>
    <col min="4" max="4" width="50" customWidth="1"/>
    <col min="5" max="5" width="8" customWidth="1"/>
  </cols>
  <sheetData>
    <row r="1" spans="1:5" x14ac:dyDescent="0.25">
      <c r="A1" s="4" t="s">
        <v>366</v>
      </c>
      <c r="B1" s="4" t="s">
        <v>367</v>
      </c>
      <c r="C1" s="4" t="s">
        <v>368</v>
      </c>
      <c r="D1" s="4" t="s">
        <v>369</v>
      </c>
      <c r="E1" s="4" t="s">
        <v>370</v>
      </c>
    </row>
    <row r="2" spans="1:5" x14ac:dyDescent="0.25">
      <c r="A2" t="s">
        <v>44</v>
      </c>
      <c r="B2" t="s">
        <v>45</v>
      </c>
      <c r="C2" t="s">
        <v>34</v>
      </c>
      <c r="D2" t="s">
        <v>371</v>
      </c>
      <c r="E2" t="s">
        <v>42</v>
      </c>
    </row>
    <row r="3" spans="1:5" x14ac:dyDescent="0.25">
      <c r="A3" t="s">
        <v>44</v>
      </c>
      <c r="B3" t="s">
        <v>45</v>
      </c>
      <c r="C3" t="s">
        <v>34</v>
      </c>
      <c r="D3" t="s">
        <v>372</v>
      </c>
      <c r="E3" t="s">
        <v>42</v>
      </c>
    </row>
    <row r="4" spans="1:5" x14ac:dyDescent="0.25">
      <c r="A4" t="s">
        <v>44</v>
      </c>
      <c r="B4" t="s">
        <v>45</v>
      </c>
      <c r="C4" t="s">
        <v>34</v>
      </c>
      <c r="D4" t="s">
        <v>373</v>
      </c>
      <c r="E4" t="s">
        <v>42</v>
      </c>
    </row>
    <row r="5" spans="1:5" x14ac:dyDescent="0.25">
      <c r="A5" t="s">
        <v>126</v>
      </c>
      <c r="B5" t="s">
        <v>127</v>
      </c>
      <c r="C5" t="s">
        <v>120</v>
      </c>
      <c r="D5" t="s">
        <v>374</v>
      </c>
      <c r="E5" t="s">
        <v>135</v>
      </c>
    </row>
    <row r="6" spans="1:5" x14ac:dyDescent="0.25">
      <c r="A6" t="s">
        <v>126</v>
      </c>
      <c r="B6" t="s">
        <v>127</v>
      </c>
      <c r="C6" t="s">
        <v>120</v>
      </c>
      <c r="D6" t="s">
        <v>375</v>
      </c>
      <c r="E6" t="s">
        <v>135</v>
      </c>
    </row>
    <row r="7" spans="1:5" x14ac:dyDescent="0.25">
      <c r="A7" t="s">
        <v>126</v>
      </c>
      <c r="B7" t="s">
        <v>127</v>
      </c>
      <c r="C7" t="s">
        <v>120</v>
      </c>
      <c r="D7" t="s">
        <v>376</v>
      </c>
      <c r="E7" t="s">
        <v>135</v>
      </c>
    </row>
    <row r="8" spans="1:5" x14ac:dyDescent="0.25">
      <c r="A8" t="s">
        <v>178</v>
      </c>
      <c r="B8" t="s">
        <v>181</v>
      </c>
      <c r="C8" t="s">
        <v>179</v>
      </c>
      <c r="D8" t="s">
        <v>377</v>
      </c>
      <c r="E8" t="s">
        <v>135</v>
      </c>
    </row>
    <row r="9" spans="1:5" x14ac:dyDescent="0.25">
      <c r="A9" t="s">
        <v>178</v>
      </c>
      <c r="B9" t="s">
        <v>181</v>
      </c>
      <c r="C9" t="s">
        <v>179</v>
      </c>
      <c r="D9" t="s">
        <v>378</v>
      </c>
      <c r="E9" t="s">
        <v>135</v>
      </c>
    </row>
    <row r="10" spans="1:5" x14ac:dyDescent="0.25">
      <c r="A10" t="s">
        <v>178</v>
      </c>
      <c r="B10" t="s">
        <v>181</v>
      </c>
      <c r="C10" t="s">
        <v>179</v>
      </c>
      <c r="D10" t="s">
        <v>379</v>
      </c>
      <c r="E10" t="s">
        <v>42</v>
      </c>
    </row>
    <row r="11" spans="1:5" x14ac:dyDescent="0.25">
      <c r="A11" t="s">
        <v>185</v>
      </c>
      <c r="B11" t="s">
        <v>186</v>
      </c>
      <c r="C11" t="s">
        <v>179</v>
      </c>
      <c r="D11" t="s">
        <v>380</v>
      </c>
      <c r="E11" t="s">
        <v>42</v>
      </c>
    </row>
    <row r="12" spans="1:5" x14ac:dyDescent="0.25">
      <c r="A12" t="s">
        <v>185</v>
      </c>
      <c r="B12" t="s">
        <v>186</v>
      </c>
      <c r="C12" t="s">
        <v>179</v>
      </c>
      <c r="D12" t="s">
        <v>381</v>
      </c>
      <c r="E12" t="s">
        <v>42</v>
      </c>
    </row>
    <row r="13" spans="1:5" x14ac:dyDescent="0.25">
      <c r="A13" t="s">
        <v>185</v>
      </c>
      <c r="B13" t="s">
        <v>186</v>
      </c>
      <c r="C13" t="s">
        <v>179</v>
      </c>
      <c r="D13" t="s">
        <v>382</v>
      </c>
      <c r="E13" t="s">
        <v>42</v>
      </c>
    </row>
    <row r="14" spans="1:5" x14ac:dyDescent="0.25">
      <c r="A14" t="s">
        <v>190</v>
      </c>
      <c r="B14" t="s">
        <v>191</v>
      </c>
      <c r="C14" t="s">
        <v>179</v>
      </c>
      <c r="D14" t="s">
        <v>383</v>
      </c>
      <c r="E14" t="s">
        <v>135</v>
      </c>
    </row>
    <row r="15" spans="1:5" x14ac:dyDescent="0.25">
      <c r="A15" t="s">
        <v>190</v>
      </c>
      <c r="B15" t="s">
        <v>191</v>
      </c>
      <c r="C15" t="s">
        <v>179</v>
      </c>
      <c r="D15" t="s">
        <v>384</v>
      </c>
      <c r="E15" t="s">
        <v>135</v>
      </c>
    </row>
    <row r="16" spans="1:5" x14ac:dyDescent="0.25">
      <c r="A16" t="s">
        <v>190</v>
      </c>
      <c r="B16" t="s">
        <v>191</v>
      </c>
      <c r="C16" t="s">
        <v>179</v>
      </c>
      <c r="D16" t="s">
        <v>385</v>
      </c>
      <c r="E16" t="s">
        <v>135</v>
      </c>
    </row>
    <row r="17" spans="1:5" x14ac:dyDescent="0.25">
      <c r="A17" t="s">
        <v>194</v>
      </c>
      <c r="B17" t="s">
        <v>195</v>
      </c>
      <c r="C17" t="s">
        <v>179</v>
      </c>
      <c r="D17" t="s">
        <v>386</v>
      </c>
      <c r="E17" t="s">
        <v>42</v>
      </c>
    </row>
    <row r="18" spans="1:5" x14ac:dyDescent="0.25">
      <c r="A18" t="s">
        <v>194</v>
      </c>
      <c r="B18" t="s">
        <v>195</v>
      </c>
      <c r="C18" t="s">
        <v>179</v>
      </c>
      <c r="D18" t="s">
        <v>387</v>
      </c>
      <c r="E18" t="s">
        <v>42</v>
      </c>
    </row>
    <row r="19" spans="1:5" x14ac:dyDescent="0.25">
      <c r="A19" t="s">
        <v>198</v>
      </c>
      <c r="B19" t="s">
        <v>199</v>
      </c>
      <c r="C19" t="s">
        <v>179</v>
      </c>
      <c r="D19" t="s">
        <v>388</v>
      </c>
      <c r="E19" t="s">
        <v>42</v>
      </c>
    </row>
    <row r="20" spans="1:5" x14ac:dyDescent="0.25">
      <c r="A20" t="s">
        <v>225</v>
      </c>
      <c r="B20" t="s">
        <v>226</v>
      </c>
      <c r="C20" t="s">
        <v>207</v>
      </c>
      <c r="D20" t="s">
        <v>389</v>
      </c>
      <c r="E20" t="s">
        <v>42</v>
      </c>
    </row>
    <row r="21" spans="1:5" x14ac:dyDescent="0.25">
      <c r="A21" t="s">
        <v>225</v>
      </c>
      <c r="B21" t="s">
        <v>226</v>
      </c>
      <c r="C21" t="s">
        <v>207</v>
      </c>
      <c r="D21" t="s">
        <v>390</v>
      </c>
      <c r="E21" t="s">
        <v>42</v>
      </c>
    </row>
    <row r="22" spans="1:5" x14ac:dyDescent="0.25">
      <c r="A22" t="s">
        <v>225</v>
      </c>
      <c r="B22" t="s">
        <v>226</v>
      </c>
      <c r="C22" t="s">
        <v>207</v>
      </c>
      <c r="D22" t="s">
        <v>391</v>
      </c>
      <c r="E22" t="s">
        <v>42</v>
      </c>
    </row>
    <row r="23" spans="1:5" x14ac:dyDescent="0.25">
      <c r="A23" t="s">
        <v>229</v>
      </c>
      <c r="B23" t="s">
        <v>232</v>
      </c>
      <c r="C23" t="s">
        <v>230</v>
      </c>
      <c r="D23" t="s">
        <v>392</v>
      </c>
      <c r="E23" t="s">
        <v>42</v>
      </c>
    </row>
    <row r="24" spans="1:5" x14ac:dyDescent="0.25">
      <c r="A24" t="s">
        <v>229</v>
      </c>
      <c r="B24" t="s">
        <v>232</v>
      </c>
      <c r="C24" t="s">
        <v>230</v>
      </c>
      <c r="D24" t="s">
        <v>393</v>
      </c>
      <c r="E24" t="s">
        <v>42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2" customWidth="1"/>
    <col min="4" max="4" width="38" customWidth="1"/>
    <col min="5" max="5" width="18" customWidth="1"/>
    <col min="6" max="7" width="10" customWidth="1"/>
    <col min="8" max="8" width="12" customWidth="1"/>
  </cols>
  <sheetData>
    <row r="1" spans="1:8" x14ac:dyDescent="0.25">
      <c r="A1" s="4" t="s">
        <v>366</v>
      </c>
      <c r="B1" s="4" t="s">
        <v>367</v>
      </c>
      <c r="C1" s="4" t="s">
        <v>368</v>
      </c>
      <c r="D1" s="4" t="s">
        <v>394</v>
      </c>
      <c r="E1" s="4" t="s">
        <v>395</v>
      </c>
      <c r="F1" s="4" t="s">
        <v>396</v>
      </c>
      <c r="G1" s="4" t="s">
        <v>397</v>
      </c>
      <c r="H1" s="4" t="s">
        <v>20</v>
      </c>
    </row>
    <row r="2" spans="1:8" x14ac:dyDescent="0.25">
      <c r="A2" t="s">
        <v>229</v>
      </c>
      <c r="B2" t="s">
        <v>232</v>
      </c>
      <c r="C2" t="s">
        <v>230</v>
      </c>
      <c r="D2" t="s">
        <v>398</v>
      </c>
      <c r="E2" t="s">
        <v>399</v>
      </c>
      <c r="F2">
        <v>44</v>
      </c>
      <c r="G2" t="s">
        <v>400</v>
      </c>
      <c r="H2" t="s">
        <v>41</v>
      </c>
    </row>
    <row r="3" spans="1:8" x14ac:dyDescent="0.25">
      <c r="A3" t="s">
        <v>229</v>
      </c>
      <c r="B3" t="s">
        <v>232</v>
      </c>
      <c r="C3" t="s">
        <v>230</v>
      </c>
      <c r="D3" t="s">
        <v>399</v>
      </c>
      <c r="E3" t="s">
        <v>399</v>
      </c>
      <c r="F3">
        <v>22</v>
      </c>
      <c r="G3" t="s">
        <v>400</v>
      </c>
      <c r="H3" t="s">
        <v>401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16" customWidth="1"/>
    <col min="3" max="4" width="14" customWidth="1"/>
    <col min="5" max="7" width="18" customWidth="1"/>
    <col min="8" max="16" width="12" customWidth="1"/>
  </cols>
  <sheetData>
    <row r="1" ht="30" customHeight="1" spans="1:5" x14ac:dyDescent="0.25">
      <c r="A1" s="10" t="s">
        <v>402</v>
      </c>
      <c r="B1" s="10"/>
      <c r="C1" s="10"/>
      <c r="D1" s="10"/>
      <c r="E1" s="10"/>
    </row>
    <row r="2" spans="1:5" x14ac:dyDescent="0.25">
      <c r="A2" s="11" t="s">
        <v>403</v>
      </c>
      <c r="B2" s="11"/>
      <c r="C2" s="11"/>
      <c r="D2" s="11"/>
      <c r="E2" s="11"/>
    </row>
    <row r="4" spans="1:2" x14ac:dyDescent="0.25">
      <c r="A4" s="12" t="s">
        <v>404</v>
      </c>
      <c r="B4" s="12"/>
    </row>
    <row r="5" spans="1:2" x14ac:dyDescent="0.25">
      <c r="A5" s="13" t="s">
        <v>405</v>
      </c>
      <c r="B5" s="14">
        <f>COUNTA('הערכת סיכונים'!$A$3:$A$74)</f>
      </c>
    </row>
    <row r="6" spans="1:2" x14ac:dyDescent="0.25">
      <c r="A6" s="13" t="s">
        <v>406</v>
      </c>
      <c r="B6" s="14">
        <f>COUNTIF('הערכת סיכונים'!$W$3:$W$74,"לא")</f>
      </c>
    </row>
    <row r="7" spans="1:2" x14ac:dyDescent="0.25">
      <c r="A7" s="13" t="s">
        <v>407</v>
      </c>
      <c r="B7" s="14">
        <f>COUNTIF('הערכת סיכונים'!$W$3:$W$74,"כן")</f>
      </c>
    </row>
    <row r="8" spans="1:2" x14ac:dyDescent="0.25">
      <c r="A8" s="13" t="s">
        <v>408</v>
      </c>
      <c r="B8" s="14">
        <f>COUNTIFS('הערכת סיכונים'!$S$3:$S$74,"קריטי",'הערכת סיכונים'!$W$3:$W$74,"לא")</f>
      </c>
    </row>
    <row r="9" spans="1:2" x14ac:dyDescent="0.25">
      <c r="A9" s="13" t="s">
        <v>409</v>
      </c>
      <c r="B9" s="14">
        <f>COUNTIFS('הערכת סיכונים'!$S$3:$S$74,"גבוה",'הערכת סיכונים'!$W$3:$W$74,"לא")</f>
      </c>
    </row>
    <row r="10" spans="1:2" x14ac:dyDescent="0.25">
      <c r="A10" s="13" t="s">
        <v>410</v>
      </c>
      <c r="B10" s="15">
        <f>IFERROR(AVERAGEIFS('הערכת סיכונים'!$R$3:$R$74,'הערכת סיכונים'!$W$3:$W$74,"לא",'הערכת סיכונים'!$R$3:$R$74,"&gt;0"),0)</f>
      </c>
    </row>
    <row r="11" spans="1:2" x14ac:dyDescent="0.25">
      <c r="A11" s="13" t="s">
        <v>411</v>
      </c>
      <c r="B11" s="15">
        <f>IFERROR(AVERAGEIFS('הערכת סיכונים'!$J$3:$J$74,'הערכת סיכונים'!$W$3:$W$74,"לא",'הערכת סיכונים'!$J$3:$J$74,"&gt;0"),0)</f>
      </c>
    </row>
    <row r="12" spans="1:2" x14ac:dyDescent="0.25">
      <c r="A12" s="13" t="s">
        <v>412</v>
      </c>
      <c r="B12" s="15">
        <f>IFERROR(AVERAGEIFS('הערכת סיכונים'!$P$3:$P$74,'הערכת סיכונים'!$W$3:$W$74,"לא",'הערכת סיכונים'!$P$3:$P$74,"&gt;0"),0)</f>
      </c>
    </row>
    <row r="13" spans="1:2" x14ac:dyDescent="0.25">
      <c r="A13" s="13" t="s">
        <v>413</v>
      </c>
      <c r="B13" s="16">
        <f>IFERROR(ROUND((SUMIFS('הערכת סיכונים'!$J$3:$J$74,'הערכת סיכונים'!$W$3:$W$74,"לא")-SUMIFS('הערכת סיכונים'!$R$3:$R$74,'הערכת סיכונים'!$W$3:$W$74,"לא"))/SUMIFS('הערכת סיכונים'!$J$3:$J$74,'הערכת סיכונים'!$W$3:$W$74,"לא")*100,0),0)</f>
      </c>
    </row>
    <row r="14" spans="1:2" x14ac:dyDescent="0.25">
      <c r="A14" s="13" t="s">
        <v>414</v>
      </c>
      <c r="B14" s="14">
        <f>COUNTIFS('הערכת סיכונים'!$T$3:$T$74,"הושלם",'הערכת סיכונים'!$W$3:$W$74,"לא")</f>
      </c>
    </row>
    <row r="15" spans="1:2" x14ac:dyDescent="0.25">
      <c r="A15" s="13" t="s">
        <v>41</v>
      </c>
      <c r="B15" s="14">
        <f>COUNTIFS('הערכת סיכונים'!$T$3:$T$74,"בתהליך",'הערכת סיכונים'!$W$3:$W$74,"לא")</f>
      </c>
    </row>
    <row r="16" spans="1:2" x14ac:dyDescent="0.25">
      <c r="A16" s="13" t="s">
        <v>415</v>
      </c>
      <c r="B16" s="14">
        <f>COUNTIFS('הערכת סיכונים'!$T$3:$T$74,"לא התחיל",'הערכת סיכונים'!$W$3:$W$74,"לא")</f>
      </c>
    </row>
    <row r="17" spans="1:2" x14ac:dyDescent="0.25">
      <c r="A17" s="13" t="s">
        <v>416</v>
      </c>
      <c r="B17" s="16">
        <f>IFERROR(ROUND((COUNTIFS('הערכת סיכונים'!$T$3:$T$74,"הושלם",'הערכת סיכונים'!$W$3:$W$74,"לא")*100+COUNTIFS('הערכת סיכונים'!$T$3:$T$74,"בתהליך",'הערכת סיכונים'!$W$3:$W$74,"לא")*50)/COUNTIF('הערכת סיכונים'!$W$3:$W$74,"לא"),0),0)</f>
      </c>
    </row>
    <row r="19" spans="1:5" x14ac:dyDescent="0.25">
      <c r="A19" s="12" t="s">
        <v>417</v>
      </c>
      <c r="B19" s="12"/>
      <c r="C19" s="12"/>
      <c r="D19" s="12"/>
      <c r="E19" s="12"/>
    </row>
    <row r="20" spans="1:5" x14ac:dyDescent="0.25">
      <c r="A20" s="4" t="s">
        <v>418</v>
      </c>
      <c r="B20" s="4" t="s">
        <v>419</v>
      </c>
      <c r="C20" s="4" t="s">
        <v>420</v>
      </c>
      <c r="D20" s="4" t="s">
        <v>421</v>
      </c>
      <c r="E20" t="s">
        <v>37</v>
      </c>
    </row>
    <row r="21" spans="1:4" x14ac:dyDescent="0.25">
      <c r="A21" s="17" t="s">
        <v>422</v>
      </c>
      <c r="B21" s="18">
        <f>COUNTIFS('הערכת סיכונים'!$K$3:$K$74,"קריטי",'הערכת סיכונים'!$W$3:$W$74,"לא")</f>
      </c>
      <c r="C21" s="18">
        <f>COUNTIFS('הערכת סיכונים'!$Q$3:$Q$74,"קריטי",'הערכת סיכונים'!$W$3:$W$74,"לא")</f>
      </c>
      <c r="D21" s="18">
        <f>COUNTIFS('הערכת סיכונים'!$S$3:$S$74,"קריטי",'הערכת סיכונים'!$W$3:$W$74,"לא")</f>
      </c>
    </row>
    <row r="22" spans="1:4" x14ac:dyDescent="0.25">
      <c r="A22" s="19" t="s">
        <v>423</v>
      </c>
      <c r="B22" s="20">
        <f>COUNTIFS('הערכת סיכונים'!$K$3:$K$74,"גבוה",'הערכת סיכונים'!$W$3:$W$74,"לא")</f>
      </c>
      <c r="C22" s="20">
        <f>COUNTIFS('הערכת סיכונים'!$Q$3:$Q$74,"גבוה",'הערכת סיכונים'!$W$3:$W$74,"לא")</f>
      </c>
      <c r="D22" s="20">
        <f>COUNTIFS('הערכת סיכונים'!$S$3:$S$74,"גבוה",'הערכת סיכונים'!$W$3:$W$74,"לא")</f>
      </c>
    </row>
    <row r="23" spans="1:4" x14ac:dyDescent="0.25">
      <c r="A23" s="21" t="s">
        <v>130</v>
      </c>
      <c r="B23" s="22">
        <f>COUNTIFS('הערכת סיכונים'!$K$3:$K$74,"בינוני",'הערכת סיכונים'!$W$3:$W$74,"לא")</f>
      </c>
      <c r="C23" s="22">
        <f>COUNTIFS('הערכת סיכונים'!$Q$3:$Q$74,"בינוני",'הערכת סיכונים'!$W$3:$W$74,"לא")</f>
      </c>
      <c r="D23" s="22">
        <f>COUNTIFS('הערכת סיכונים'!$S$3:$S$74,"בינוני",'הערכת סיכונים'!$W$3:$W$74,"לא")</f>
      </c>
    </row>
    <row r="24" spans="1:4" x14ac:dyDescent="0.25">
      <c r="A24" s="23" t="s">
        <v>424</v>
      </c>
      <c r="B24" s="24">
        <f>COUNTIFS('הערכת סיכונים'!$K$3:$K$74,"נמוך",'הערכת סיכונים'!$W$3:$W$74,"לא")</f>
      </c>
      <c r="C24" s="24">
        <f>COUNTIFS('הערכת סיכונים'!$Q$3:$Q$74,"נמוך",'הערכת סיכונים'!$W$3:$W$74,"לא")</f>
      </c>
      <c r="D24" s="24">
        <f>COUNTIFS('הערכת סיכונים'!$S$3:$S$74,"נמוך",'הערכת סיכונים'!$W$3:$W$74,"לא")</f>
      </c>
    </row>
    <row r="26" spans="1:2" x14ac:dyDescent="0.25">
      <c r="A26" s="12" t="s">
        <v>425</v>
      </c>
      <c r="B26" s="12"/>
    </row>
    <row r="27" spans="1:2" x14ac:dyDescent="0.25">
      <c r="A27" s="4" t="s">
        <v>20</v>
      </c>
      <c r="B27" s="4" t="s">
        <v>426</v>
      </c>
    </row>
    <row r="28" spans="1:2" x14ac:dyDescent="0.25">
      <c r="A28" t="s">
        <v>239</v>
      </c>
      <c r="B28" s="25">
        <f>COUNTIFS('הערכת סיכונים'!$T$3:$T$74,"הושלם",'הערכת סיכונים'!$W$3:$W$74,"לא")</f>
      </c>
    </row>
    <row r="29" spans="1:2" x14ac:dyDescent="0.25">
      <c r="A29" t="s">
        <v>41</v>
      </c>
      <c r="B29" s="25">
        <f>COUNTIFS('הערכת סיכונים'!$T$3:$T$74,"בתהליך",'הערכת סיכונים'!$W$3:$W$74,"לא")</f>
      </c>
    </row>
    <row r="30" spans="1:2" x14ac:dyDescent="0.25">
      <c r="A30" t="s">
        <v>55</v>
      </c>
      <c r="B30" s="25">
        <f>COUNTIFS('הערכת סיכונים'!$T$3:$T$74,"לא התחיל",'הערכת סיכונים'!$W$3:$W$74,"לא")</f>
      </c>
    </row>
    <row r="32" spans="1:2" x14ac:dyDescent="0.25">
      <c r="A32" s="12" t="s">
        <v>427</v>
      </c>
      <c r="B32" s="12"/>
    </row>
    <row r="33" spans="1:2" x14ac:dyDescent="0.25">
      <c r="A33" s="4" t="s">
        <v>428</v>
      </c>
      <c r="B33" s="4" t="s">
        <v>426</v>
      </c>
    </row>
    <row r="34" spans="1:2" x14ac:dyDescent="0.25">
      <c r="A34" t="s">
        <v>49</v>
      </c>
      <c r="B34" s="25">
        <f>COUNTIFS('הערכת סיכונים'!$V$3:$V$74,"הפחתת סיכון",'הערכת סיכונים'!$W$3:$W$74,"לא")</f>
      </c>
    </row>
    <row r="35" spans="1:2" x14ac:dyDescent="0.25">
      <c r="A35" t="s">
        <v>429</v>
      </c>
      <c r="B35" s="25">
        <f>COUNTIFS('הערכת סיכונים'!$V$3:$V$74,"העברת הסיכון",'הערכת סיכונים'!$W$3:$W$74,"לא")</f>
      </c>
    </row>
    <row r="36" spans="1:2" x14ac:dyDescent="0.25">
      <c r="A36" t="s">
        <v>212</v>
      </c>
      <c r="B36" s="25">
        <f>COUNTIFS('הערכת סיכונים'!$V$3:$V$74,"קבלת הסיכון",'הערכת סיכונים'!$W$3:$W$74,"לא")</f>
      </c>
    </row>
    <row r="37" spans="1:2" x14ac:dyDescent="0.25">
      <c r="A37" t="s">
        <v>430</v>
      </c>
      <c r="B37" s="25">
        <f>COUNTIFS('הערכת סיכונים'!$V$3:$V$74,"הימנעות מהסיכון",'הערכת סיכונים'!$W$3:$W$74,"לא")</f>
      </c>
    </row>
    <row r="38" spans="1:2" x14ac:dyDescent="0.25">
      <c r="A38" t="s">
        <v>431</v>
      </c>
      <c r="B38" s="25">
        <f>COUNTIFS('הערכת סיכונים'!$V$3:$V$74,"",'הערכת סיכונים'!$W$3:$W$74,"לא")</f>
      </c>
    </row>
    <row r="40" spans="1:7" x14ac:dyDescent="0.25">
      <c r="A40" s="12" t="s">
        <v>432</v>
      </c>
      <c r="B40" s="12"/>
      <c r="C40" s="12"/>
      <c r="D40" s="12"/>
      <c r="E40" s="12"/>
      <c r="F40" s="12"/>
      <c r="G40" s="12"/>
    </row>
    <row r="41" spans="1:7" x14ac:dyDescent="0.25">
      <c r="A41" s="4" t="s">
        <v>368</v>
      </c>
      <c r="B41" s="4" t="s">
        <v>433</v>
      </c>
      <c r="C41" s="4" t="s">
        <v>434</v>
      </c>
      <c r="D41" s="4" t="s">
        <v>435</v>
      </c>
      <c r="E41" s="4" t="s">
        <v>411</v>
      </c>
      <c r="F41" s="4" t="s">
        <v>436</v>
      </c>
      <c r="G41" s="4" t="s">
        <v>26</v>
      </c>
    </row>
    <row r="42" spans="1:7" x14ac:dyDescent="0.25">
      <c r="A42" s="26" t="s">
        <v>34</v>
      </c>
      <c r="B42" s="25">
        <f>COUNTIFS('הערכת סיכונים'!$B$3:$B$74,"ממשל וניהול סיכונים",'הערכת סיכונים'!$W$3:$W$74,"לא")</f>
      </c>
      <c r="C42" s="25">
        <f>COUNTIFS('הערכת סיכונים'!$B$3:$B$74,"ממשל וניהול סיכונים",'הערכת סיכונים'!$S$3:$S$74,"קריטי",'הערכת סיכונים'!$W$3:$W$74,"לא")</f>
      </c>
      <c r="D42" s="25">
        <f>COUNTIFS('הערכת סיכונים'!$B$3:$B$74,"ממשל וניהול סיכונים",'הערכת סיכונים'!$S$3:$S$74,"גבוה",'הערכת סיכונים'!$W$3:$W$74,"לא")</f>
      </c>
      <c r="E42" s="27">
        <f>IFERROR(AVERAGEIFS('הערכת סיכונים'!$J$3:$J$74,'הערכת סיכונים'!$B$3:$B$74,"ממשל וניהול סיכונים",'הערכת סיכונים'!$W$3:$W$74,"לא",'הערכת סיכונים'!$J$3:$J$74,"&gt;0"),0)</f>
      </c>
      <c r="F42" s="27">
        <f>IFERROR(AVERAGEIFS('הערכת סיכונים'!$R$3:$R$74,'הערכת סיכונים'!$B$3:$B$74,"ממשל וניהול סיכונים",'הערכת סיכונים'!$W$3:$W$74,"לא",'הערכת סיכונים'!$R$3:$R$74,"&gt;0"),0)</f>
      </c>
      <c r="G42" s="28">
        <f>IFERROR(AVERAGEIFS('הערכת סיכונים'!$Z$3:$Z$74,'הערכת סיכונים'!$B$3:$B$74,"ממשל וניהול סיכונים",'הערכת סיכונים'!$W$3:$W$74,"לא"),0)</f>
      </c>
    </row>
    <row r="43" spans="1:7" x14ac:dyDescent="0.25">
      <c r="A43" s="26" t="s">
        <v>88</v>
      </c>
      <c r="B43" s="25">
        <f>COUNTIFS('הערכת סיכונים'!$B$3:$B$74,"זיהוי ומיפוי נכסים",'הערכת סיכונים'!$W$3:$W$74,"לא")</f>
      </c>
      <c r="C43" s="25">
        <f>COUNTIFS('הערכת סיכונים'!$B$3:$B$74,"זיהוי ומיפוי נכסים",'הערכת סיכונים'!$S$3:$S$74,"קריטי",'הערכת סיכונים'!$W$3:$W$74,"לא")</f>
      </c>
      <c r="D43" s="25">
        <f>COUNTIFS('הערכת סיכונים'!$B$3:$B$74,"זיהוי ומיפוי נכסים",'הערכת סיכונים'!$S$3:$S$74,"גבוה",'הערכת סיכונים'!$W$3:$W$74,"לא")</f>
      </c>
      <c r="E43" s="27">
        <f>IFERROR(AVERAGEIFS('הערכת סיכונים'!$J$3:$J$74,'הערכת סיכונים'!$B$3:$B$74,"זיהוי ומיפוי נכסים",'הערכת סיכונים'!$W$3:$W$74,"לא",'הערכת סיכונים'!$J$3:$J$74,"&gt;0"),0)</f>
      </c>
      <c r="F43" s="27">
        <f>IFERROR(AVERAGEIFS('הערכת סיכונים'!$R$3:$R$74,'הערכת סיכונים'!$B$3:$B$74,"זיהוי ומיפוי נכסים",'הערכת סיכונים'!$W$3:$W$74,"לא",'הערכת סיכונים'!$R$3:$R$74,"&gt;0"),0)</f>
      </c>
      <c r="G43" s="28">
        <f>IFERROR(AVERAGEIFS('הערכת סיכונים'!$Z$3:$Z$74,'הערכת סיכונים'!$B$3:$B$74,"זיהוי ומיפוי נכסים",'הערכת סיכונים'!$W$3:$W$74,"לא"),0)</f>
      </c>
    </row>
    <row r="44" spans="1:7" x14ac:dyDescent="0.25">
      <c r="A44" s="26" t="s">
        <v>120</v>
      </c>
      <c r="B44" s="25">
        <f>COUNTIFS('הערכת סיכונים'!$B$3:$B$74,"הגנה — גישה וזהות",'הערכת סיכונים'!$W$3:$W$74,"לא")</f>
      </c>
      <c r="C44" s="25">
        <f>COUNTIFS('הערכת סיכונים'!$B$3:$B$74,"הגנה — גישה וזהות",'הערכת סיכונים'!$S$3:$S$74,"קריטי",'הערכת סיכונים'!$W$3:$W$74,"לא")</f>
      </c>
      <c r="D44" s="25">
        <f>COUNTIFS('הערכת סיכונים'!$B$3:$B$74,"הגנה — גישה וזהות",'הערכת סיכונים'!$S$3:$S$74,"גבוה",'הערכת סיכונים'!$W$3:$W$74,"לא")</f>
      </c>
      <c r="E44" s="27">
        <f>IFERROR(AVERAGEIFS('הערכת סיכונים'!$J$3:$J$74,'הערכת סיכונים'!$B$3:$B$74,"הגנה — גישה וזהות",'הערכת סיכונים'!$W$3:$W$74,"לא",'הערכת סיכונים'!$J$3:$J$74,"&gt;0"),0)</f>
      </c>
      <c r="F44" s="27">
        <f>IFERROR(AVERAGEIFS('הערכת סיכונים'!$R$3:$R$74,'הערכת סיכונים'!$B$3:$B$74,"הגנה — גישה וזהות",'הערכת סיכונים'!$W$3:$W$74,"לא",'הערכת סיכונים'!$R$3:$R$74,"&gt;0"),0)</f>
      </c>
      <c r="G44" s="28">
        <f>IFERROR(AVERAGEIFS('הערכת סיכונים'!$Z$3:$Z$74,'הערכת סיכונים'!$B$3:$B$74,"הגנה — גישה וזהות",'הערכת סיכונים'!$W$3:$W$74,"לא"),0)</f>
      </c>
    </row>
    <row r="45" spans="1:7" x14ac:dyDescent="0.25">
      <c r="A45" s="26" t="s">
        <v>149</v>
      </c>
      <c r="B45" s="25">
        <f>COUNTIFS('הערכת סיכונים'!$B$3:$B$74,"הגנה — רשת ותשתית",'הערכת סיכונים'!$W$3:$W$74,"לא")</f>
      </c>
      <c r="C45" s="25">
        <f>COUNTIFS('הערכת סיכונים'!$B$3:$B$74,"הגנה — רשת ותשתית",'הערכת סיכונים'!$S$3:$S$74,"קריטי",'הערכת סיכונים'!$W$3:$W$74,"לא")</f>
      </c>
      <c r="D45" s="25">
        <f>COUNTIFS('הערכת סיכונים'!$B$3:$B$74,"הגנה — רשת ותשתית",'הערכת סיכונים'!$S$3:$S$74,"גבוה",'הערכת סיכונים'!$W$3:$W$74,"לא")</f>
      </c>
      <c r="E45" s="27">
        <f>IFERROR(AVERAGEIFS('הערכת סיכונים'!$J$3:$J$74,'הערכת סיכונים'!$B$3:$B$74,"הגנה — רשת ותשתית",'הערכת סיכונים'!$W$3:$W$74,"לא",'הערכת סיכונים'!$J$3:$J$74,"&gt;0"),0)</f>
      </c>
      <c r="F45" s="27">
        <f>IFERROR(AVERAGEIFS('הערכת סיכונים'!$R$3:$R$74,'הערכת סיכונים'!$B$3:$B$74,"הגנה — רשת ותשתית",'הערכת סיכונים'!$W$3:$W$74,"לא",'הערכת סיכונים'!$R$3:$R$74,"&gt;0"),0)</f>
      </c>
      <c r="G45" s="28">
        <f>IFERROR(AVERAGEIFS('הערכת סיכונים'!$Z$3:$Z$74,'הערכת סיכונים'!$B$3:$B$74,"הגנה — רשת ותשתית",'הערכת סיכונים'!$W$3:$W$74,"לא"),0)</f>
      </c>
    </row>
    <row r="46" spans="1:7" x14ac:dyDescent="0.25">
      <c r="A46" s="26" t="s">
        <v>179</v>
      </c>
      <c r="B46" s="25">
        <f>COUNTIFS('הערכת סיכונים'!$B$3:$B$74,"הגנה — קצה ושרתים",'הערכת סיכונים'!$W$3:$W$74,"לא")</f>
      </c>
      <c r="C46" s="25">
        <f>COUNTIFS('הערכת סיכונים'!$B$3:$B$74,"הגנה — קצה ושרתים",'הערכת סיכונים'!$S$3:$S$74,"קריטי",'הערכת סיכונים'!$W$3:$W$74,"לא")</f>
      </c>
      <c r="D46" s="25">
        <f>COUNTIFS('הערכת סיכונים'!$B$3:$B$74,"הגנה — קצה ושרתים",'הערכת סיכונים'!$S$3:$S$74,"גבוה",'הערכת סיכונים'!$W$3:$W$74,"לא")</f>
      </c>
      <c r="E46" s="27">
        <f>IFERROR(AVERAGEIFS('הערכת סיכונים'!$J$3:$J$74,'הערכת סיכונים'!$B$3:$B$74,"הגנה — קצה ושרתים",'הערכת סיכונים'!$W$3:$W$74,"לא",'הערכת סיכונים'!$J$3:$J$74,"&gt;0"),0)</f>
      </c>
      <c r="F46" s="27">
        <f>IFERROR(AVERAGEIFS('הערכת סיכונים'!$R$3:$R$74,'הערכת סיכונים'!$B$3:$B$74,"הגנה — קצה ושרתים",'הערכת סיכונים'!$W$3:$W$74,"לא",'הערכת סיכונים'!$R$3:$R$74,"&gt;0"),0)</f>
      </c>
      <c r="G46" s="28">
        <f>IFERROR(AVERAGEIFS('הערכת סיכונים'!$Z$3:$Z$74,'הערכת סיכונים'!$B$3:$B$74,"הגנה — קצה ושרתים",'הערכת סיכונים'!$W$3:$W$74,"לא"),0)</f>
      </c>
    </row>
    <row r="47" spans="1:7" x14ac:dyDescent="0.25">
      <c r="A47" s="26" t="s">
        <v>207</v>
      </c>
      <c r="B47" s="25">
        <f>COUNTIFS('הערכת סיכונים'!$B$3:$B$74,"הגנה — מידע",'הערכת סיכונים'!$W$3:$W$74,"לא")</f>
      </c>
      <c r="C47" s="25">
        <f>COUNTIFS('הערכת סיכונים'!$B$3:$B$74,"הגנה — מידע",'הערכת סיכונים'!$S$3:$S$74,"קריטי",'הערכת סיכונים'!$W$3:$W$74,"לא")</f>
      </c>
      <c r="D47" s="25">
        <f>COUNTIFS('הערכת סיכונים'!$B$3:$B$74,"הגנה — מידע",'הערכת סיכונים'!$S$3:$S$74,"גבוה",'הערכת סיכונים'!$W$3:$W$74,"לא")</f>
      </c>
      <c r="E47" s="27">
        <f>IFERROR(AVERAGEIFS('הערכת סיכונים'!$J$3:$J$74,'הערכת סיכונים'!$B$3:$B$74,"הגנה — מידע",'הערכת סיכונים'!$W$3:$W$74,"לא",'הערכת סיכונים'!$J$3:$J$74,"&gt;0"),0)</f>
      </c>
      <c r="F47" s="27">
        <f>IFERROR(AVERAGEIFS('הערכת סיכונים'!$R$3:$R$74,'הערכת סיכונים'!$B$3:$B$74,"הגנה — מידע",'הערכת סיכונים'!$W$3:$W$74,"לא",'הערכת סיכונים'!$R$3:$R$74,"&gt;0"),0)</f>
      </c>
      <c r="G47" s="28">
        <f>IFERROR(AVERAGEIFS('הערכת סיכונים'!$Z$3:$Z$74,'הערכת סיכונים'!$B$3:$B$74,"הגנה — מידע",'הערכת סיכונים'!$W$3:$W$74,"לא"),0)</f>
      </c>
    </row>
    <row r="48" spans="1:7" x14ac:dyDescent="0.25">
      <c r="A48" s="26" t="s">
        <v>230</v>
      </c>
      <c r="B48" s="25">
        <f>COUNTIFS('הערכת סיכונים'!$B$3:$B$74,"גילוי וניטור",'הערכת סיכונים'!$W$3:$W$74,"לא")</f>
      </c>
      <c r="C48" s="25">
        <f>COUNTIFS('הערכת סיכונים'!$B$3:$B$74,"גילוי וניטור",'הערכת סיכונים'!$S$3:$S$74,"קריטי",'הערכת סיכונים'!$W$3:$W$74,"לא")</f>
      </c>
      <c r="D48" s="25">
        <f>COUNTIFS('הערכת סיכונים'!$B$3:$B$74,"גילוי וניטור",'הערכת סיכונים'!$S$3:$S$74,"גבוה",'הערכת סיכונים'!$W$3:$W$74,"לא")</f>
      </c>
      <c r="E48" s="27">
        <f>IFERROR(AVERAGEIFS('הערכת סיכונים'!$J$3:$J$74,'הערכת סיכונים'!$B$3:$B$74,"גילוי וניטור",'הערכת סיכונים'!$W$3:$W$74,"לא",'הערכת סיכונים'!$J$3:$J$74,"&gt;0"),0)</f>
      </c>
      <c r="F48" s="27">
        <f>IFERROR(AVERAGEIFS('הערכת סיכונים'!$R$3:$R$74,'הערכת סיכונים'!$B$3:$B$74,"גילוי וניטור",'הערכת סיכונים'!$W$3:$W$74,"לא",'הערכת סיכונים'!$R$3:$R$74,"&gt;0"),0)</f>
      </c>
      <c r="G48" s="28">
        <f>IFERROR(AVERAGEIFS('הערכת סיכונים'!$Z$3:$Z$74,'הערכת סיכונים'!$B$3:$B$74,"גילוי וניטור",'הערכת סיכונים'!$W$3:$W$74,"לא"),0)</f>
      </c>
    </row>
    <row r="49" spans="1:7" x14ac:dyDescent="0.25">
      <c r="A49" s="26" t="s">
        <v>261</v>
      </c>
      <c r="B49" s="25">
        <f>COUNTIFS('הערכת סיכונים'!$B$3:$B$74,"תגובה לאירוע",'הערכת סיכונים'!$W$3:$W$74,"לא")</f>
      </c>
      <c r="C49" s="25">
        <f>COUNTIFS('הערכת סיכונים'!$B$3:$B$74,"תגובה לאירוע",'הערכת סיכונים'!$S$3:$S$74,"קריטי",'הערכת סיכונים'!$W$3:$W$74,"לא")</f>
      </c>
      <c r="D49" s="25">
        <f>COUNTIFS('הערכת סיכונים'!$B$3:$B$74,"תגובה לאירוע",'הערכת סיכונים'!$S$3:$S$74,"גבוה",'הערכת סיכונים'!$W$3:$W$74,"לא")</f>
      </c>
      <c r="E49" s="27">
        <f>IFERROR(AVERAGEIFS('הערכת סיכונים'!$J$3:$J$74,'הערכת סיכונים'!$B$3:$B$74,"תגובה לאירוע",'הערכת סיכונים'!$W$3:$W$74,"לא",'הערכת סיכונים'!$J$3:$J$74,"&gt;0"),0)</f>
      </c>
      <c r="F49" s="27">
        <f>IFERROR(AVERAGEIFS('הערכת סיכונים'!$R$3:$R$74,'הערכת סיכונים'!$B$3:$B$74,"תגובה לאירוע",'הערכת סיכונים'!$W$3:$W$74,"לא",'הערכת סיכונים'!$R$3:$R$74,"&gt;0"),0)</f>
      </c>
      <c r="G49" s="28">
        <f>IFERROR(AVERAGEIFS('הערכת סיכונים'!$Z$3:$Z$74,'הערכת סיכונים'!$B$3:$B$74,"תגובה לאירוע",'הערכת סיכונים'!$W$3:$W$74,"לא"),0)</f>
      </c>
    </row>
    <row r="50" spans="1:7" x14ac:dyDescent="0.25">
      <c r="A50" s="26" t="s">
        <v>291</v>
      </c>
      <c r="B50" s="25">
        <f>COUNTIFS('הערכת סיכונים'!$B$3:$B$74,"התאוששות",'הערכת סיכונים'!$W$3:$W$74,"לא")</f>
      </c>
      <c r="C50" s="25">
        <f>COUNTIFS('הערכת סיכונים'!$B$3:$B$74,"התאוששות",'הערכת סיכונים'!$S$3:$S$74,"קריטי",'הערכת סיכונים'!$W$3:$W$74,"לא")</f>
      </c>
      <c r="D50" s="25">
        <f>COUNTIFS('הערכת סיכונים'!$B$3:$B$74,"התאוששות",'הערכת סיכונים'!$S$3:$S$74,"גבוה",'הערכת סיכונים'!$W$3:$W$74,"לא")</f>
      </c>
      <c r="E50" s="27">
        <f>IFERROR(AVERAGEIFS('הערכת סיכונים'!$J$3:$J$74,'הערכת סיכונים'!$B$3:$B$74,"התאוששות",'הערכת סיכונים'!$W$3:$W$74,"לא",'הערכת סיכונים'!$J$3:$J$74,"&gt;0"),0)</f>
      </c>
      <c r="F50" s="27">
        <f>IFERROR(AVERAGEIFS('הערכת סיכונים'!$R$3:$R$74,'הערכת סיכונים'!$B$3:$B$74,"התאוששות",'הערכת סיכונים'!$W$3:$W$74,"לא",'הערכת סיכונים'!$R$3:$R$74,"&gt;0"),0)</f>
      </c>
      <c r="G50" s="28">
        <f>IFERROR(AVERAGEIFS('הערכת סיכונים'!$Z$3:$Z$74,'הערכת סיכונים'!$B$3:$B$74,"התאוששות",'הערכת סיכונים'!$W$3:$W$74,"לא"),0)</f>
      </c>
    </row>
    <row r="51" spans="1:7" x14ac:dyDescent="0.25">
      <c r="A51" s="26" t="s">
        <v>317</v>
      </c>
      <c r="B51" s="25">
        <f>COUNTIFS('הערכת סיכונים'!$B$3:$B$74,"מודעות והדרכה",'הערכת סיכונים'!$W$3:$W$74,"לא")</f>
      </c>
      <c r="C51" s="25">
        <f>COUNTIFS('הערכת סיכונים'!$B$3:$B$74,"מודעות והדרכה",'הערכת סיכונים'!$S$3:$S$74,"קריטי",'הערכת סיכונים'!$W$3:$W$74,"לא")</f>
      </c>
      <c r="D51" s="25">
        <f>COUNTIFS('הערכת סיכונים'!$B$3:$B$74,"מודעות והדרכה",'הערכת סיכונים'!$S$3:$S$74,"גבוה",'הערכת סיכונים'!$W$3:$W$74,"לא")</f>
      </c>
      <c r="E51" s="27">
        <f>IFERROR(AVERAGEIFS('הערכת סיכונים'!$J$3:$J$74,'הערכת סיכונים'!$B$3:$B$74,"מודעות והדרכה",'הערכת סיכונים'!$W$3:$W$74,"לא",'הערכת סיכונים'!$J$3:$J$74,"&gt;0"),0)</f>
      </c>
      <c r="F51" s="27">
        <f>IFERROR(AVERAGEIFS('הערכת סיכונים'!$R$3:$R$74,'הערכת סיכונים'!$B$3:$B$74,"מודעות והדרכה",'הערכת סיכונים'!$W$3:$W$74,"לא",'הערכת סיכונים'!$R$3:$R$74,"&gt;0"),0)</f>
      </c>
      <c r="G51" s="28">
        <f>IFERROR(AVERAGEIFS('הערכת סיכונים'!$Z$3:$Z$74,'הערכת סיכונים'!$B$3:$B$74,"מודעות והדרכה",'הערכת סיכונים'!$W$3:$W$74,"לא"),0)</f>
      </c>
    </row>
    <row r="52" spans="1:7" x14ac:dyDescent="0.25">
      <c r="A52" s="26" t="s">
        <v>331</v>
      </c>
      <c r="B52" s="25">
        <f>COUNTIFS('הערכת סיכונים'!$B$3:$B$74,"שרשרת אספקה וצד ג'",'הערכת סיכונים'!$W$3:$W$74,"לא")</f>
      </c>
      <c r="C52" s="25">
        <f>COUNTIFS('הערכת סיכונים'!$B$3:$B$74,"שרשרת אספקה וצד ג'",'הערכת סיכונים'!$S$3:$S$74,"קריטי",'הערכת סיכונים'!$W$3:$W$74,"לא")</f>
      </c>
      <c r="D52" s="25">
        <f>COUNTIFS('הערכת סיכונים'!$B$3:$B$74,"שרשרת אספקה וצד ג'",'הערכת סיכונים'!$S$3:$S$74,"גבוה",'הערכת סיכונים'!$W$3:$W$74,"לא")</f>
      </c>
      <c r="E52" s="27">
        <f>IFERROR(AVERAGEIFS('הערכת סיכונים'!$J$3:$J$74,'הערכת סיכונים'!$B$3:$B$74,"שרשרת אספקה וצד ג'",'הערכת סיכונים'!$W$3:$W$74,"לא",'הערכת סיכונים'!$J$3:$J$74,"&gt;0"),0)</f>
      </c>
      <c r="F52" s="27">
        <f>IFERROR(AVERAGEIFS('הערכת סיכונים'!$R$3:$R$74,'הערכת סיכונים'!$B$3:$B$74,"שרשרת אספקה וצד ג'",'הערכת סיכונים'!$W$3:$W$74,"לא",'הערכת סיכונים'!$R$3:$R$74,"&gt;0"),0)</f>
      </c>
      <c r="G52" s="28">
        <f>IFERROR(AVERAGEIFS('הערכת סיכונים'!$Z$3:$Z$74,'הערכת סיכונים'!$B$3:$B$74,"שרשרת אספקה וצד ג'",'הערכת סיכונים'!$W$3:$W$74,"לא"),0)</f>
      </c>
    </row>
    <row r="53" spans="1:7" x14ac:dyDescent="0.25">
      <c r="A53" s="26" t="s">
        <v>353</v>
      </c>
      <c r="B53" s="25">
        <f>COUNTIFS('הערכת סיכונים'!$B$3:$B$74,"הגנה פיזית",'הערכת סיכונים'!$W$3:$W$74,"לא")</f>
      </c>
      <c r="C53" s="25">
        <f>COUNTIFS('הערכת סיכונים'!$B$3:$B$74,"הגנה פיזית",'הערכת סיכונים'!$S$3:$S$74,"קריטי",'הערכת סיכונים'!$W$3:$W$74,"לא")</f>
      </c>
      <c r="D53" s="25">
        <f>COUNTIFS('הערכת סיכונים'!$B$3:$B$74,"הגנה פיזית",'הערכת סיכונים'!$S$3:$S$74,"גבוה",'הערכת סיכונים'!$W$3:$W$74,"לא")</f>
      </c>
      <c r="E53" s="27">
        <f>IFERROR(AVERAGEIFS('הערכת סיכונים'!$J$3:$J$74,'הערכת סיכונים'!$B$3:$B$74,"הגנה פיזית",'הערכת סיכונים'!$W$3:$W$74,"לא",'הערכת סיכונים'!$J$3:$J$74,"&gt;0"),0)</f>
      </c>
      <c r="F53" s="27">
        <f>IFERROR(AVERAGEIFS('הערכת סיכונים'!$R$3:$R$74,'הערכת סיכונים'!$B$3:$B$74,"הגנה פיזית",'הערכת סיכונים'!$W$3:$W$74,"לא",'הערכת סיכונים'!$R$3:$R$74,"&gt;0"),0)</f>
      </c>
      <c r="G53" s="28">
        <f>IFERROR(AVERAGEIFS('הערכת סיכונים'!$Z$3:$Z$74,'הערכת סיכונים'!$B$3:$B$74,"הגנה פיזית",'הערכת סיכונים'!$W$3:$W$74,"לא"),0)</f>
      </c>
    </row>
    <row r="55" spans="1:2" x14ac:dyDescent="0.25">
      <c r="A55" s="12" t="s">
        <v>437</v>
      </c>
      <c r="B55" s="12"/>
    </row>
    <row r="56" spans="1:2" x14ac:dyDescent="0.25">
      <c r="A56" s="4" t="s">
        <v>438</v>
      </c>
      <c r="B56" s="4" t="s">
        <v>426</v>
      </c>
    </row>
    <row r="57" spans="1:2" x14ac:dyDescent="0.25">
      <c r="A57" t="s">
        <v>125</v>
      </c>
      <c r="B57" s="25">
        <f>COUNTIFS('הערכת סיכונים'!$AA$3:$AA$74,"קל",'הערכת סיכונים'!$W$3:$W$74,"לא")</f>
      </c>
    </row>
    <row r="58" spans="1:2" x14ac:dyDescent="0.25">
      <c r="A58" t="s">
        <v>130</v>
      </c>
      <c r="B58" s="25">
        <f>COUNTIFS('הערכת סיכונים'!$AA$3:$AA$74,"בינוני",'הערכת סיכונים'!$W$3:$W$74,"לא")</f>
      </c>
    </row>
    <row r="59" spans="1:2" x14ac:dyDescent="0.25">
      <c r="A59" t="s">
        <v>184</v>
      </c>
      <c r="B59" s="25">
        <f>COUNTIFS('הערכת סיכונים'!$AA$3:$AA$74,"מורכב",'הערכת סיכונים'!$W$3:$W$74,"לא")</f>
      </c>
    </row>
    <row r="60" spans="1:2" x14ac:dyDescent="0.25">
      <c r="A60" t="s">
        <v>439</v>
      </c>
      <c r="B60" s="25">
        <f>COUNTIFS('הערכת סיכונים'!$AA$3:$AA$74,"",'הערכת סיכונים'!$W$3:$W$74,"לא")</f>
      </c>
    </row>
    <row r="62" spans="1:2" x14ac:dyDescent="0.25">
      <c r="A62" s="12" t="s">
        <v>440</v>
      </c>
      <c r="B62" s="12"/>
    </row>
    <row r="63" spans="1:2" x14ac:dyDescent="0.25">
      <c r="A63" s="4" t="s">
        <v>29</v>
      </c>
      <c r="B63" s="4" t="s">
        <v>441</v>
      </c>
    </row>
    <row r="64" spans="1:2" x14ac:dyDescent="0.25">
      <c r="A64" t="s">
        <v>442</v>
      </c>
      <c r="B64" s="29">
        <f>SUMIFS('הערכת סיכונים'!$AB$3:$AB$74,'הערכת סיכונים'!$AC$3:$AC$74,"ILS",'הערכת סיכונים'!$AD$3:$AD$74,"לא",'הערכת סיכונים'!$W$3:$W$74,"לא")</f>
      </c>
    </row>
    <row r="65" spans="1:2" x14ac:dyDescent="0.25">
      <c r="A65" t="s">
        <v>443</v>
      </c>
      <c r="B65" s="29">
        <f>SUMIFS('הערכת סיכונים'!$AB$3:$AB$74,'הערכת סיכונים'!$AC$3:$AC$74,"USD",'הערכת סיכונים'!$AD$3:$AD$74,"לא",'הערכת סיכונים'!$W$3:$W$74,"לא")</f>
      </c>
    </row>
    <row r="66" spans="1:2" x14ac:dyDescent="0.25">
      <c r="A66" t="s">
        <v>444</v>
      </c>
      <c r="B66" s="29">
        <f>SUMIFS('הערכת סיכונים'!$AB$3:$AB$74,'הערכת סיכונים'!$AC$3:$AC$74,"EUR",'הערכת סיכונים'!$AD$3:$AD$74,"לא",'הערכת סיכונים'!$W$3:$W$74,"לא")</f>
      </c>
    </row>
  </sheetData>
  <mergeCells count="9">
    <mergeCell ref="A1:E1"/>
    <mergeCell ref="A2:E2"/>
    <mergeCell ref="A4:B4"/>
    <mergeCell ref="A19:E19"/>
    <mergeCell ref="A26:B26"/>
    <mergeCell ref="A32:B32"/>
    <mergeCell ref="A40:G40"/>
    <mergeCell ref="A55:B55"/>
    <mergeCell ref="A62:B62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הערכת סיכונים</vt:lpstr>
      <vt:lpstr>פעולות מיטיגציה</vt:lpstr>
      <vt:lpstr>משימות</vt:lpstr>
      <vt:lpstr>דשבורד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Ci-Sec</dc:creator>
  <dc:title/>
  <dc:subject/>
  <dc:description/>
  <cp:keywords/>
  <cp:category/>
  <cp:lastModifiedBy>Unknown</cp:lastModifiedBy>
  <dcterms:created xsi:type="dcterms:W3CDTF">2026-06-23T19:02:44Z</dcterms:created>
  <dcterms:modified xsi:type="dcterms:W3CDTF">2026-06-23T19:02:44Z</dcterms:modified>
</cp:coreProperties>
</file>