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w\Downloads\claude\Apps\Ci-Sec\v1\"/>
    </mc:Choice>
  </mc:AlternateContent>
  <bookViews>
    <workbookView xWindow="0" yWindow="0" windowWidth="16380" windowHeight="8190" tabRatio="500"/>
  </bookViews>
  <sheets>
    <sheet name="הערכת סיכונים" sheetId="1" r:id="rId1"/>
    <sheet name="נתוני_חישוב" sheetId="2" r:id="rId2"/>
    <sheet name="דשבורד מנהלים" sheetId="3" r:id="rId3"/>
  </sheets>
  <calcPr calcId="162913" iterateDelta="1E-4"/>
</workbook>
</file>

<file path=xl/calcChain.xml><?xml version="1.0" encoding="utf-8"?>
<calcChain xmlns="http://schemas.openxmlformats.org/spreadsheetml/2006/main">
  <c r="F16" i="3" l="1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Y6" i="3"/>
  <c r="U6" i="3"/>
  <c r="E6" i="3"/>
  <c r="A6" i="3"/>
  <c r="F4" i="2"/>
  <c r="W3" i="2"/>
  <c r="F3" i="2"/>
  <c r="W2" i="2"/>
  <c r="F2" i="2"/>
  <c r="P73" i="1"/>
  <c r="Q73" i="1" s="1"/>
  <c r="J73" i="1"/>
  <c r="V72" i="1"/>
  <c r="P72" i="1"/>
  <c r="J72" i="1"/>
  <c r="K72" i="1" s="1"/>
  <c r="P71" i="1"/>
  <c r="Q71" i="1" s="1"/>
  <c r="J71" i="1"/>
  <c r="K71" i="1" s="1"/>
  <c r="Q70" i="1"/>
  <c r="P70" i="1"/>
  <c r="J70" i="1"/>
  <c r="R70" i="1" s="1"/>
  <c r="S70" i="1" s="1"/>
  <c r="V70" i="1" s="1"/>
  <c r="P69" i="1"/>
  <c r="Q69" i="1" s="1"/>
  <c r="J69" i="1"/>
  <c r="K69" i="1" s="1"/>
  <c r="P68" i="1"/>
  <c r="Q68" i="1" s="1"/>
  <c r="J68" i="1"/>
  <c r="R68" i="1" s="1"/>
  <c r="S68" i="1" s="1"/>
  <c r="V68" i="1" s="1"/>
  <c r="P67" i="1"/>
  <c r="J67" i="1"/>
  <c r="K67" i="1" s="1"/>
  <c r="V66" i="1"/>
  <c r="P66" i="1"/>
  <c r="R66" i="1" s="1"/>
  <c r="S66" i="1" s="1"/>
  <c r="J66" i="1"/>
  <c r="K66" i="1" s="1"/>
  <c r="P65" i="1"/>
  <c r="Q65" i="1" s="1"/>
  <c r="J65" i="1"/>
  <c r="K65" i="1" s="1"/>
  <c r="P64" i="1"/>
  <c r="Q64" i="1" s="1"/>
  <c r="K64" i="1"/>
  <c r="J64" i="1"/>
  <c r="R64" i="1" s="1"/>
  <c r="S64" i="1" s="1"/>
  <c r="V64" i="1" s="1"/>
  <c r="P63" i="1"/>
  <c r="Q63" i="1" s="1"/>
  <c r="J63" i="1"/>
  <c r="P62" i="1"/>
  <c r="Q62" i="1" s="1"/>
  <c r="J62" i="1"/>
  <c r="R62" i="1" s="1"/>
  <c r="S62" i="1" s="1"/>
  <c r="V62" i="1" s="1"/>
  <c r="P61" i="1"/>
  <c r="Q61" i="1" s="1"/>
  <c r="J61" i="1"/>
  <c r="P60" i="1"/>
  <c r="Q60" i="1" s="1"/>
  <c r="J60" i="1"/>
  <c r="R60" i="1" s="1"/>
  <c r="S60" i="1" s="1"/>
  <c r="V60" i="1" s="1"/>
  <c r="R59" i="1"/>
  <c r="S59" i="1" s="1"/>
  <c r="V59" i="1" s="1"/>
  <c r="P59" i="1"/>
  <c r="Q59" i="1" s="1"/>
  <c r="J59" i="1"/>
  <c r="K59" i="1" s="1"/>
  <c r="P58" i="1"/>
  <c r="J58" i="1"/>
  <c r="I10" i="2" s="1"/>
  <c r="V57" i="1"/>
  <c r="P57" i="1"/>
  <c r="R57" i="1" s="1"/>
  <c r="S57" i="1" s="1"/>
  <c r="K57" i="1"/>
  <c r="J57" i="1"/>
  <c r="P56" i="1"/>
  <c r="Q56" i="1" s="1"/>
  <c r="J56" i="1"/>
  <c r="V55" i="1"/>
  <c r="P55" i="1"/>
  <c r="J55" i="1"/>
  <c r="K55" i="1" s="1"/>
  <c r="P54" i="1"/>
  <c r="Q54" i="1" s="1"/>
  <c r="J54" i="1"/>
  <c r="P53" i="1"/>
  <c r="Q53" i="1" s="1"/>
  <c r="J53" i="1"/>
  <c r="K53" i="1" s="1"/>
  <c r="V52" i="1"/>
  <c r="P52" i="1"/>
  <c r="R52" i="1" s="1"/>
  <c r="S52" i="1" s="1"/>
  <c r="J52" i="1"/>
  <c r="K52" i="1" s="1"/>
  <c r="V51" i="1"/>
  <c r="P51" i="1"/>
  <c r="R51" i="1" s="1"/>
  <c r="S51" i="1" s="1"/>
  <c r="J51" i="1"/>
  <c r="K51" i="1" s="1"/>
  <c r="V50" i="1"/>
  <c r="P50" i="1"/>
  <c r="R50" i="1" s="1"/>
  <c r="S50" i="1" s="1"/>
  <c r="K50" i="1"/>
  <c r="J50" i="1"/>
  <c r="V49" i="1"/>
  <c r="P49" i="1"/>
  <c r="R49" i="1" s="1"/>
  <c r="S49" i="1" s="1"/>
  <c r="J49" i="1"/>
  <c r="K49" i="1" s="1"/>
  <c r="P48" i="1"/>
  <c r="Q48" i="1" s="1"/>
  <c r="K48" i="1"/>
  <c r="J48" i="1"/>
  <c r="R48" i="1" s="1"/>
  <c r="S48" i="1" s="1"/>
  <c r="V48" i="1" s="1"/>
  <c r="P47" i="1"/>
  <c r="Q47" i="1" s="1"/>
  <c r="J47" i="1"/>
  <c r="R47" i="1" s="1"/>
  <c r="S47" i="1" s="1"/>
  <c r="V47" i="1" s="1"/>
  <c r="P46" i="1"/>
  <c r="Q46" i="1" s="1"/>
  <c r="K46" i="1"/>
  <c r="J46" i="1"/>
  <c r="V45" i="1"/>
  <c r="R45" i="1"/>
  <c r="S45" i="1" s="1"/>
  <c r="P45" i="1"/>
  <c r="Q45" i="1" s="1"/>
  <c r="J45" i="1"/>
  <c r="K45" i="1" s="1"/>
  <c r="R44" i="1"/>
  <c r="S44" i="1" s="1"/>
  <c r="V44" i="1" s="1"/>
  <c r="P44" i="1"/>
  <c r="Q44" i="1" s="1"/>
  <c r="K44" i="1"/>
  <c r="J44" i="1"/>
  <c r="V43" i="1"/>
  <c r="P43" i="1"/>
  <c r="Q43" i="1" s="1"/>
  <c r="J43" i="1"/>
  <c r="K43" i="1" s="1"/>
  <c r="P42" i="1"/>
  <c r="Q42" i="1" s="1"/>
  <c r="J42" i="1"/>
  <c r="R42" i="1" s="1"/>
  <c r="S42" i="1" s="1"/>
  <c r="V42" i="1" s="1"/>
  <c r="P41" i="1"/>
  <c r="Q41" i="1" s="1"/>
  <c r="J41" i="1"/>
  <c r="R41" i="1" s="1"/>
  <c r="S41" i="1" s="1"/>
  <c r="V41" i="1" s="1"/>
  <c r="P40" i="1"/>
  <c r="Q40" i="1" s="1"/>
  <c r="J40" i="1"/>
  <c r="R40" i="1" s="1"/>
  <c r="S40" i="1" s="1"/>
  <c r="V40" i="1" s="1"/>
  <c r="P39" i="1"/>
  <c r="Q39" i="1" s="1"/>
  <c r="J39" i="1"/>
  <c r="R39" i="1" s="1"/>
  <c r="S39" i="1" s="1"/>
  <c r="V39" i="1" s="1"/>
  <c r="P38" i="1"/>
  <c r="Q38" i="1" s="1"/>
  <c r="J38" i="1"/>
  <c r="V37" i="1"/>
  <c r="R37" i="1"/>
  <c r="S37" i="1" s="1"/>
  <c r="P37" i="1"/>
  <c r="Q37" i="1" s="1"/>
  <c r="J37" i="1"/>
  <c r="K37" i="1" s="1"/>
  <c r="V36" i="1"/>
  <c r="P36" i="1"/>
  <c r="Q36" i="1" s="1"/>
  <c r="J36" i="1"/>
  <c r="K36" i="1" s="1"/>
  <c r="P35" i="1"/>
  <c r="J35" i="1"/>
  <c r="K35" i="1" s="1"/>
  <c r="P34" i="1"/>
  <c r="Q34" i="1" s="1"/>
  <c r="J34" i="1"/>
  <c r="R34" i="1" s="1"/>
  <c r="S34" i="1" s="1"/>
  <c r="V34" i="1" s="1"/>
  <c r="R33" i="1"/>
  <c r="S33" i="1" s="1"/>
  <c r="V33" i="1" s="1"/>
  <c r="P33" i="1"/>
  <c r="Q33" i="1" s="1"/>
  <c r="J33" i="1"/>
  <c r="K33" i="1" s="1"/>
  <c r="P32" i="1"/>
  <c r="Q32" i="1" s="1"/>
  <c r="J32" i="1"/>
  <c r="V31" i="1"/>
  <c r="P31" i="1"/>
  <c r="J31" i="1"/>
  <c r="K31" i="1" s="1"/>
  <c r="V30" i="1"/>
  <c r="P30" i="1"/>
  <c r="R30" i="1" s="1"/>
  <c r="S30" i="1" s="1"/>
  <c r="J30" i="1"/>
  <c r="K30" i="1" s="1"/>
  <c r="V29" i="1"/>
  <c r="R29" i="1"/>
  <c r="S29" i="1" s="1"/>
  <c r="P29" i="1"/>
  <c r="Q29" i="1" s="1"/>
  <c r="J29" i="1"/>
  <c r="K29" i="1" s="1"/>
  <c r="P28" i="1"/>
  <c r="Q28" i="1" s="1"/>
  <c r="J28" i="1"/>
  <c r="R28" i="1" s="1"/>
  <c r="S28" i="1" s="1"/>
  <c r="V28" i="1" s="1"/>
  <c r="R27" i="1"/>
  <c r="S27" i="1" s="1"/>
  <c r="V27" i="1" s="1"/>
  <c r="P27" i="1"/>
  <c r="Q27" i="1" s="1"/>
  <c r="J27" i="1"/>
  <c r="K27" i="1" s="1"/>
  <c r="P26" i="1"/>
  <c r="Q26" i="1" s="1"/>
  <c r="J26" i="1"/>
  <c r="R26" i="1" s="1"/>
  <c r="S26" i="1" s="1"/>
  <c r="V26" i="1" s="1"/>
  <c r="V25" i="1"/>
  <c r="P25" i="1"/>
  <c r="J25" i="1"/>
  <c r="P24" i="1"/>
  <c r="Q24" i="1" s="1"/>
  <c r="J24" i="1"/>
  <c r="R24" i="1" s="1"/>
  <c r="S24" i="1" s="1"/>
  <c r="V24" i="1" s="1"/>
  <c r="P23" i="1"/>
  <c r="Q23" i="1" s="1"/>
  <c r="J23" i="1"/>
  <c r="R23" i="1" s="1"/>
  <c r="S23" i="1" s="1"/>
  <c r="V23" i="1" s="1"/>
  <c r="P22" i="1"/>
  <c r="Q22" i="1" s="1"/>
  <c r="J22" i="1"/>
  <c r="P21" i="1"/>
  <c r="Q21" i="1" s="1"/>
  <c r="J21" i="1"/>
  <c r="K21" i="1" s="1"/>
  <c r="R20" i="1"/>
  <c r="S20" i="1" s="1"/>
  <c r="V20" i="1" s="1"/>
  <c r="Q20" i="1"/>
  <c r="P20" i="1"/>
  <c r="J20" i="1"/>
  <c r="K20" i="1" s="1"/>
  <c r="V19" i="1"/>
  <c r="P19" i="1"/>
  <c r="R19" i="1" s="1"/>
  <c r="S19" i="1" s="1"/>
  <c r="J19" i="1"/>
  <c r="K19" i="1" s="1"/>
  <c r="P18" i="1"/>
  <c r="Q18" i="1" s="1"/>
  <c r="J18" i="1"/>
  <c r="K18" i="1" s="1"/>
  <c r="P17" i="1"/>
  <c r="J17" i="1"/>
  <c r="K17" i="1" s="1"/>
  <c r="V16" i="1"/>
  <c r="P16" i="1"/>
  <c r="J16" i="1"/>
  <c r="K16" i="1" s="1"/>
  <c r="P15" i="1"/>
  <c r="Q15" i="1" s="1"/>
  <c r="J15" i="1"/>
  <c r="R15" i="1" s="1"/>
  <c r="S15" i="1" s="1"/>
  <c r="V15" i="1" s="1"/>
  <c r="P14" i="1"/>
  <c r="Q14" i="1" s="1"/>
  <c r="J14" i="1"/>
  <c r="R14" i="1" s="1"/>
  <c r="S14" i="1" s="1"/>
  <c r="V14" i="1" s="1"/>
  <c r="P13" i="1"/>
  <c r="Q13" i="1" s="1"/>
  <c r="J13" i="1"/>
  <c r="P12" i="1"/>
  <c r="Q12" i="1" s="1"/>
  <c r="J12" i="1"/>
  <c r="R12" i="1" s="1"/>
  <c r="S12" i="1" s="1"/>
  <c r="V12" i="1" s="1"/>
  <c r="P11" i="1"/>
  <c r="R11" i="1" s="1"/>
  <c r="S11" i="1" s="1"/>
  <c r="V11" i="1" s="1"/>
  <c r="J11" i="1"/>
  <c r="K11" i="1" s="1"/>
  <c r="P10" i="1"/>
  <c r="K10" i="1"/>
  <c r="J10" i="1"/>
  <c r="P9" i="1"/>
  <c r="Q9" i="1" s="1"/>
  <c r="J9" i="1"/>
  <c r="R9" i="1" s="1"/>
  <c r="S9" i="1" s="1"/>
  <c r="V9" i="1" s="1"/>
  <c r="V8" i="1"/>
  <c r="P8" i="1"/>
  <c r="R8" i="1" s="1"/>
  <c r="S8" i="1" s="1"/>
  <c r="J8" i="1"/>
  <c r="K8" i="1" s="1"/>
  <c r="V7" i="1"/>
  <c r="P7" i="1"/>
  <c r="J7" i="1"/>
  <c r="P6" i="1"/>
  <c r="Q6" i="1" s="1"/>
  <c r="J6" i="1"/>
  <c r="V5" i="1"/>
  <c r="P5" i="1"/>
  <c r="Q5" i="1" s="1"/>
  <c r="J5" i="1"/>
  <c r="K5" i="1" s="1"/>
  <c r="P4" i="1"/>
  <c r="Q4" i="1" s="1"/>
  <c r="J4" i="1"/>
  <c r="K4" i="1" s="1"/>
  <c r="V3" i="1"/>
  <c r="P3" i="1"/>
  <c r="R3" i="1" s="1"/>
  <c r="S3" i="1" s="1"/>
  <c r="J3" i="1"/>
  <c r="K3" i="1" s="1"/>
  <c r="V2" i="1"/>
  <c r="P2" i="1"/>
  <c r="R2" i="1" s="1"/>
  <c r="S2" i="1" s="1"/>
  <c r="J2" i="1"/>
  <c r="K2" i="1" s="1"/>
  <c r="I2" i="2" l="1"/>
  <c r="Q11" i="1"/>
  <c r="K26" i="1"/>
  <c r="R43" i="1"/>
  <c r="S43" i="1" s="1"/>
  <c r="Q52" i="1"/>
  <c r="K34" i="1"/>
  <c r="R4" i="1"/>
  <c r="S4" i="1" s="1"/>
  <c r="V4" i="1" s="1"/>
  <c r="O2" i="2" s="1"/>
  <c r="Q6" i="3"/>
  <c r="K12" i="1"/>
  <c r="R21" i="1"/>
  <c r="S21" i="1" s="1"/>
  <c r="V21" i="1" s="1"/>
  <c r="Q30" i="1"/>
  <c r="R36" i="1"/>
  <c r="S36" i="1" s="1"/>
  <c r="K42" i="1"/>
  <c r="Q49" i="1"/>
  <c r="K58" i="1"/>
  <c r="K60" i="1"/>
  <c r="R65" i="1"/>
  <c r="S65" i="1" s="1"/>
  <c r="V65" i="1" s="1"/>
  <c r="K68" i="1"/>
  <c r="R73" i="1"/>
  <c r="S73" i="1" s="1"/>
  <c r="V73" i="1" s="1"/>
  <c r="R18" i="1"/>
  <c r="S18" i="1" s="1"/>
  <c r="V18" i="1" s="1"/>
  <c r="K28" i="1"/>
  <c r="R69" i="1"/>
  <c r="S69" i="1" s="1"/>
  <c r="V69" i="1" s="1"/>
  <c r="R17" i="1"/>
  <c r="S17" i="1" s="1"/>
  <c r="V17" i="1" s="1"/>
  <c r="I5" i="2"/>
  <c r="R58" i="1"/>
  <c r="S58" i="1" s="1"/>
  <c r="V58" i="1" s="1"/>
  <c r="R10" i="1"/>
  <c r="S10" i="1" s="1"/>
  <c r="V10" i="1" s="1"/>
  <c r="R53" i="1"/>
  <c r="S53" i="1" s="1"/>
  <c r="V53" i="1" s="1"/>
  <c r="Q58" i="1"/>
  <c r="R5" i="1"/>
  <c r="S5" i="1" s="1"/>
  <c r="R35" i="1"/>
  <c r="S35" i="1" s="1"/>
  <c r="V35" i="1" s="1"/>
  <c r="R46" i="1"/>
  <c r="S46" i="1" s="1"/>
  <c r="V46" i="1" s="1"/>
  <c r="Q19" i="1"/>
  <c r="K25" i="1"/>
  <c r="R67" i="1"/>
  <c r="S67" i="1" s="1"/>
  <c r="V67" i="1" s="1"/>
  <c r="Q67" i="1"/>
  <c r="K14" i="1"/>
  <c r="R25" i="1"/>
  <c r="S25" i="1" s="1"/>
  <c r="Q25" i="1"/>
  <c r="K7" i="1"/>
  <c r="R16" i="1"/>
  <c r="S16" i="1" s="1"/>
  <c r="T2" i="2" s="1"/>
  <c r="Q16" i="1"/>
  <c r="K23" i="1"/>
  <c r="R31" i="1"/>
  <c r="S31" i="1" s="1"/>
  <c r="Q31" i="1"/>
  <c r="R7" i="1"/>
  <c r="S7" i="1" s="1"/>
  <c r="Q7" i="1"/>
  <c r="Q35" i="1"/>
  <c r="K41" i="1"/>
  <c r="Q8" i="1"/>
  <c r="Q10" i="1"/>
  <c r="Q17" i="1"/>
  <c r="R38" i="1"/>
  <c r="S38" i="1" s="1"/>
  <c r="V38" i="1" s="1"/>
  <c r="I7" i="2"/>
  <c r="K38" i="1"/>
  <c r="R6" i="1"/>
  <c r="S6" i="1" s="1"/>
  <c r="V6" i="1" s="1"/>
  <c r="K6" i="1"/>
  <c r="R5" i="2" s="1"/>
  <c r="R22" i="1"/>
  <c r="S22" i="1" s="1"/>
  <c r="V22" i="1" s="1"/>
  <c r="K22" i="1"/>
  <c r="I6" i="2"/>
  <c r="R32" i="1"/>
  <c r="S32" i="1" s="1"/>
  <c r="V32" i="1" s="1"/>
  <c r="Q51" i="1"/>
  <c r="Q72" i="1"/>
  <c r="R72" i="1"/>
  <c r="S72" i="1" s="1"/>
  <c r="I3" i="2"/>
  <c r="K13" i="1"/>
  <c r="R13" i="1"/>
  <c r="S13" i="1" s="1"/>
  <c r="V13" i="1" s="1"/>
  <c r="K73" i="1"/>
  <c r="Q3" i="1"/>
  <c r="R71" i="1"/>
  <c r="S71" i="1" s="1"/>
  <c r="V71" i="1" s="1"/>
  <c r="I13" i="2"/>
  <c r="R54" i="1"/>
  <c r="S54" i="1" s="1"/>
  <c r="V54" i="1" s="1"/>
  <c r="K54" i="1"/>
  <c r="K9" i="1"/>
  <c r="K61" i="1"/>
  <c r="R61" i="1"/>
  <c r="S61" i="1" s="1"/>
  <c r="V61" i="1" s="1"/>
  <c r="K32" i="1"/>
  <c r="K39" i="1"/>
  <c r="I9" i="2"/>
  <c r="K62" i="1"/>
  <c r="R55" i="1"/>
  <c r="S55" i="1" s="1"/>
  <c r="Q55" i="1"/>
  <c r="Q57" i="1"/>
  <c r="K70" i="1"/>
  <c r="I12" i="2"/>
  <c r="Q2" i="1"/>
  <c r="K47" i="1"/>
  <c r="Q50" i="1"/>
  <c r="R56" i="1"/>
  <c r="S56" i="1" s="1"/>
  <c r="V56" i="1" s="1"/>
  <c r="R63" i="1"/>
  <c r="S63" i="1" s="1"/>
  <c r="V63" i="1" s="1"/>
  <c r="Q66" i="1"/>
  <c r="K15" i="1"/>
  <c r="K24" i="1"/>
  <c r="K40" i="1"/>
  <c r="K56" i="1"/>
  <c r="K63" i="1"/>
  <c r="I11" i="2"/>
  <c r="I4" i="2"/>
  <c r="I8" i="2"/>
  <c r="O4" i="2" l="1"/>
  <c r="I6" i="3"/>
  <c r="R3" i="2"/>
  <c r="O3" i="2"/>
  <c r="O5" i="2"/>
  <c r="B3" i="2"/>
  <c r="L4" i="2"/>
  <c r="T5" i="2"/>
  <c r="L5" i="2"/>
  <c r="L2" i="2"/>
  <c r="M6" i="3"/>
  <c r="R4" i="2"/>
  <c r="R2" i="2"/>
  <c r="T4" i="2"/>
  <c r="B5" i="2"/>
  <c r="T3" i="2"/>
  <c r="B4" i="2"/>
  <c r="S2" i="2"/>
  <c r="C4" i="2"/>
  <c r="C5" i="2"/>
  <c r="C3" i="2"/>
  <c r="S3" i="2"/>
  <c r="C2" i="2"/>
  <c r="S4" i="2"/>
  <c r="S5" i="2"/>
  <c r="B2" i="2"/>
  <c r="L3" i="2"/>
</calcChain>
</file>

<file path=xl/comments1.xml><?xml version="1.0" encoding="utf-8"?>
<comments xmlns="http://schemas.openxmlformats.org/spreadsheetml/2006/main">
  <authors>
    <author>Unknown Author</author>
  </authors>
  <commentList>
    <comment ref="J1" authorId="0" shapeId="0">
      <text>
        <r>
          <rPr>
            <sz val="11"/>
            <color theme="1"/>
            <rFont val="Calibri"/>
            <family val="2"/>
            <charset val="1"/>
          </rPr>
          <t>ציון = הסתברות × השפעה (1-25). ריק כאשר הבקרה לא רלוונטית.</t>
        </r>
      </text>
    </comment>
    <comment ref="W1" authorId="0" shapeId="0">
      <text>
        <r>
          <rPr>
            <sz val="11"/>
            <color theme="1"/>
            <rFont val="Calibri"/>
            <family val="2"/>
            <charset val="1"/>
          </rPr>
          <t>בחר 'כן' כדי לסמן את הבקרה כלא רלוונטית.
שורה כזו אפורה ומוחרגת אוטומטית מכל הספירות, הממוצעים, מפת החום והגרפים בדשבורד.</t>
        </r>
      </text>
    </comment>
  </commentList>
</comments>
</file>

<file path=xl/sharedStrings.xml><?xml version="1.0" encoding="utf-8"?>
<sst xmlns="http://schemas.openxmlformats.org/spreadsheetml/2006/main" count="812" uniqueCount="375">
  <si>
    <t>מזהה בקרה</t>
  </si>
  <si>
    <t>משפחת בקרה</t>
  </si>
  <si>
    <t>קוד משפחה</t>
  </si>
  <si>
    <t>שם הבקרה</t>
  </si>
  <si>
    <t>תיאור הבקרה</t>
  </si>
  <si>
    <t>תחום ברשת</t>
  </si>
  <si>
    <t>תרחיש איום/סיכון</t>
  </si>
  <si>
    <t>הסתברות (1-5)</t>
  </si>
  <si>
    <t>השפעה (1-5)</t>
  </si>
  <si>
    <t>ציון סיכון</t>
  </si>
  <si>
    <t>רמת סיכון</t>
  </si>
  <si>
    <t>מבצע (R)</t>
  </si>
  <si>
    <t>פעולות מיטיגציה</t>
  </si>
  <si>
    <t>הסתברות שיורית</t>
  </si>
  <si>
    <t>השפעה שיורית</t>
  </si>
  <si>
    <t>סיכון שיורי</t>
  </si>
  <si>
    <t>רמת סיכון שיורי</t>
  </si>
  <si>
    <t>סיכון נוכחי (לפי סטטוס)</t>
  </si>
  <si>
    <t>רמת סיכון נוכחי</t>
  </si>
  <si>
    <t>סטטוס</t>
  </si>
  <si>
    <t>תאריך יעד</t>
  </si>
  <si>
    <t>החלטת הנהלה לטיפול בסיכון</t>
  </si>
  <si>
    <t>בקרה לא רלוונטית</t>
  </si>
  <si>
    <t>GOV-01</t>
  </si>
  <si>
    <t>ממשל וניהול סיכונים</t>
  </si>
  <si>
    <t>אחריות ההנהלה להגנת הסייבר מעוגנת ומתוקשרת</t>
  </si>
  <si>
    <t>היעדר עיגון אחריות ניהולית להגנת סייבר עלול לגרום לפערים בקבלת החלטות, חוסר הקצאת משאבים וכשל מערכתי בהגנה על הארגון מפני מתקפות סייבר</t>
  </si>
  <si>
    <t>מנהל מערכת</t>
  </si>
  <si>
    <t>1. הגדרת ואישור מבנה ממשל סייבר ארגוני הכולל תפקידים ואחריות (NIST PM-1, PM-2)
2. עיגון אחריות ההנהלה בנהלים ובמסמכי מדיניות מאושרים (PM-13)
3. קיום סקירות הנהלה תקופתיות למצב הסייבר (PM-6)
4. מינוי נושא אחריות בכיר (Authorizing Official) לכל מערכת קריטית (CA-6)</t>
  </si>
  <si>
    <t>הושלם</t>
  </si>
  <si>
    <t>2026-12-31</t>
  </si>
  <si>
    <t>לא</t>
  </si>
  <si>
    <t>GOV-02</t>
  </si>
  <si>
    <t>מינוי ממונה הגנת סייבר (CISO) והגדרת סמכויותיו</t>
  </si>
  <si>
    <t>היעדר ממונה הגנת סייבר (CISO) בעל סמכויות מוגדרות עלול להוביל לחוסר אחידות בניהול אבטחת המידע, היעדר דמות מובילה לטיפול באירועים ופערים בממשק עם ההנהלה והרגולטור</t>
  </si>
  <si>
    <t>מהנדס אבטחה</t>
  </si>
  <si>
    <t>1. מינוי CISO/ממונה סייבר בכיר עם דיווח ישיר להנהלה (NIST PM-2)
2. הגדרת סמכויות, תחומי אחריות ומנדט פעולה בכתב (PM-1)
3. הקצאת צוות ומשאבים ייעודיים לממונה (PM-3)
4. שיבוץ CISO בפורום הנהלה ובוועדת סיכונים (PM-29)</t>
  </si>
  <si>
    <t>GOV-03</t>
  </si>
  <si>
    <t>מדיניות הגנת סייבר ארגונית נקבעת, מאושרת ומופצת</t>
  </si>
  <si>
    <t>היעדר מדיניות סייבר מאושרת ומופצת עלול לגרום לפעולה ללא הנחיות אחידות, חשיפת הארגון לאיומים שאינם מכוסים ואי-עמידה בדרישות רגולציה</t>
  </si>
  <si>
    <t>מהנדס רשת</t>
  </si>
  <si>
    <t>1. גיבוש מדיניות אבטחת מידע ארגונית מקיפה (NIST PL-1)
2. אישור המדיניות ע"י ההנהלה הבכירה והפצה לכלל הגורמים (PL-1)
3. סקירה ועדכון המדיניות לפחות אחת לשנה (PL-1)
4. פיתוח נהלים תומכים לכל משפחת בקרות (PL-2, PM-1)</t>
  </si>
  <si>
    <t>בתהליך</t>
  </si>
  <si>
    <t>GOV-04</t>
  </si>
  <si>
    <t>תהליך ניהול סיכוני סייבר מתמשך (לא חד-פעמי) מוטמע</t>
  </si>
  <si>
    <t>היעדר תהליך ניהול סיכונים מתמשך עלול לגרום להצטברות סיכונים בלתי מזוהים, אי-זיהוי איומים חדשים ופגיעות שלא טופלו, ולחשיפה הולכת וגדלה של הארגון</t>
  </si>
  <si>
    <t>מנהל IR</t>
  </si>
  <si>
    <t>1. הטמעת תהליך ניהול סיכונים מתמשך ומתועד (NIST RA-1, RA-3)
2. עדכון הערכת סיכונים לפחות אחת לשנה ובעקבות שינויים מהותיים (RA-3)
3. שילוב ניהול סיכוני סייבר במסגרת ניהול הסיכונים הארגוני (PM-9, PM-28)
4. שימוש במתודולוגיה מוכרת (NIST RMF) לניהול סיכונים (RA-1)</t>
  </si>
  <si>
    <t>GOV-05</t>
  </si>
  <si>
    <t>תיאבון סיכון וסבילות סיכון מוגדרים ומאושרים בהנהלה</t>
  </si>
  <si>
    <t>היעדר הגדרת תיאבון וסבילות סיכון עלולים לגרום לקבלת החלטות שרירותיות בניהול סיכונים, השקעה בלתי מאוזנת במשאבי הגנה וחשיפה לסיכונים שההנהלה אינה מודעת לקבלתם</t>
  </si>
  <si>
    <t>NetOps</t>
  </si>
  <si>
    <t>1. הגדרת רמות תיאבון סיכון (Risk Appetite) ואישורן ע"י ההנהלה (NIST PM-9)
2. קביעת סבילות סיכון (Risk Tolerance) לכל מערכת קריטית (PM-9)
3. תיעוד והפצת מסגרת קבלת סיכונים לבעלי תפקידים רלוונטיים (PM-9)
4. סקירה שנתית והתאמת רמות הסיכון המקובלות (RA-3, PM-28)</t>
  </si>
  <si>
    <t>GOV-06</t>
  </si>
  <si>
    <t>תקציב ומשאבים להגנת סייבר מוקצים בהתאם לפוטנציאל הנזק</t>
  </si>
  <si>
    <t>הקצאה לא מספקת של תקציב ומשאבים להגנת סייבר עלולה להותיר פערי הגנה קריטיים, להגביל יכולת תגובה לאירועים ולחשוף את הארגון לנזקים העולים על עלות ההשקעה בהגנה</t>
  </si>
  <si>
    <t>1. הקצאת תקציב ייעודי להגנת סייבר במסגרת התקציב הארגוני (NIST PM-3)
2. ביצוע ניתוח עלות-תועלת (BIA) לתעדוף השקעות אבטחה (PM-3)
3. הקצאת כוח אדם מקצועי ומיומן לתפקידי סייבר (PM-13, PM-15)
4. תכנון תקציב רב-שנתי הכולל הדרכות, כלים ותשתיות (PM-3)</t>
  </si>
  <si>
    <t>GOV-07</t>
  </si>
  <si>
    <t>תוכנית הגנת סייבר רב-שנתית נגזרת מהאסטרטגיה ומנוטרת</t>
  </si>
  <si>
    <t>היעדר תוכנית הגנת סייבר רב-שנתית עלולה לגרום לפעילות אד-הוק, חוסר התאמה בין ההגנה לאסטרטגיה העסקית ולפערים מצטברים ביכולות ההגנה לאורך זמן</t>
  </si>
  <si>
    <t>1. גיבוש תוכנית הגנת סייבר רב-שנתית מבוססת אסטרטגיה (NIST PM-1)
2. הגדרת אבני דרך, מדדי הצלחה ולוחות זמנים (PM-4)
3. ניטור התקדמות יישום התוכנית ודיווח תקופתי להנהלה (PM-6)
4. עדכון התוכנית בהתאם לשינויים באיומים ובסביבה העסקית (PM-4)</t>
  </si>
  <si>
    <t>GOV-08</t>
  </si>
  <si>
    <t>עמידה בדרישות רגולציה וחקיקה רלוונטיות לסייבר</t>
  </si>
  <si>
    <t>אי-עמידה בדרישות רגולציה וחקיקה עלולה לחשוף את הארגון לקנסות, תביעות, סנקציות רגולטוריות ופגיעה במוניטין, בנוסף לחשיפת מידע רגיש</t>
  </si>
  <si>
    <t>אנליסט SOC</t>
  </si>
  <si>
    <t>1. מיפוי דרישות רגולציה וחקיקה רלוונטיות לסייבר (NIST PM-8, PM-10)
2. ביצוע הערכת ציות (compliance assessment) תקופתית (CA-2, CA-7)
3. הקמת תהליך מעקב אחר שינויי רגולציה ועדכון הבקרות בהתאם (PM-8)
4. תיעוד פערי ציות ותוכנית סגירתם (CA-5, PM-10)</t>
  </si>
  <si>
    <t>GOV-09</t>
  </si>
  <si>
    <t>מדדי בקרה ודיווח תקופתי להנהלה על מצב הסיכון</t>
  </si>
  <si>
    <t>היעדר מדדי בקרה ודיווח תקופתי עלולים לגרום לחוסר מודעות של ההנהלה למצב הסיכון בפועל, עיכוב בקבלת החלטות ואי-זיהוי מגמות שליליות בהגנת הסייבר</t>
  </si>
  <si>
    <t>1. הגדרת KPIs ומדדי אפקטיביות להגנת סייבר (NIST PM-6, PM-14)
2. הפקת דוחות תקופתיים להנהלה על מצב הסיכון (PM-6)
3. שימוש בדשבורד ניהולי עם מדדי בקרה מרכזיים (PM-14)
4. ביצוע סקירות רבעוניות של מגמות סיכון ואירועים (CA-7, PM-6)</t>
  </si>
  <si>
    <t>GOV-10</t>
  </si>
  <si>
    <t>מבדקי חוסן ובקרות עצמיות תקופתיים מבוצעים</t>
  </si>
  <si>
    <t>אי-ביצוע מבדקי חוסן ובקרות עצמיות עלול להותיר פגיעויות לא מזוהות, לייצר תחושת ביטחון מוטעית ולאפשר לתוקפים לנצל חולשות שלא נבדקו</t>
  </si>
  <si>
    <t>1. ביצוע מבדקי חדירה (penetration testing) תקופתיים (NIST CA-8)
2. ביצוע הערכות בקרה פנימיות לפחות אחת לשנה (CA-2)
3. ביצוע סקירות תצורה ובקרות עצמיות (CA-7)
4. תיעוד ומעקב אחר ממצאים עד לסגירתם (CA-5, POA&amp;M)</t>
  </si>
  <si>
    <t>IDN-01</t>
  </si>
  <si>
    <t>זיהוי ומיפוי נכסים</t>
  </si>
  <si>
    <t>מיפוי ותחזוקת מצאי נכסי מידע (חומרה, תוכנה, שירותים)</t>
  </si>
  <si>
    <t>היעדר מצאי נכסי מידע מעודכן עלול לגרום להגנה חלקית בלבד, נכסים לא מוגנים המהווים וקטור תקיפה, וחוסר יכולת להעריך את היקף הנזק באירוע סייבר</t>
  </si>
  <si>
    <t>1. הקמת מצאי נכסים (Asset Inventory) מלא ומעודכן — חומרה, תוכנה ושירותים (NIST CM-8)
2. שימוש בכלי סריקה אוטומטיים לגילוי נכסים ברשת (CM-8(2))
3. עדכון מצאי נכסים בכל שינוי ולפחות רבעונית (CM-8(1))
4. שיוך בעלים (owner) לכל נכס מידע (CM-8(5), PM-5)</t>
  </si>
  <si>
    <t>IDN-02</t>
  </si>
  <si>
    <t>סיווג נכסים לפי קריטיות לתפקוד הארגון</t>
  </si>
  <si>
    <t>היעדר סיווג נכסים לפי קריטיות עלול להוביל להקצאת משאבי הגנה שגויה, הגנה שווה על נכסים בעלי חשיבות שונה וחשיפת נכסים קריטיים ללא הגנה מספקת</t>
  </si>
  <si>
    <t>GRC</t>
  </si>
  <si>
    <t>1. סיווג נכסים לפי רמת קריטיות וחשיבות לתפקוד הארגון (NIST RA-2)
2. ביצוע ניתוח השפעה עסקית (BIA) לנכסים קריטיים (RA-2, CP-2)
3. הגדרת רמות סיווג (גבוה/בינוני/נמוך) לנכסים (RA-2)
4. תיעוד ועדכון סיווג נכסים בעקבות שינויים (RA-2, CM-8)</t>
  </si>
  <si>
    <t>IDN-03</t>
  </si>
  <si>
    <t>מיפוי תהליכים עסקיים קריטיים ותלויותיהם</t>
  </si>
  <si>
    <t>היעדר מיפוי תהליכים עסקיים קריטיים ותלויותיהם עלול לגרום לאי-זיהוי נקודות כשל בודדות (SPOF), כשל בתעדוף התאוששות ופגיעה בהמשכיות העסקית</t>
  </si>
  <si>
    <t>ארכיטקט</t>
  </si>
  <si>
    <t>1. מיפוי תהליכים עסקיים קריטיים וזיהוי תלויות טכנולוגיות (NIST PM-11, CP-2)
2. ביצוע ניתוח השפעה עסקית (BIA) לתהליכים מרכזיים (CP-2)
3. זיהוי נקודות כשל בודדות (SPOF) בתהליכים (CP-2, SA-14)
4. תיעוד מפת תלויות ועדכונה תקופתי (PM-11, PL-2)</t>
  </si>
  <si>
    <t>לא התחיל</t>
  </si>
  <si>
    <t>IDN-04</t>
  </si>
  <si>
    <t>מיפוי זרימות מידע, ממשקים ונקודות חיבור לאינטרנט</t>
  </si>
  <si>
    <t>היעדר מיפוי זרימות מידע, ממשקים ונקודות חיבור לאינטרנט עלול לחשוף נתיבי תקיפה בלתי מנוטרים, לאפשר דלף מידע דרך ממשקים לא מוגנים ולהקשות על בלימת אירוע</t>
  </si>
  <si>
    <t>1. מיפוי מלא של זרימות מידע בין מערכות, ממשקים ונקודות חיבור (NIST AC-4, PL-2)
2. תיעוד כל נקודות החיבור לאינטרנט ולרשתות חיצוניות (CA-3, SA-9)
3. סקירה ואישור של כל ממשק חדש לפני הפעלתו (CA-3)
4. ניטור זרימות מידע חריגות ועדכון מפת הממשקים (AC-4, CM-8)</t>
  </si>
  <si>
    <t>IDN-05</t>
  </si>
  <si>
    <t>מיפוי משתמשים, הרשאות ובעלי גישה לנכסים</t>
  </si>
  <si>
    <t>היעדר מיפוי משתמשים והרשאות עלול לאפשר גישה בלתי מורשית לנכסים, הצטברות הרשאות עודפות (privilege creep) וחוסר יכולת לזהות שימוש לרעה בחשבונות</t>
  </si>
  <si>
    <t>1. מיפוי כלל המשתמשים, תפקידיהם והרשאותיהם בכל מערכת (NIST AC-2)
2. ביצוע סקירת הרשאות (access review) תקופתית (AC-2(13))
3. זיהוי וטיפול בהרשאות עודפות ובחשבונות יתומים (AC-2(3))
4. תיעוד מטריצת הרשאות ובעלי גישה לנכסים קריטיים (AC-2, AC-6)</t>
  </si>
  <si>
    <t>IDN-06</t>
  </si>
  <si>
    <t>זיהוי איום הייחוס (תוקף רלוונטי) ותרחישי תקיפה</t>
  </si>
  <si>
    <t>היעדר זיהוי איום ייחוס ותרחישי תקיפה עלול לגרום להגנה שאינה מותאמת לאיומים הרלוונטיים, חוסר מוכנות לתרחישי תקיפה סבירים ובזבוז משאבים על איומים לא רלוונטיים</t>
  </si>
  <si>
    <t>1. ביצוע ניתוח איום ייחוס (threat modeling) רלוונטי לארגון (NIST RA-3, RA-5)
2. מיפוי תוקפים רלוונטיים, יכולותיהם ומוטיבציות (RA-3(1))
3. בניית תרחישי תקיפה מבוססי MITRE ATT&amp;CK (RA-3)
4. עדכון פרופיל האיום בהתאם למודיעין סייבר שוטף (PM-16, RA-3)</t>
  </si>
  <si>
    <t>IDN-07</t>
  </si>
  <si>
    <t>מיפוי פערי הגנה מול תרחישי התקיפה הרלוונטיים</t>
  </si>
  <si>
    <t>היעדר מיפוי פערי הגנה מול תרחישי תקיפה עלול להותיר נתיבי תקיפה פתוחים, חשיפה לא מזוהה ביכולות ההגנה וכשל במענה לתקיפות ידועות</t>
  </si>
  <si>
    <t>1. ביצוע ניתוח פערים (gap analysis) בין תרחישי תקיפה ליכולות ההגנה (NIST CA-2, RA-3)
2. מיפוי בקרות חסרות או חלקיות מול MITRE ATT&amp;CK (CA-2)
3. תעדוף פערים לפי רמת סיכון וסבירות (RA-3, PM-9)
4. בניית תוכנית פעולה (POA&amp;M) לסגירת פערים (CA-5)</t>
  </si>
  <si>
    <t>PRA-01</t>
  </si>
  <si>
    <t>הגנה — גישה וזהות</t>
  </si>
  <si>
    <t>ניהול זהויות והרשאות לאורך מחזור החיים (JML)</t>
  </si>
  <si>
    <t>היעדר ניהול זהויות והרשאות לאורך מחזור החיים עלול לאפשר חשבונות יתומים, הרשאות עודפות לעובדים שעזבו וניצול חשבונות לא מנוהלים כווקטור תקיפה</t>
  </si>
  <si>
    <t>1. הטמעת תהליך Joiner-Mover-Leaver לניהול מחזור חיי זהויות (NIST AC-2)
2. ביטול אוטומטי של חשבונות בעת עזיבה/העברת תפקיד (AC-2(2), AC-2(3))
3. שימוש במערכת IAM מרכזית לניהול זהויות (IA-4, IA-5)
4. סקירה תקופתית של חשבונות פעילים וביטול חשבונות לא פעילים (AC-2(3), AC-2(13))</t>
  </si>
  <si>
    <t>PRA-02</t>
  </si>
  <si>
    <t>אכיפת עקרון הרשאות מינימום (least privilege)</t>
  </si>
  <si>
    <t>אי-אכיפת עקרון הרשאות מינימום עלולה לאפשר לתוקף שפרץ לחשבון אחד להגיע למשאבים קריטיים, להרחיב נזק מאירוע בודד ולהקשות על בלימת מתקפה</t>
  </si>
  <si>
    <t>1. יישום עקרון least privilege בכל מערכת ואפליקציה (NIST AC-6)
2. הגבלת גישה לפי תפקיד (RBAC) עם הרשאות מינימליות (AC-6(1))
3. ביטול הרשאות ברירת מחדל עודפות (AC-6(2))
4. סקירת הרשאות תקופתית וצמצום הרשאות עודפות (AC-6(7), AC-2(13))</t>
  </si>
  <si>
    <t>PRA-03</t>
  </si>
  <si>
    <t>אימות רב-גורמי (MFA) לגישות מרחוק ולחשבונות רגישים</t>
  </si>
  <si>
    <t>היעדר אימות רב-גורמי (MFA) עלול לאפשר גישה למערכות רגישות באמצעות סיסמה גנובה בלבד, פריצה דרך תקיפת פישינג ואובדן שליטה על חשבונות בעלי הרשאה גבוהה</t>
  </si>
  <si>
    <t>1. הטמעת MFA לכל גישה מרחוק ולמערכות קריטיות (NIST IA-2(1), IA-2(2))
2. חסימת גישת VPN וגישה מרחוק ללא MFA (IA-2(6))
3. אכיפת MFA על חשבונות בעלי הרשאה גבוהה (IA-2(1))
4. שימוש בגורמי אימות עמידים (FIDO2/authenticator app) ולא SMS (IA-2(6))</t>
  </si>
  <si>
    <t>PRA-04</t>
  </si>
  <si>
    <t>ניהול והגנה על חשבונות הרשאה גבוהה (PAM)</t>
  </si>
  <si>
    <t>היעדר ניהול חשבונות הרשאה גבוהה (PAM) עלול לאפשר שימוש לרעה בהרשאות אדמין, היעדר מעקב על פעולות מיוחסות ותנועה רוחבית חופשית של תוקף ברשת</t>
  </si>
  <si>
    <t>1. הטמעת פתרון PAM לניהול חשבונות הרשאה גבוהה (NIST AC-2(7), AC-6(5))
2. אחסון סיסמאות אדמין בכספת סיסמאות מוצפנת (IA-5(7))
3. הקלטת ומעקב אחר כל session של חשבון מיוחס (AC-2(4), AU-12)
4. הגבלת שימוש בחשבונות אדמין למשימות ניהוליות בלבד (AC-6(5))</t>
  </si>
  <si>
    <t>PRA-05</t>
  </si>
  <si>
    <t>מדיניות סיסמאות חזקה ואיסור סיסמאות ברירת מחדל</t>
  </si>
  <si>
    <t>מדיניות סיסמאות חלשה או שימוש בסיסמאות ברירת מחדל עלולים לאפשר פריצה באמצעות brute-force, ניצול credential stuffing והשתלטות על מערכות עם סיסמאות צפויות</t>
  </si>
  <si>
    <t>1. הגדרת מדיניות סיסמאות חזקה — אורך, מורכבות וחילוף (NIST IA-5(1))
2. חסימת סיסמאות נפוצות ומילוניות (IA-5(1)(a))
3. ביטול סיסמאות ברירת מחדל בכל מערכת וציוד (IA-5(1), CM-6)
4. שימוש בכלי בדיקת חוזק סיסמאות ומעקב אחר דליפות (IA-5(2))</t>
  </si>
  <si>
    <t>PRA-06</t>
  </si>
  <si>
    <t>הפרדת תפקידים (SoD) במערכות קריטיות</t>
  </si>
  <si>
    <t>היעדר הפרדת תפקידים (SoD) עלול לאפשר לגורם יחיד לבצע פעולות הונאה ללא בקרה, לשנות הגדרות אבטחה ולמחוק עקבות ללא פיקוח</t>
  </si>
  <si>
    <t>1. הגדרת מטריצת הפרדת תפקידים (SoD) במערכות קריטיות (NIST AC-5)
2. מניעת ריכוז הרשאות סותרות באותו משתמש (AC-5)
3. אכיפה טכנולוגית של SoD במערכות ERP ותשתית (AC-5, AC-6)
4. סקירה תקופתית לאיתור הפרות SoD ותיקונן (AC-5, AC-2(13))</t>
  </si>
  <si>
    <t>PRN-01</t>
  </si>
  <si>
    <t>הגנה — רשת ותשתית</t>
  </si>
  <si>
    <t>סגמנטציה והפרדת רשתות לפי רמות אמון</t>
  </si>
  <si>
    <t>היעדר סגמנטציה והפרדת רשתות עלול לאפשר תנועה רוחבית חופשית של תוקף, התפשטות כופרה (ransomware) בכלל הרשת וגישה לנכסים קריטיים ממגזר שנפרץ</t>
  </si>
  <si>
    <t>1. ביצוע סגמנטציה פיזית/לוגית בין רשתות לפי רמות אמון (NIST SC-7, SC-7(21))
2. הגדרת VLANs, zones ו-trust boundaries (SC-7(22))
3. שימוש ב-micro-segmentation לנכסים קריטיים (SC-7(29))
4. חסימת תעבורה בין מגזרים אלא אם הותרה מפורשות (SC-7, AC-4)</t>
  </si>
  <si>
    <t>PRN-02</t>
  </si>
  <si>
    <t>הגנת היקף — Firewall/NGFW ומדיניות deny-by-default</t>
  </si>
  <si>
    <t>היעדר הגנת היקף ומדיניות deny-by-default עלולים לאפשר תעבורה זדונית, גישה בלתי מורשית מהאינטרנט וניצול שירותים חשופים כווקטורי תקיפה ראשוניים</t>
  </si>
  <si>
    <t>1. הטמעת NGFW עם מדיניות deny-by-default בכל נקודות הגבול (NIST SC-7)
2. הגדרת חוקי Firewall מינימליים ומפורשים (SC-7(5))
3. סקירה תקופתית של חוקי Firewall והסרת חוקים מיותרים (SC-7(4))
4. ניטור והתרעה על תעבורה חסומה וחריגה (SC-7(9), SI-4)</t>
  </si>
  <si>
    <t>PRN-03</t>
  </si>
  <si>
    <t>מערכות מניעת חדירות (IPS) בנקודות הגבול</t>
  </si>
  <si>
    <t>היעדר מערכות IPS בנקודות הגבול עלול לאפשר חדירת תעבורה זדונית, ניצול חולשות ידועות מבחוץ ותקשורת C2 (פיקוד ושליטה) ללא חסימה</t>
  </si>
  <si>
    <t>1. הטמעת IPS/IDS בנקודות הגבול ובין מגזרי רשת (NIST SI-4, SC-7)
2. עדכון חתימות IPS באופן שוטף ואוטומטי (SI-4(2))
3. כיול חוקי IPS למניעת false positives/negatives (SI-4(5))
4. שילוב התראות IPS עם מערכת SIEM לתגובה מהירה (SI-4(16))</t>
  </si>
  <si>
    <t>PRN-04</t>
  </si>
  <si>
    <t>הגנה מפני מניעת שירות (DoS/DDoS)</t>
  </si>
  <si>
    <t>היעדר הגנה מפני DoS/DDoS עלול לגרום להשבתת שירותים קריטיים, אובדן זמינות מערכות ופגיעה כלכלית ותדמיתית כתוצאה מהצפת משאבי הרשת</t>
  </si>
  <si>
    <t>1. הטמעת פתרון הגנה מפני DDoS (on-prem או cloud-based) (NIST SC-5)
2. הגדרת ספי עומס (rate limiting) וחסימת תעבורה חריגה (SC-5)
3. תכנון יתירות (redundancy) בקישוריות אינטרנט (SC-5, CP-8)
4. הגדרת נהלי תגובה ייעודיים לאירועי DDoS (IR-4, SC-5)</t>
  </si>
  <si>
    <t>PRN-05</t>
  </si>
  <si>
    <t>אבטחת גישה מרחוק ו-VPN מוקשח</t>
  </si>
  <si>
    <t>חולשות באבטחת גישה מרחוק ו-VPN עלולות לאפשר לתוקף חיצוני לחדור לרשת הפנימית, ליירט תעבורה מוצפנת או לנצל תצורה שגויה לגישה בלתי מורשית</t>
  </si>
  <si>
    <t>1. הקשחת שירות VPN — פרוטוקולים חזקים, הצפנה מעודכנת (NIST SC-8, SC-12, SC-13)
2. אכיפת MFA על כל חיבור VPN (IA-2(1), IA-2(6))
3. הגבלת גישת VPN לפי תפקיד ונכסים נדרשים בלבד (AC-4, AC-17)
4. ניטור חיבורי VPN ואיתור התנהגות חריגה (AC-17(1), SI-4)</t>
  </si>
  <si>
    <t>PRN-06</t>
  </si>
  <si>
    <t>הקשחת תצורת ציוד רשת לפי best practices</t>
  </si>
  <si>
    <t>היעדר הקשחת ציוד רשת עלולה לאפשר ניצול הגדרות ברירת מחדל, השתלטות על ציוד תשתיתי (נתבים, מתגים) והפניית תעבורה לשרתי תוקף</t>
  </si>
  <si>
    <t>1. הקשחת ציוד רשת (נתבים, מתגים, AP) לפי CIS Benchmarks (NIST CM-6, CM-7)
2. ביטול שירותים, פורטים ופרוטוקולים לא נדרשים (CM-7)
3. שימוש ב-SNMPv3, ביטול telnet ושימוש ב-SSH בלבד (SC-8, CM-6)
4. גיבוי תצורות ובקרת שינויים על ציוד רשת (CM-3, CM-6)</t>
  </si>
  <si>
    <t>PRN-07</t>
  </si>
  <si>
    <t>הגנה והקשחת שירותי DNS</t>
  </si>
  <si>
    <t>היעדר הגנה והקשחת DNS עלולים לאפשר מתקפות DNS poisoning/spoofing, הפניית משתמשים לאתרים זדוניים ויירוט תעבורה באמצעות שליטה בתשובות DNS</t>
  </si>
  <si>
    <t>1. הקשחת שרתי DNS — הגבלת zone transfer, ביטול רקורסיה מיותרת (NIST SC-20, SC-21)
2. הטמעת DNSSEC לאימות תשובות DNS (SC-20)
3. שימוש ב-DNS sinkhole לחסימת דומיינים זדוניים (SC-20, SC-7)
4. ניטור שאילתות DNS חריגות לזיהוי DNS tunneling ו-C2 (SI-4, SC-7)</t>
  </si>
  <si>
    <t>PRE-01</t>
  </si>
  <si>
    <t>הגנה — קצה ושרתים</t>
  </si>
  <si>
    <t>הקשחת תחנות קצה ושרתים (baseline/CIS)</t>
  </si>
  <si>
    <t>היעדר הקשחת תחנות קצה ושרתים עלולה לאפשר ניצול הגדרות חלשות, הרצת קוד זדוני ושימוש בשירותים מיותרים כנקודות כניסה לתוקף</t>
  </si>
  <si>
    <t>1. הקשחת תחנות קצה ושרתים לפי CIS Benchmarks / STIG (NIST CM-6, CM-7)
2. ביטול שירותים ופורטים לא נדרשים (CM-7(1))
3. הפעלת host-based firewall בכל תחנה ושרת (SC-7(12))
4. שימוש ב-GPO/MDM לאכיפת תצורות אחידות (CM-6, CM-2)</t>
  </si>
  <si>
    <t>PRE-02</t>
  </si>
  <si>
    <t>הגנת קצה מתקדמת (EDR/AV) ומניעת קוד זדוני</t>
  </si>
  <si>
    <t>היעדר הגנת קצה מתקדמת (EDR/AV) עלול לאפשר הרצת קוד זדוני, כופרה ותוכנות ריגול ללא זיהוי, ופעילות תוקף בלתי מזוהה בתחנות הקצה</t>
  </si>
  <si>
    <t>1. הטמעת פתרון EDR/AV מתקדם בכל תחנה ושרת (NIST SI-3, SI-4)
2. אכיפת עדכון חתימות אוטומטי ורציף (SI-3(1))
3. הפעלת יכולות behavioral detection וזיכרון (SI-3, SI-4)
4. שילוב התראות EDR עם SIEM לתגובה מהירה (SI-4(16), IR-4)</t>
  </si>
  <si>
    <t>PRE-03</t>
  </si>
  <si>
    <t>ניהול עדכוני אבטחה (patching) לפי חומרה ו-SLA</t>
  </si>
  <si>
    <t>היעדר ניהול עדכוני אבטחה (patching) עלול להותיר חולשות ידועות (CVE) פתוחות לניצול, לאפשר תקיפות אוטומטיות ולחשוף את הארגון למתקפות zero-day+1</t>
  </si>
  <si>
    <t>1. הגדרת מדיניות patching עם SLA לפי חומרת פגיעות (NIST SI-2)
2. סריקה ויישום עדכונים קריטיים תוך 72 שעות (SI-2(2))
3. בדיקת עדכונים בסביבת בדיקה לפני יישום בייצור (SI-2, CM-3)
4. מעקב ודיווח על מצב patching ואחוזי כיסוי (SI-2, CM-8)</t>
  </si>
  <si>
    <t>PRE-04</t>
  </si>
  <si>
    <t>ניהול פגיעויות וסריקות תקופתיות</t>
  </si>
  <si>
    <t>היעדר ניהול פגיעויות וסריקות תקופתיות עלול להותיר חולשות בלתי מזוהות במערכות, להגדיל את משטח התקיפה ולאפשר לתוקפים לנצל פגיעויות שלא תוקנו</t>
  </si>
  <si>
    <t>1. ביצוע סריקות פגיעויות תקופתיות (לפחות חודשיות) בכל המערכות (NIST RA-5)
2. שימוש בכלי סריקה מאושרים ומעודכנים (RA-5(2))
3. תעדוף טיפול בפגיעויות לפי CVSS וקריטיות הנכס (RA-5(3))
4. מעקב אחר סגירת פגיעויות ודיווח תקופתי (RA-5, CA-5)</t>
  </si>
  <si>
    <t>PRE-05</t>
  </si>
  <si>
    <t>מניעת הרצת תוכנה לא מורשית (allow-listing)</t>
  </si>
  <si>
    <t>היעדר מניעת הרצת תוכנה לא מורשית עלול לאפשר הרצת כלי תקיפה, כופרה ותוכנות ריגול על תחנות קצה ושרתים, תוך עקיפת בקרות אבטחה קיימות</t>
  </si>
  <si>
    <t>1. הטמעת application whitelisting / allow-listing בתחנות ושרתים (NIST CM-7(5))
2. חסימת הרצת קבצי הפעלה ממיקומים לא מורשים (CM-7(5))
3. ניהול רשימה לבנה מעודכנת של תוכנות מאושרות (CM-7(5), CM-8)
4. ניטור והתרעה על ניסיונות הרצת תוכנה לא מורשית (SI-4, AU-12)</t>
  </si>
  <si>
    <t>PRE-06</t>
  </si>
  <si>
    <t>אבטחת תצורה והקשחה של מערכות הפעלה ויישומים</t>
  </si>
  <si>
    <t>היעדר הקשחת מערכות הפעלה ויישומים עלולה לחשוף את הארגון לניצול הגדרות ברירת מחדל, שירותים פגיעים פתוחים ומשטח תקיפה מורחב</t>
  </si>
  <si>
    <t>1. הקשחת מערכות הפעלה ויישומים לפי תקני CIS/STIG (NIST CM-6, CM-7)
2. השבתת שירותים ותכונות שאינם בשימוש (CM-7)
3. אכיפת תצורות baseline מאושרות (CM-2, CM-6)
4. סריקות ציות תקופתיות לאימות עמידה ב-baseline (CM-6, CA-7)</t>
  </si>
  <si>
    <t>PRD-01</t>
  </si>
  <si>
    <t>הגנה — מידע</t>
  </si>
  <si>
    <t>הצפנת מידע רגיש במנוחה (at-rest)</t>
  </si>
  <si>
    <t>היעדר הצפנת מידע רגיש במנוחה עלול לאפשר גישה למידע רגיש במקרה של גניבת דיסקים, גיבויים או גישה פיזית בלתי מורשית לשרתים</t>
  </si>
  <si>
    <t>1. הצפנת מידע רגיש במנוחה באמצעות AES-256 או חזק יותר (NIST SC-28)
2. הצפנת דיסקים מלאים (FDE) בתחנות ניידות (SC-28(1))
3. הצפנת בסיסי נתונים המכילים מידע רגיש (SC-28)
4. ניהול מפתחות הצפנה בהתאם למדיניות (SC-12)</t>
  </si>
  <si>
    <t>PRD-02</t>
  </si>
  <si>
    <t>הצפנת מידע בתעבורה (in-transit, TLS/IPsec)</t>
  </si>
  <si>
    <t>היעדר הצפנת מידע בתעבורה עלול לאפשר יירוט (sniffing) של מידע רגיש ברשת, מתקפות Man-in-the-Middle וחשיפת אישורי גישה בתעבורה גלויה</t>
  </si>
  <si>
    <t>1. אכיפת TLS 1.2+ בכל תעבורה חיצונית ופנימית רגישה (NIST SC-8, SC-8(1))
2. שימוש ב-IPsec לתעבורה בין אתרים (SC-8)
3. ביטול פרוטוקולים לא מוצפנים (HTTP, FTP, Telnet) (SC-8(1))
4. ניטור שימוש בגרסאות הצפנה חלשות או פגות (SC-13, SI-4)</t>
  </si>
  <si>
    <t>PRD-03</t>
  </si>
  <si>
    <t>מניעת דליפת מידע (DLP)</t>
  </si>
  <si>
    <t>היעדר מנגנוני DLP עלול לאפשר דליפת מידע רגיש לגורמים חיצוניים דרך דוא"ל, אחסון ענן לא מורשה, התקנים ניידים או העלאה לאתרים חיצוניים</t>
  </si>
  <si>
    <t>1. הטמעת פתרון DLP בנקודות קצה, רשת ודוא"ל (NIST AC-4, SC-7(10))
2. הגדרת מדיניות DLP מבוססת סיווג מידע (AC-4, MP-4)
3. חסימת/התרעה על העברת מידע רגיש לערוצים לא מורשים (AC-4(4))
4. ניטור תנועת מידע רגיש ודיווח על חריגות (AU-12, AC-4)</t>
  </si>
  <si>
    <t>PRD-04</t>
  </si>
  <si>
    <t>ניהול מפתחות הצפנה ותעודות</t>
  </si>
  <si>
    <t>ניהול לקוי של מפתחות הצפנה ותעודות עלול לגרום לחשיפת מפתחות, שימוש בתעודות פגות תוקף, כשל בהצפנה ואובדן יכולת פענוח מידע מוצפן</t>
  </si>
  <si>
    <t>1. הטמעת מערכת ניהול מפתחות (KMS) מרכזית (NIST SC-12)
2. הגדרת מדיניות מחזור חיי מפתחות — יצירה, הפצה, רוטציה וביטול (SC-12(1))
3. אחסון מפתחות ב-HSM או בכספת מוגנת (SC-12(2))
4. ניטור תוקף תעודות דיגיטליות והחלפתן לפני פקיעה (SC-12, SC-17)</t>
  </si>
  <si>
    <t>PRD-05</t>
  </si>
  <si>
    <t>סיווג מידע ובקרת גישה מבוססת סיווג</t>
  </si>
  <si>
    <t>היעדר סיווג מידע ובקרת גישה מבוססת סיווג עלולים לגרום לגישה בלתי מורשית למידע רגיש, חוסר יכולת לאכוף מדיניות הגנה דיפרנציאלית וחשיפת מידע מסווג</t>
  </si>
  <si>
    <t>1. הגדרת מדיניות סיווג מידע ארגונית (NIST RA-2, MP-4)
2. סימון נכסי מידע ברמת הסיווג המתאימה (MP-3, RA-2)
3. יישום בקרת גישה מבוססת סיווג (MAC/RBAC) (AC-3(3), AC-16)
4. הגבלת הפצת מידע מסווג לגורמים מורשים בלבד (AC-4, AC-3)</t>
  </si>
  <si>
    <t>DET-01</t>
  </si>
  <si>
    <t>גילוי וניטור</t>
  </si>
  <si>
    <t>איסוף לוגים מרכזי מנכסים קריטיים (SIEM)</t>
  </si>
  <si>
    <t>היעדר איסוף לוגים מרכזי (SIEM) עלול לגרום לאי-זיהוי מתקפות בזמן אמת, חוסר יכולת לבצע חקירה דיגיטלית ואובדן ראיות לזיהוי ובלימת אירוע</t>
  </si>
  <si>
    <t>1. הטמעת מערכת SIEM לאיסוף ושימור לוגים מרכזי (NIST AU-6, SI-4)
2. חיבור כל הנכסים הקריטיים לאיסוף לוגים (AU-2, AU-3)
3. הגדרת retention policy ללוגים (לפחות 12 חודשים) (AU-11)
4. הגדרת כללי קורלציה והתראות על אירועים חשודים (AU-6(1), SI-4(16))</t>
  </si>
  <si>
    <t>DET-02</t>
  </si>
  <si>
    <t>ניטור רציף ואיתור אנומליות ברשת ובקצה (NDR/EDR)</t>
  </si>
  <si>
    <t>היעדר ניטור רציף ואיתור אנומליות עלול לאפשר לתוקף לפעול ברשת ללא זיהוי לאורך זמן (dwell time ממושך), להרחיב אחיזה ולגנוב מידע ללא התראה</t>
  </si>
  <si>
    <t>1. הטמעת פתרון NDR לניטור תעבורת רשת ואיתור אנומליות (NIST SI-4, SI-4(4))
2. שילוב EDR עם SIEM לניטור קצה-רשת משולב (SI-4(16))
3. הגדרת baselines להתנהגות רגילה וזיהוי סטיות (SI-4(11))
4. ניטור 24/7 של תעבורה חשודה, C2 ותנועה רוחבית (SI-4, AC-4)</t>
  </si>
  <si>
    <t>DET-03</t>
  </si>
  <si>
    <t>הגדרת תרחישי גילוי (use-cases) מבוססי איום ייחוס</t>
  </si>
  <si>
    <t>היעדר תרחישי גילוי (use-cases) עלול לגרום להתראות לא רלוונטיות (false positives), אי-זיהוי תרחישי תקיפה ידועים וכשל בגילוי מוקדם של מתקפות ממוקדות</t>
  </si>
  <si>
    <t>1. פיתוח use-cases מבוססי MITRE ATT&amp;CK לזיהוי טכניקות תקיפה (NIST SI-4(5), RA-3)
2. הגדרת כללי גילוי ייעודיים לתרחישי איום רלוונטיים (SI-4, AU-6)
3. בדיקת אפקטיביות ה-use-cases באופן תקופתי (CA-2, CA-8)
4. עדכון use-cases בהתאם לשינויים בנוף האיומים (SI-4(5), PM-16)</t>
  </si>
  <si>
    <t>DET-04</t>
  </si>
  <si>
    <t>מרכז ניטור ותגובה (SOC) פעיל ומאויש</t>
  </si>
  <si>
    <t>היעדר מרכז ניטור (SOC) פעיל עלול לגרום לאי-זיהוי אירועי אבטחה בזמן אמת, עיכוב משמעותי בתגובה לאירועים והגדלת הנזק עקב חוסר מענה מידי</t>
  </si>
  <si>
    <t>1. הקמת SOC פעיל ומאויש 24/7 (פנימי או שירות MSSP) (NIST IR-4, SI-4)
2. הגדרת תהליכי עבודה, סמכויות וניתוב אירועים (IR-4, IR-1)
3. הכשרת צוות SOC בזיהוי וניתוח אירועים (AT-3, IR-2)
4. מדידת ביצועי SOC — MTTD, MTTR ושיעורי false positive (PM-14, CA-7)</t>
  </si>
  <si>
    <t>DET-05</t>
  </si>
  <si>
    <t>שילוב מודיעין סייבר (CTI) בתהליכי הגילוי</t>
  </si>
  <si>
    <t>היעדר שילוב מודיעין סייבר (CTI) עלול לגרום לאי-זיהוי IOCs ידועים, חוסר מודעות לקמפיינים פעילים כנגד הענף ותגובה איטית לאיומים מתפתחים</t>
  </si>
  <si>
    <t>1. רכישת/הפקת feed מודיעין סייבר (CTI) רלוונטי לענף (NIST PM-16, RA-3(3))
2. שילוב IOCs ו-IOAs במערכות SIEM, EDR ו-NGFW (PM-16, SI-4)
3. מנוי לשירותי CERT/CSIRT לאומיים וענפיים (PM-16)
4. שיתוף מודיעין עם ארגונים מקבילים (ISACs) (PM-16)</t>
  </si>
  <si>
    <t>DET-06</t>
  </si>
  <si>
    <t>הגנה על שלמות וזמינות לוגים ומקורות ניטור</t>
  </si>
  <si>
    <t>פגיעה בשלמות וזמינות הלוגים עלולה לאפשר לתוקף למחוק עקבות, להקשות על חקירה דיגיטלית ולגרום לאי-יכולת לשחזר את מהלך האירוע</t>
  </si>
  <si>
    <t>1. הגנה על שלמות לוגים באמצעות WORM storage או חתימה דיגיטלית (NIST AU-9)
2. הפרדת שרת לוגים מהרשת התפעולית (AU-9(2))
3. ניטור זמינות מקורות לוגים והתרעה על הפסקת איסוף (AU-9(4))
4. הגבלת גישה לממשקי ניהול לוגים לגורמים מורשים בלבד (AU-9, AC-6)</t>
  </si>
  <si>
    <t>DET-07</t>
  </si>
  <si>
    <t>ניטור פעילות ספקים וגורמי צד ג' ברשת</t>
  </si>
  <si>
    <t>היעדר ניטור פעילות ספקים וצד ג' עלול לאפשר גישה בלתי מורשית דרך חיבורי ספקים, מתקפת שרשרת אספקה (supply chain attack) ופעילות זדונית שאינה מנוטרת</t>
  </si>
  <si>
    <t>1. חיבור גישות ספקים וצד ג' לניטור SIEM (NIST SI-4, AC-17)
2. הגבלת גישת ספקים לחלונות זמן מוגדרים ונכסים ספציפיים (AC-17(1), SA-9)
3. ביצוע סקירת לוגים של פעולות ספקים ברשת (AU-6, AU-12)
4. חסימת גישת ספקים כברירת מחדל — מתן גישה רק לפי צורך (AC-17(2), PS-7)</t>
  </si>
  <si>
    <t>RSP-01</t>
  </si>
  <si>
    <t>תגובה לאירוע</t>
  </si>
  <si>
    <t>נוהל וצוות תגובה לאירועי סייבר (IR) מוגדרים</t>
  </si>
  <si>
    <t>היעדר נוהל וצוות תגובה לאירועים (IR) עלול לגרום לתגובה כאוטית באירוע סייבר, עיכוב בבלימה, החמרת הנזק ואובדן מידע קריטי</t>
  </si>
  <si>
    <t>1. הגדרת נוהל תגובה לאירועים (IRP) מתועד ומאושר (NIST IR-1, IR-8)
2. מינוי צוות CSIRT עם תפקידים ואחריות מוגדרים (IR-2, IR-10)
3. הגדרת ערוצי תקשורת ואמצעי הפעלה חירום (IR-4(10))
4. עדכון ה-IRP לפחות אחת לשנה ובעקבות כל אירוע מהותי (IR-1, IR-8)</t>
  </si>
  <si>
    <t>RSP-02</t>
  </si>
  <si>
    <t>ספרי משחק (playbooks) לתרחישי תקיפה מרכזיים</t>
  </si>
  <si>
    <t>היעדר ספרי משחק (playbooks) עלול לגרום לתגובה בלתי אחידה, עיכובים בקבלת החלטות תחת לחץ ושגיאות אנוש במהלך טיפול באירוע סייבר קריטי</t>
  </si>
  <si>
    <t>1. פיתוח playbooks לתרחישי תקיפה מרכזיים — ransomware, phishing, DDoS, data breach (NIST IR-4, IR-5)
2. שילוב playbooks עם כלי SOAR לאוטומציה (IR-4(1))
3. בדיקה ותרגול של playbooks בתרגילים תקופתיים (IR-3)
4. עדכון playbooks על בסיס לקחים מאירועים ותרגילים (IR-4, IR-6)</t>
  </si>
  <si>
    <t>RSP-03</t>
  </si>
  <si>
    <t>סיווג, תיעדוף והסלמה של אירועים</t>
  </si>
  <si>
    <t>היעדר תהליך סיווג, תיעדוף והסלמה עלול לגרום לאי-טיפול באירועים קריטיים בזמן, הצפת צוות ה-SOC באירועים לא מתועדפים ופספוס חלון זמן לבלימה</t>
  </si>
  <si>
    <t>1. הגדרת מטריצת סיווג אירועים לפי חומרה והשפעה (NIST IR-4, IR-5)
2. הגדרת נתיבי הסלמה ברורים לכל רמת חומרה (IR-4(3))
3. שימוש ב-SIEM לתיעדוף אוטומטי על בסיס קורלציה (IR-4(1), SI-4)
4. תיעוד כל אירוע במערכת ניהול אירועים (ticketing) (IR-5, IR-6)</t>
  </si>
  <si>
    <t>RSP-04</t>
  </si>
  <si>
    <t>בלימה (containment) ונטרול (eradication) של אירוע</t>
  </si>
  <si>
    <t>היעדר יכולת בלימה (containment) ונטרול עלול לאפשר התפשטות מתקפה לכלל הרשת, המשך דלף מידע והרחבת הנזק ממתקפה שאינה נבלמת בזמן</t>
  </si>
  <si>
    <t>1. הגדרת אסטרטגיות בלימה לפי סוג אירוע — בידוד רשת, חסימת חשבון, ניתוק מערכת (NIST IR-4)
2. הכנת כלים מוכנים מראש לבלימה מהירה (IR-4(3))
3. הגדרת תהליך eradication — הסרת קוד זדוני, שחזור ממקור נקי (IR-4)
4. אימות שלמות מערכות לאחר נטרול לפני חזרה לייצור (IR-4, SI-7)</t>
  </si>
  <si>
    <t>RSP-05</t>
  </si>
  <si>
    <t>דיווח אירוע למערך הסייבר ולגורמים הרלוונטיים</t>
  </si>
  <si>
    <t>היעדר דיווח אירוע למערך הסייבר ולגורמים רלוונטיים עלול לגרום להפרת חובת דיווח רגולטורית, חוסר תיאום עם גופי חירום ופספוס מידע מודיעיני קריטי</t>
  </si>
  <si>
    <t>1. הגדרת נוהל דיווח למערך הסייבר הלאומי בהתאם לרגולציה (NIST IR-6)
2. הגדרת חובות דיווח פנימיים להנהלה ובעלי עניין (IR-6(1))
3. תיעוד לוחות זמנים מחייבים לדיווח לפי סוג אירוע (IR-6)
4. הכנת תבניות דיווח מוכנות מראש לאירועים (IR-6, IR-5)</t>
  </si>
  <si>
    <t>RSP-06</t>
  </si>
  <si>
    <t>תרגול תגובה לאירועים תקופתי (table-top/live)</t>
  </si>
  <si>
    <t>היעדר תרגול תגובה לאירועים עלול לגרום לחוסר מוכנות בעת אירוע אמיתי, זמני תגובה ארוכים ותקלות בתיאום בין הצוותים</t>
  </si>
  <si>
    <t>1. קיום תרגילי table-top לפחות אחת לשנה עם צוותי ניהול וטכנולוגיה (NIST IR-3)
2. ביצוע תרגילים חיים (live drill) הכוללים סימולציית מתקפה (IR-3(2), CA-8)
3. שיתוף גורמים חיצוניים רלוונטיים בתרגילים (IR-3)
4. תיעוד ממצאים ויישום לקחים מכל תרגיל (IR-3, IR-4)</t>
  </si>
  <si>
    <t>RSP-07</t>
  </si>
  <si>
    <t>שמירת ראיות וחקירה דיגיטלית (forensics)</t>
  </si>
  <si>
    <t>היעדר יכולת שמירת ראיות וחקירה דיגיטלית (forensics) עלול לגרום לאובדן ראיות, חוסר יכולת לזהות את וקטור התקיפה ואי-יכולת לתמוך בהליכים משפטיים</t>
  </si>
  <si>
    <t>1. הגדרת נוהל שימור ראיות דיגיטליות (chain of custody) (NIST IR-4(4))
2. רכישת/שימוש בכלי forensics מאושרים לחקירה (IR-4(4))
3. הדרכת צוות IR בטכניקות forensics בסיסיות (AT-3, IR-4)
4. שמירת snapshot, images ו-memory dumps כראיות (IR-4(4), AU-9)</t>
  </si>
  <si>
    <t>RCV-01</t>
  </si>
  <si>
    <t>התאוששות</t>
  </si>
  <si>
    <t>תוכנית התאוששות מאסון (DRP) לנכסים קריטיים</t>
  </si>
  <si>
    <t>היעדר תוכנית התאוששות מאסון (DRP) עלול לגרום להשבתה ממושכת של מערכות קריטיות, אובדן נתונים בלתי הפיך ופגיעה חמורה בהמשכיות העסקית</t>
  </si>
  <si>
    <t>1. גיבוש תוכנית DRP מתועדת לכל מערכת קריטית (NIST CP-2)
2. הגדרת סדר עדיפויות לשחזור מערכות לפי BIA (CP-2(8))
3. זיהוי אתר DR חלופי ותשתיות שחזור (CP-6, CP-7)
4. תרגול DRP לפחות אחת לשנה ועדכון התוכנית (CP-4, CP-2)</t>
  </si>
  <si>
    <t>RCV-02</t>
  </si>
  <si>
    <t>גיבויים תקופתיים מוגנים ומופרדים (3-2-1)</t>
  </si>
  <si>
    <t>היעדר גיבויים תקינים ומופרדים עלול לגרום לאובדן מוחלט של נתונים באירוע כופרה, מחיקה זדונית או כשל חומרה, ללא יכולת שחזור</t>
  </si>
  <si>
    <t>1. יישום מדיניות גיבוי 3-2-1 — שלושה עותקים, שני מדיות, אחד offsite (NIST CP-9)
2. הפרדת גיבויים מהרשת התפעולית (air-gap/immutable) (CP-9(8))
3. הצפנת גיבויים רגישים (CP-9, SC-28)
4. ניטור שלמות וזמינות גיבויים באופן אוטומטי (CP-9, CP-9(1))</t>
  </si>
  <si>
    <t>RCV-03</t>
  </si>
  <si>
    <t>בדיקות שחזור תקופתיות ואימות שלמות גיבויים</t>
  </si>
  <si>
    <t>אי-ביצוע בדיקות שחזור עלול לגרום לגילוי מאוחר שגיבויים פגומים או לא ניתנים לשחזור, דווקא ברגע הקריטי של אירוע שדורש התאוששות מיידית</t>
  </si>
  <si>
    <t>1. ביצוע בדיקות שחזור (restore tests) תקופתיות (לפחות רבעוניות) (NIST CP-4)
2. אימות שלמות נתונים משוחזרים מול מקור (CP-4(2))
3. תיעוד תוצאות בדיקות שחזור ותיקון תקלות שנמצאו (CP-4)
4. בדיקת שחזור מלא (full DR test) לפחות אחת לשנה (CP-4, CP-2)</t>
  </si>
  <si>
    <t>RCV-04</t>
  </si>
  <si>
    <t>יעדי זמן והיקף התאוששות (RTO/RPO) מוגדרים</t>
  </si>
  <si>
    <t>היעדר הגדרת יעדי RTO/RPO עלול לגרום לציפיות בלתי ריאליות של ההנהלה, תעדוף שגוי בשחזור מערכות ועיכובים קריטיים בחזרה לפעילות תקינה</t>
  </si>
  <si>
    <t>1. הגדרת יעדי RTO ו-RPO לכל מערכת קריטית בהתבסס על BIA (NIST CP-2)
2. אישור יעדי RTO/RPO ע"י ההנהלה ובעלי התהליכים (CP-2)
3. בדיקת יכולת עמידה ביעדים בתרגילי DR (CP-4)
4. התאמת ארכיטקטורת HA/DR ליעדים המוגדרים (CP-2(8), CP-7)</t>
  </si>
  <si>
    <t>RCV-05</t>
  </si>
  <si>
    <t>תוכנית המשכיות עסקית (BCP) משולבת</t>
  </si>
  <si>
    <t>היעדר תוכנית המשכיות עסקית (BCP) עלול לגרום לשיתוק תפעולי מלא באירוע סייבר חמור, אובדן הכנסות ופגיעה בשירות ללקוחות</t>
  </si>
  <si>
    <t>1. גיבוש תוכנית BCP משולבת המכסה תרחישי סייבר ותפעול (NIST CP-2)
2. שיתוף בעלי תהליכים עסקיים בפיתוח ואימות ה-BCP (CP-2, PM-11)
3. הגדרת תהליכי עבודה חלופיים (workarounds) לתקופת השבתה (CP-2)
4. תרגול BCP שנתי ועדכון בהתאם לשינויים (CP-4, CP-2)</t>
  </si>
  <si>
    <t>RCV-06</t>
  </si>
  <si>
    <t>הפקת לקחים ושיפור לאחר אירוע</t>
  </si>
  <si>
    <t>היעדר תהליך הפקת לקחים עלול לגרום להישנות אירועים דומים, אי-שיפור יכולות ההגנה והחמצת הזדמנות לחזק את עמידות הארגון</t>
  </si>
  <si>
    <t>1. ביצוע תהליך Lessons Learned מובנה לאחר כל אירוע סייבר (NIST IR-4(5))
2. תיעוד ממצאים, שורשי כשל והמלצות לשיפור (IR-4(5), IR-5)
3. מעקב אחר יישום ההמלצות עד לסגירתן (CA-5)
4. שיתוף לקחים עם צוותים רלוונטיים לשיפור מוכנות (IR-4, AT-3)</t>
  </si>
  <si>
    <t>AWR-01</t>
  </si>
  <si>
    <t>מודעות והדרכה</t>
  </si>
  <si>
    <t>תוכנית הדרכה ומודעות סייבר לכלל העובדים</t>
  </si>
  <si>
    <t>היעדר תוכנית הדרכה ומודעות סייבר עלול להותיר עובדים חשופים לתקיפות הנדסה חברתית (פישינג, vishing), לחיצה על קישורים זדוניים ודלף מידע בשל חוסר מודעות</t>
  </si>
  <si>
    <t>1. הפעלת תוכנית הדרכת מודעות סייבר שנתית לכלל העובדים (NIST AT-2)
2. כיסוי נושאים: פישינג, הנדסה חברתית, סיסמאות, מידע רגיש (AT-2(2))
3. חובת השתתפות והשלמה עם מבחן ידע (AT-2)
4. מדידת אפקטיביות — שיעורי השלמה וציוני מבחנים (AT-2, PM-14)</t>
  </si>
  <si>
    <t>AWR-02</t>
  </si>
  <si>
    <t>הדרכות ייעודיות לבעלי תפקידים רגישים</t>
  </si>
  <si>
    <t>היעדר הדרכות ייעודיות לבעלי תפקידים רגישים עלול לגרום לטעויות אבטחה של מנהלי מערכות, מפתחים ובעלי הרשאות גבוהות — הגורמים לנזק הגדול ביותר בארגון</t>
  </si>
  <si>
    <t>1. הדרכות סייבר ייעודיות למנהלי מערכות, מפתחים ו-IT (NIST AT-3)
2. הדרכות ייעודיות להנהלה בכירה על ניהול סיכוני סייבר (AT-3)
3. הדרכות secure coding למפתחים (AT-3, SA-15)
4. הדרכות incident handling לצוותי SOC/IR (AT-3, IR-2)</t>
  </si>
  <si>
    <t>AWR-03</t>
  </si>
  <si>
    <t>תרגולי פישינג והעלאת מודעות תקופתיים</t>
  </si>
  <si>
    <t>היעדר תרגולי פישינג תקופתיים עלול להותיר את הארגון חשוף למתקפות דיוג מתוחכמות, ללא יכולת למדוד ולשפר את ערנות העובדים לאיומי הנדסה חברתית</t>
  </si>
  <si>
    <t>1. ביצוע קמפיינים מבוקרים של פישינג סימולטיבי (NIST AT-2(3))
2. הדרכה ממוקדת לעובדים שנפלו בסימולציה (AT-2(3))
3. מדידת שיפור — שיעורי לחיצה ודיווח לאורך זמן (AT-2(3), PM-14)
4. שימוש בתרחישים מגוונים: דוא"ל, SMS, שיחות טלפון (AT-2(3))</t>
  </si>
  <si>
    <t>SUP-01</t>
  </si>
  <si>
    <t>שרשרת אספקה וצד ג'</t>
  </si>
  <si>
    <t>מיפוי ותיעדוף ספקים קריטיים לפי סיכון</t>
  </si>
  <si>
    <t>היעדר מיפוי ותיעדוף ספקים קריטיים עלול לגרום לחוסר מודעות לתלות בספקים בעלי סיכון גבוה, חשיפה למתקפות שרשרת אספקה ופגיעה בהמשכיות מכשל ספק</t>
  </si>
  <si>
    <t>1. בניית מרשם ספקים קריטיים ותיעדופם לפי רמת סיכון (NIST SR-2, PM-9)
2. סיווג ספקים לפי גישה למידע, קריטיות השירות ומורכבות החיבור (SR-2(1))
3. מיפוי תלויות שרשרת אספקה מול תהליכים עסקיים קריטיים (SR-2)
4. עדכון תקופתי של מרשם הספקים ודירוג הסיכון (SR-2, PM-30)</t>
  </si>
  <si>
    <t>SUP-02</t>
  </si>
  <si>
    <t>דרישות אבטחת סייבר בהסכמים עם ספקים</t>
  </si>
  <si>
    <t>היעדר דרישות אבטחת סייבר בהסכמי ספקים עלול לחשוף את הארגון לגישה בלתי מאובטחת של ספקים, חוסר אחריות משפטית באירוע ופערי הגנה בנקודות החיבור</t>
  </si>
  <si>
    <t>1. הכללת דרישות אבטחת סייבר בחוזים עם ספקים (NIST SA-4, SR-3)
2. הגדרת SLA לאבטחה — patching, דיווח אירועים, הצפנה (SA-4(1))
3. שמירת זכות ביקורת (right to audit) בהסכם (SA-4, SA-9)
4. חובת הודעה מיידית על אירוע סייבר אצל הספק (IR-6, SA-9)</t>
  </si>
  <si>
    <t>SUP-03</t>
  </si>
  <si>
    <t>בדיקת נאותות (due diligence) לפני התקשרות</t>
  </si>
  <si>
    <t>היעדר בדיקת נאותות (due diligence) לפני התקשרות עלול לגרום לשיתוף פעולה עם ספקים בעלי רמת אבטחה נמוכה, חשיפה לסיכוני צד ג' ופגיעה ברגולציה</t>
  </si>
  <si>
    <t>1. ביצוע הערכת סיכוני סייבר לספק לפני התקשרות (NIST RA-3, SR-5)
2. בדיקת הסמכות אבטחה (ISO 27001, SOC2) ותוצאות ביקורת (SR-5)
3. סקירת ארכיטקטורת אבטחה ובקרות הספק (SA-4, SR-6)
4. הערכת מצב סייבר של ספקי משנה (fourth-party risk) (SR-2(1), SR-5)</t>
  </si>
  <si>
    <t>SUP-04</t>
  </si>
  <si>
    <t>ניטור ובקרת סיכוני ספקים לאורך ההתקשרות</t>
  </si>
  <si>
    <t>היעדר ניטור סיכוני ספקים לאורך ההתקשרות עלול לגרום להתעלמות מהידרדרות ברמת האבטחה של הספק, שינויים בפרופיל הסיכון ואירועי אבטחה בצד הספק</t>
  </si>
  <si>
    <t>1. ביצוע הערכת סיכוני ספקים תקופתית (לפחות שנתית) (NIST SR-6, CA-7)
2. ניטור רציף של מצב אבטחת הספק (security ratings) (SR-6(1))
3. מעקב אחר אירועי סייבר, דליפות ופגיעויות אצל ספקים (SR-6, PM-16)
4. הפעלת סעיפי יציאה/סנקציה בעת אי-עמידה בדרישות (SA-4, SR-3)</t>
  </si>
  <si>
    <t>SUP-05</t>
  </si>
  <si>
    <t>הגנה על ממשקים וחיבורים לצד ג'</t>
  </si>
  <si>
    <t>היעדר הגנה על ממשקים וחיבורי צד ג' עלול לאפשר חדירה דרך ערוצי חיבור מהימנים, תנועה רוחבית מרשת ספק לרשת הארגון וגישה למידע רגיש ללא הרשאה</t>
  </si>
  <si>
    <t>1. הגבלת גישת ספקים באמצעות jump server / privileged gateway (NIST AC-17, SC-7)
2. הפרדת רשת ספקים מהרשת הפנימית (SC-7, CA-3)
3. ניטור כל פעילות ספקים ברשת ותיעודה (AU-12, SI-4)
4. ביטול גישת ספקים מיד בסיום עבודה/חוזה (AC-2, PS-7)</t>
  </si>
  <si>
    <t>PHY-01</t>
  </si>
  <si>
    <t>הגנה פיזית</t>
  </si>
  <si>
    <t>בקרת גישה פיזית לחדרי שרתים ותשתית קריטית</t>
  </si>
  <si>
    <t>היעדר בקרת גישה פיזית עלול לאפשר כניסה בלתי מורשית לחדרי שרתים, השתלת חומרה זדונית, גניבת ציוד ופגיעה פיזית בתשתיות קריטיות</t>
  </si>
  <si>
    <t>1. הטמעת בקרת גישה פיזית רב-שכבתית — כרטיסים, ביומטריה, PIN (NIST PE-2, PE-3)
2. הגבלת גישה לחדרי שרתים לגורמים מורשים בלבד (PE-3(1))
3. ליווי אורחים וספקים באזורים מוגנים (PE-7)
4. רישום ותיעוד כל כניסה ויציאה מאזורים קריטיים (PE-8)</t>
  </si>
  <si>
    <t>PHY-02</t>
  </si>
  <si>
    <t>הגנה מפני איומים סביבתיים (אש, מים, חשמל)</t>
  </si>
  <si>
    <t>היעדר הגנה מפני איומים סביבתיים עלול לגרום לנזק פיזי למערכות מאש, הצפה, הפסקת חשמל ממושכת או תנאי סביבה קיצוניים, עם השבתה מלאה של שירותים</t>
  </si>
  <si>
    <t>1. התקנת מערכות גילוי וכיבוי אש בחדרי שרתים (NIST PE-13)
2. הגנה מפני הצפות — רצפה מוגבהת, חיישני מים (PE-15)
3. אספקת חשמל רציפה — UPS וגנרטור חירום (PE-11)
4. ניטור תנאי סביבה — טמפרטורה, לחות, מתח חשמלי (PE-14)</t>
  </si>
  <si>
    <t>PHY-03</t>
  </si>
  <si>
    <t>ניטור ותיעוד גישה פיזית</t>
  </si>
  <si>
    <t>היעדר ניטור ותיעוד גישה פיזית עלול להקשות על זיהוי חדירה פיזית, לאפשר גישה חוזרת של גורמים לא מורשים ולפגוע ביכולת חקירה לאחר אירוע</t>
  </si>
  <si>
    <t>1. התקנת מצלמות CCTV עם הקלטה באזורים קריטיים (NIST PE-6, PE-8)
2. שמירת רישומי גישה פיזית לפחות 90 יום (PE-8)
3. סקירה תקופתית של לוגי גישה וזיהוי חריגות (PE-6(1))
4. התרעה בזמן אמת על ניסיונות גישה לא מורשים (PE-6, SI-4)</t>
  </si>
  <si>
    <t>סיכון מובנה</t>
  </si>
  <si>
    <t>כמות</t>
  </si>
  <si>
    <t>ציון ממוצע</t>
  </si>
  <si>
    <t>רמה</t>
  </si>
  <si>
    <t>סיכון נוכחי</t>
  </si>
  <si>
    <t>החלטת הנהלה</t>
  </si>
  <si>
    <t>מובנה</t>
  </si>
  <si>
    <t>שיורי</t>
  </si>
  <si>
    <t>נוכחי</t>
  </si>
  <si>
    <t>רלוונטיות</t>
  </si>
  <si>
    <t>קריטי</t>
  </si>
  <si>
    <t>הפחתת סיכון - הוספת בקרות מונעות</t>
  </si>
  <si>
    <t>רלוונטית</t>
  </si>
  <si>
    <t>גבוה</t>
  </si>
  <si>
    <t>העברת הסיכון</t>
  </si>
  <si>
    <t>לא רלוונטית</t>
  </si>
  <si>
    <t>בינוני</t>
  </si>
  <si>
    <t>קבלת הסיכון</t>
  </si>
  <si>
    <t>נמוך</t>
  </si>
  <si>
    <t>הימנעות מהסיכון</t>
  </si>
  <si>
    <t>דשבורד מנהלים  |  הערכת סיכונים  —  תורת ההגנה בסייבר 2.0 (מערך הסייבר הלאומי)</t>
  </si>
  <si>
    <t>תמונת מצב נוכחית</t>
  </si>
  <si>
    <t>בקרות רלוונטיות</t>
  </si>
  <si>
    <t>בקרות לא
רלוונטיות</t>
  </si>
  <si>
    <t>חשיפה קריטית
נוכחית</t>
  </si>
  <si>
    <t>חשיפה גבוהה
נוכחית</t>
  </si>
  <si>
    <t>ציון ממוצע
(רלוונטיות)</t>
  </si>
  <si>
    <t>הושלמו</t>
  </si>
  <si>
    <t>פתוחות
(לא התחיל)</t>
  </si>
  <si>
    <t>מפת חום סיכונים 5×5 (לא כולל בקרות לא רלוונטיות)</t>
  </si>
  <si>
    <t>כמות הסיכונים לפי רמה — מובנה / שיורי / נוכחי</t>
  </si>
  <si>
    <t>סטטוס טיפול</t>
  </si>
  <si>
    <t>הסת\השפ</t>
  </si>
  <si>
    <t>השפעה ←</t>
  </si>
  <si>
    <t>התפלגות החלטות הנהלה לטיפול בסיכון</t>
  </si>
  <si>
    <t>חשיפה נוכחית בפועל (לפי רמה)</t>
  </si>
  <si>
    <t>ציון סיכון ממוצע לפי משפחת בקרה</t>
  </si>
  <si>
    <t>רלוונטיות הבקרות</t>
  </si>
  <si>
    <t>הערה: בקרות המסומנות 'כן' בעמודת 'בקרה לא רלוונטית' מוחרגות אוטומטית מכל הספירות, הממוצעים, מפת החום והגרפים.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</si>
</sst>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11"/>
      <color theme="1"/>
      <name val="FreeSans"/>
      <family val="2"/>
    </font>
    <font>
      <b/>
      <sz val="15"/>
      <color rgb="FFFFFFFF"/>
      <name val="Arial"/>
      <charset val="1"/>
    </font>
    <font>
      <b/>
      <sz val="11"/>
      <color rgb="FF1F3864"/>
      <name val="Arial"/>
      <charset val="1"/>
    </font>
    <font>
      <b/>
      <sz val="24"/>
      <color rgb="FF1F3864"/>
      <name val="Arial"/>
      <charset val="1"/>
    </font>
    <font>
      <b/>
      <sz val="24"/>
      <color rgb="FF808080"/>
      <name val="Arial"/>
      <charset val="1"/>
    </font>
    <font>
      <b/>
      <sz val="24"/>
      <color rgb="FFC00000"/>
      <name val="Arial"/>
      <charset val="1"/>
    </font>
    <font>
      <b/>
      <sz val="24"/>
      <color rgb="FFED7D31"/>
      <name val="Arial"/>
      <charset val="1"/>
    </font>
    <font>
      <b/>
      <sz val="24"/>
      <color rgb="FF2E5496"/>
      <name val="Arial"/>
      <charset val="1"/>
    </font>
    <font>
      <b/>
      <sz val="24"/>
      <color rgb="FF548235"/>
      <name val="Arial"/>
      <charset val="1"/>
    </font>
    <font>
      <b/>
      <sz val="11"/>
      <color rgb="FFFFFFFF"/>
      <name val="Arial"/>
      <charset val="1"/>
    </font>
    <font>
      <b/>
      <sz val="8"/>
      <name val="Arial"/>
      <charset val="1"/>
    </font>
    <font>
      <b/>
      <sz val="10"/>
      <name val="Arial"/>
      <charset val="1"/>
    </font>
    <font>
      <b/>
      <sz val="13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i/>
      <sz val="9"/>
      <color rgb="FF80808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808080"/>
        <bgColor rgb="FF878787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808080"/>
      </patternFill>
    </fill>
    <fill>
      <patternFill patternType="solid">
        <fgColor rgb="FFD9D9D9"/>
        <bgColor rgb="FFD0D0D0"/>
      </patternFill>
    </fill>
    <fill>
      <patternFill patternType="solid">
        <fgColor rgb="FFBFBFBF"/>
        <bgColor rgb="FFD0D0D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9BBB59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43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0" xfId="0" applyFont="1" applyFill="1" applyAlignment="1"/>
    <xf numFmtId="0" fontId="3" fillId="2" borderId="0" xfId="0" applyFont="1" applyFill="1" applyAlignment="1"/>
    <xf numFmtId="0" fontId="4" fillId="0" borderId="0" xfId="0" applyFont="1" applyAlignment="1"/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0" fillId="11" borderId="1" xfId="0" applyFill="1" applyBorder="1" applyAlignment="1"/>
    <xf numFmtId="0" fontId="0" fillId="10" borderId="1" xfId="0" applyFill="1" applyBorder="1" applyAlignment="1"/>
    <xf numFmtId="0" fontId="0" fillId="6" borderId="1" xfId="0" applyFill="1" applyBorder="1" applyAlignment="1"/>
    <xf numFmtId="0" fontId="0" fillId="5" borderId="1" xfId="0" applyFill="1" applyBorder="1" applyAlignment="1"/>
    <xf numFmtId="0" fontId="13" fillId="2" borderId="0" xfId="0" applyFont="1" applyFill="1" applyAlignment="1">
      <alignment horizontal="center" vertical="center" wrapText="1"/>
    </xf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2" borderId="0" xfId="0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 applyAlignment="1"/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9" fillId="0" borderId="0" xfId="0" applyFont="1" applyAlignment="1"/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i/>
        <sz val="9"/>
        <color rgb="FF808080"/>
        <name val="Arial"/>
      </font>
      <fill>
        <patternFill>
          <bgColor rgb="FFD9D9D9"/>
        </patternFill>
      </fill>
    </dxf>
    <dxf>
      <font>
        <b/>
        <sz val="9"/>
        <color rgb="FFFFFFFF"/>
        <name val="Arial"/>
      </font>
      <fill>
        <patternFill>
          <bgColor rgb="FFA6A6A6"/>
        </patternFill>
      </fill>
    </dxf>
    <dxf>
      <fill>
        <patternFill>
          <bgColor rgb="FFF4B6B6"/>
        </patternFill>
      </fill>
    </dxf>
    <dxf>
      <fill>
        <patternFill>
          <bgColor rgb="FFFFE699"/>
        </patternFill>
      </fill>
    </dxf>
    <dxf>
      <fill>
        <patternFill>
          <bgColor rgb="FFA9D08E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  <dxf>
      <font>
        <sz val="9"/>
        <color rgb="FF000000"/>
        <name val="Arial"/>
      </font>
      <fill>
        <patternFill>
          <bgColor rgb="FF70AD47"/>
        </patternFill>
      </fill>
    </dxf>
    <dxf>
      <font>
        <sz val="9"/>
        <color rgb="FF000000"/>
        <name val="Arial"/>
      </font>
      <fill>
        <patternFill>
          <bgColor rgb="FFFFC000"/>
        </patternFill>
      </fill>
    </dxf>
    <dxf>
      <font>
        <sz val="9"/>
        <color rgb="FF000000"/>
        <name val="Arial"/>
      </font>
      <fill>
        <patternFill>
          <bgColor rgb="FFED7D31"/>
        </patternFill>
      </fill>
    </dxf>
    <dxf>
      <font>
        <b/>
        <sz val="9"/>
        <color rgb="FFFFFFFF"/>
        <name val="Arial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A6A6A6"/>
      <rgbColor rgb="FFC0504D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A9D08E"/>
      <rgbColor rgb="FFFF99CC"/>
      <rgbColor rgb="FFCC99FF"/>
      <rgbColor rgb="FFF4B6B6"/>
      <rgbColor rgb="FF4F81BD"/>
      <rgbColor rgb="FF33CCCC"/>
      <rgbColor rgb="FF9BBB59"/>
      <rgbColor rgb="FFFFC000"/>
      <rgbColor rgb="FFFF9900"/>
      <rgbColor rgb="FFED7D31"/>
      <rgbColor rgb="FF8064A2"/>
      <rgbColor rgb="FF878787"/>
      <rgbColor rgb="FF1F3864"/>
      <rgbColor rgb="FF70AD47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נתוני_חישוב!$R$1</c:f>
              <c:strCache>
                <c:ptCount val="1"/>
                <c:pt idx="0">
                  <c:v>מובנה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נתוני_חישוב!$R$2:$R$5</c:f>
              <c:numCache>
                <c:formatCode>General</c:formatCode>
                <c:ptCount val="4"/>
                <c:pt idx="0">
                  <c:v>27</c:v>
                </c:pt>
                <c:pt idx="1">
                  <c:v>19</c:v>
                </c:pt>
                <c:pt idx="2">
                  <c:v>19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2-4F76-8B9D-88445D069204}"/>
            </c:ext>
          </c:extLst>
        </c:ser>
        <c:ser>
          <c:idx val="1"/>
          <c:order val="1"/>
          <c:tx>
            <c:strRef>
              <c:f>נתוני_חישוב!$S$1</c:f>
              <c:strCache>
                <c:ptCount val="1"/>
                <c:pt idx="0">
                  <c:v>שיורי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נתוני_חישוב!$S$2:$S$5</c:f>
              <c:numCache>
                <c:formatCode>General</c:formatCode>
                <c:ptCount val="4"/>
                <c:pt idx="0">
                  <c:v>6</c:v>
                </c:pt>
                <c:pt idx="1">
                  <c:v>7</c:v>
                </c:pt>
                <c:pt idx="2">
                  <c:v>19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2-4F76-8B9D-88445D069204}"/>
            </c:ext>
          </c:extLst>
        </c:ser>
        <c:ser>
          <c:idx val="2"/>
          <c:order val="2"/>
          <c:tx>
            <c:strRef>
              <c:f>נתוני_חישוב!$T$1</c:f>
              <c:strCache>
                <c:ptCount val="1"/>
                <c:pt idx="0">
                  <c:v>נוכחי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נתוני_חישוב!$Q$2:$Q$5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נתוני_חישוב!$T$2:$T$5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E2-4F76-8B9D-88445D069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9197"/>
        <c:axId val="67108425"/>
      </c:barChart>
      <c:catAx>
        <c:axId val="2499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08425"/>
        <c:crosses val="autoZero"/>
        <c:auto val="1"/>
        <c:lblAlgn val="ctr"/>
        <c:lblOffset val="100"/>
        <c:noMultiLvlLbl val="0"/>
      </c:catAx>
      <c:valAx>
        <c:axId val="67108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919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נתוני_חישוב!$F$1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8EA-436F-AE0B-C3D95B8DC55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EA-436F-AE0B-C3D95B8DC55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EA-436F-AE0B-C3D95B8DC55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8EA-436F-AE0B-C3D95B8DC55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8EA-436F-AE0B-C3D95B8DC55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8EA-436F-AE0B-C3D95B8DC5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נתוני_חישוב!$E$2:$E$4</c:f>
              <c:strCache>
                <c:ptCount val="3"/>
                <c:pt idx="0">
                  <c:v>הושלם</c:v>
                </c:pt>
                <c:pt idx="1">
                  <c:v>בתהליך</c:v>
                </c:pt>
                <c:pt idx="2">
                  <c:v>לא התחיל</c:v>
                </c:pt>
              </c:strCache>
            </c:strRef>
          </c:cat>
          <c:val>
            <c:numRef>
              <c:f>נתוני_חישוב!$F$2:$F$4</c:f>
              <c:numCache>
                <c:formatCode>General</c:formatCode>
                <c:ptCount val="3"/>
                <c:pt idx="0">
                  <c:v>23</c:v>
                </c:pt>
                <c:pt idx="1">
                  <c:v>24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EA-436F-AE0B-C3D95B8DC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נתוני_חישוב!$O$1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נתוני_חישוב!$N$2:$N$5</c:f>
              <c:strCache>
                <c:ptCount val="4"/>
                <c:pt idx="0">
                  <c:v>הפחתת סיכון - הוספת בקרות מונעות</c:v>
                </c:pt>
                <c:pt idx="1">
                  <c:v>העברת הסיכון</c:v>
                </c:pt>
                <c:pt idx="2">
                  <c:v>קבלת הסיכון</c:v>
                </c:pt>
                <c:pt idx="3">
                  <c:v>הימנעות מהסיכון</c:v>
                </c:pt>
              </c:strCache>
            </c:strRef>
          </c:cat>
          <c:val>
            <c:numRef>
              <c:f>נתוני_חישוב!$O$2:$O$5</c:f>
              <c:numCache>
                <c:formatCode>General</c:formatCode>
                <c:ptCount val="4"/>
                <c:pt idx="0">
                  <c:v>28</c:v>
                </c:pt>
                <c:pt idx="1">
                  <c:v>0</c:v>
                </c:pt>
                <c:pt idx="2">
                  <c:v>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4-47E0-9431-333374C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243339"/>
        <c:axId val="58739656"/>
      </c:barChart>
      <c:catAx>
        <c:axId val="292433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739656"/>
        <c:crosses val="autoZero"/>
        <c:auto val="1"/>
        <c:lblAlgn val="ctr"/>
        <c:lblOffset val="100"/>
        <c:noMultiLvlLbl val="0"/>
      </c:catAx>
      <c:valAx>
        <c:axId val="587396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4333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נתוני_חישוב!$L$1</c:f>
              <c:strCache>
                <c:ptCount val="1"/>
                <c:pt idx="0">
                  <c:v>סיכון נוכחי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D6B1-46BB-BF75-978D0F1BA1E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B1-46BB-BF75-978D0F1BA1E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B1-46BB-BF75-978D0F1BA1E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B1-46BB-BF75-978D0F1BA1E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D6B1-46BB-BF75-978D0F1BA1E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D6B1-46BB-BF75-978D0F1BA1E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D6B1-46BB-BF75-978D0F1BA1E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D6B1-46BB-BF75-978D0F1BA1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נתוני_חישוב!$K$2:$K$5</c:f>
              <c:strCache>
                <c:ptCount val="4"/>
                <c:pt idx="0">
                  <c:v>קריטי</c:v>
                </c:pt>
                <c:pt idx="1">
                  <c:v>גבוה</c:v>
                </c:pt>
                <c:pt idx="2">
                  <c:v>בינוני</c:v>
                </c:pt>
                <c:pt idx="3">
                  <c:v>נמוך</c:v>
                </c:pt>
              </c:strCache>
            </c:strRef>
          </c:cat>
          <c:val>
            <c:numRef>
              <c:f>נתוני_חישוב!$L$2:$L$5</c:f>
              <c:numCache>
                <c:formatCode>General</c:formatCode>
                <c:ptCount val="4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B1-46BB-BF75-978D0F1BA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נתוני_חישוב!$I$1</c:f>
              <c:strCache>
                <c:ptCount val="1"/>
                <c:pt idx="0">
                  <c:v>ציון ממוצע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נתוני_חישוב!$H$2:$H$13</c:f>
              <c:strCache>
                <c:ptCount val="12"/>
                <c:pt idx="0">
                  <c:v>ממשל וניהול סיכונים</c:v>
                </c:pt>
                <c:pt idx="1">
                  <c:v>זיהוי ומיפוי נכסים</c:v>
                </c:pt>
                <c:pt idx="2">
                  <c:v>הגנה — גישה וזהות</c:v>
                </c:pt>
                <c:pt idx="3">
                  <c:v>הגנה — רשת ותשתית</c:v>
                </c:pt>
                <c:pt idx="4">
                  <c:v>הגנה — קצה ושרתים</c:v>
                </c:pt>
                <c:pt idx="5">
                  <c:v>הגנה — מידע</c:v>
                </c:pt>
                <c:pt idx="6">
                  <c:v>גילוי וניטור</c:v>
                </c:pt>
                <c:pt idx="7">
                  <c:v>תגובה לאירוע</c:v>
                </c:pt>
                <c:pt idx="8">
                  <c:v>התאוששות</c:v>
                </c:pt>
                <c:pt idx="9">
                  <c:v>מודעות והדרכה</c:v>
                </c:pt>
                <c:pt idx="10">
                  <c:v>שרשרת אספקה וצד ג'</c:v>
                </c:pt>
                <c:pt idx="11">
                  <c:v>הגנה פיזית</c:v>
                </c:pt>
              </c:strCache>
            </c:strRef>
          </c:cat>
          <c:val>
            <c:numRef>
              <c:f>נתוני_חישוב!$I$2:$I$13</c:f>
              <c:numCache>
                <c:formatCode>General</c:formatCode>
                <c:ptCount val="12"/>
                <c:pt idx="0">
                  <c:v>8.6</c:v>
                </c:pt>
                <c:pt idx="1">
                  <c:v>13.6</c:v>
                </c:pt>
                <c:pt idx="2">
                  <c:v>10.5</c:v>
                </c:pt>
                <c:pt idx="3">
                  <c:v>15.4</c:v>
                </c:pt>
                <c:pt idx="4">
                  <c:v>10.7</c:v>
                </c:pt>
                <c:pt idx="5">
                  <c:v>12.4</c:v>
                </c:pt>
                <c:pt idx="6">
                  <c:v>13.9</c:v>
                </c:pt>
                <c:pt idx="7">
                  <c:v>13.3</c:v>
                </c:pt>
                <c:pt idx="8">
                  <c:v>10.8</c:v>
                </c:pt>
                <c:pt idx="9">
                  <c:v>15.3</c:v>
                </c:pt>
                <c:pt idx="10">
                  <c:v>14.6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E-48F9-86B6-72176CE1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11446"/>
        <c:axId val="67725627"/>
      </c:barChart>
      <c:catAx>
        <c:axId val="1581144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25627"/>
        <c:crosses val="autoZero"/>
        <c:auto val="1"/>
        <c:lblAlgn val="ctr"/>
        <c:lblOffset val="100"/>
        <c:noMultiLvlLbl val="0"/>
      </c:catAx>
      <c:valAx>
        <c:axId val="677256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1144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נתוני_חישוב!$W$1</c:f>
              <c:strCache>
                <c:ptCount val="1"/>
                <c:pt idx="0">
                  <c:v>כמות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C66-4E9B-8EA2-316DE484213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C66-4E9B-8EA2-316DE484213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C66-4E9B-8EA2-316DE484213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C66-4E9B-8EA2-316DE4842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נתוני_חישוב!$V$2:$V$3</c:f>
              <c:strCache>
                <c:ptCount val="2"/>
                <c:pt idx="0">
                  <c:v>רלוונטית</c:v>
                </c:pt>
                <c:pt idx="1">
                  <c:v>לא רלוונטית</c:v>
                </c:pt>
              </c:strCache>
            </c:strRef>
          </c:cat>
          <c:val>
            <c:numRef>
              <c:f>נתוני_חישוב!$W$2:$W$3</c:f>
              <c:numCache>
                <c:formatCode>General</c:formatCode>
                <c:ptCount val="2"/>
                <c:pt idx="0">
                  <c:v>72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66-4E9B-8EA2-316DE4842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-480960</xdr:colOff>
      <xdr:row>9</xdr:row>
      <xdr:rowOff>39960</xdr:rowOff>
    </xdr:from>
    <xdr:to>
      <xdr:col>29</xdr:col>
      <xdr:colOff>0</xdr:colOff>
      <xdr:row>18</xdr:row>
      <xdr:rowOff>150840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-199080</xdr:colOff>
      <xdr:row>9</xdr:row>
      <xdr:rowOff>39960</xdr:rowOff>
    </xdr:from>
    <xdr:to>
      <xdr:col>31</xdr:col>
      <xdr:colOff>0</xdr:colOff>
      <xdr:row>18</xdr:row>
      <xdr:rowOff>150840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-151200</xdr:colOff>
      <xdr:row>20</xdr:row>
      <xdr:rowOff>40320</xdr:rowOff>
    </xdr:from>
    <xdr:to>
      <xdr:col>25</xdr:col>
      <xdr:colOff>0</xdr:colOff>
      <xdr:row>33</xdr:row>
      <xdr:rowOff>83160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-481320</xdr:colOff>
      <xdr:row>20</xdr:row>
      <xdr:rowOff>40320</xdr:rowOff>
    </xdr:from>
    <xdr:to>
      <xdr:col>30</xdr:col>
      <xdr:colOff>0</xdr:colOff>
      <xdr:row>33</xdr:row>
      <xdr:rowOff>83160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-151200</xdr:colOff>
      <xdr:row>36</xdr:row>
      <xdr:rowOff>39960</xdr:rowOff>
    </xdr:from>
    <xdr:to>
      <xdr:col>25</xdr:col>
      <xdr:colOff>0</xdr:colOff>
      <xdr:row>51</xdr:row>
      <xdr:rowOff>61920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-481320</xdr:colOff>
      <xdr:row>36</xdr:row>
      <xdr:rowOff>39960</xdr:rowOff>
    </xdr:from>
    <xdr:to>
      <xdr:col>30</xdr:col>
      <xdr:colOff>0</xdr:colOff>
      <xdr:row>51</xdr:row>
      <xdr:rowOff>61920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73"/>
  <sheetViews>
    <sheetView rightToLeft="1" tabSelected="1" zoomScaleNormal="100" workbookViewId="0">
      <pane ySplit="1" topLeftCell="A54" activePane="bottomLeft" state="frozen"/>
      <selection pane="bottomLeft" activeCell="F2" sqref="F2:F73"/>
    </sheetView>
  </sheetViews>
  <sheetFormatPr defaultColWidth="8.7109375" defaultRowHeight="15"/>
  <cols>
    <col min="1" max="1" width="20" style="1" customWidth="1"/>
    <col min="2" max="2" width="16" style="1" customWidth="1"/>
    <col min="3" max="3" width="11" style="1" customWidth="1"/>
    <col min="4" max="4" width="20" style="1" customWidth="1"/>
    <col min="5" max="5" width="34" style="1" customWidth="1"/>
    <col min="6" max="6" width="13" style="1" customWidth="1"/>
    <col min="7" max="7" width="28" style="1" customWidth="1"/>
    <col min="8" max="9" width="9" style="1" customWidth="1"/>
    <col min="10" max="10" width="8" style="1" customWidth="1"/>
    <col min="11" max="11" width="11" style="1" customWidth="1"/>
    <col min="12" max="12" width="12" style="1" customWidth="1"/>
    <col min="13" max="13" width="30" style="1" customWidth="1"/>
    <col min="14" max="15" width="10" style="1" customWidth="1"/>
    <col min="16" max="16" width="9" style="1" customWidth="1"/>
    <col min="17" max="17" width="12" style="1" customWidth="1"/>
    <col min="18" max="18" width="13" style="1" customWidth="1"/>
    <col min="19" max="19" width="12" style="1" customWidth="1"/>
    <col min="20" max="20" width="11" style="1" customWidth="1"/>
    <col min="21" max="21" width="12" style="1" customWidth="1"/>
    <col min="22" max="22" width="24" style="1" customWidth="1"/>
    <col min="23" max="23" width="13" style="1" customWidth="1"/>
  </cols>
  <sheetData>
    <row r="1" spans="1:23" ht="4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2.35" customHeight="1">
      <c r="A2" s="3" t="s">
        <v>23</v>
      </c>
      <c r="B2" s="3" t="s">
        <v>24</v>
      </c>
      <c r="C2" s="3"/>
      <c r="D2" s="4" t="s">
        <v>25</v>
      </c>
      <c r="E2" s="4" t="s">
        <v>25</v>
      </c>
      <c r="F2" s="3"/>
      <c r="G2" s="4" t="s">
        <v>26</v>
      </c>
      <c r="H2" s="3">
        <v>2</v>
      </c>
      <c r="I2" s="3">
        <v>2</v>
      </c>
      <c r="J2" s="3">
        <f>IF(W2="כן","",H2*I2)</f>
        <v>4</v>
      </c>
      <c r="K2" s="3" t="str">
        <f>IF(W2="כן","",IF(J2="","",IF(J2&gt;=15,"קריטי",IF(J2&gt;=10,"גבוה",IF(J2&gt;=5,"בינוני","נמוך")))))</f>
        <v>נמוך</v>
      </c>
      <c r="L2" s="4" t="s">
        <v>27</v>
      </c>
      <c r="M2" s="4" t="s">
        <v>28</v>
      </c>
      <c r="N2" s="3">
        <v>1</v>
      </c>
      <c r="O2" s="3">
        <v>2</v>
      </c>
      <c r="P2" s="3">
        <f t="shared" ref="P2:P33" si="0">IF(W2="כן","",N2*O2)</f>
        <v>2</v>
      </c>
      <c r="Q2" s="3" t="str">
        <f t="shared" ref="Q2:Q33" si="1">IF(W2="כן","",IF(P2="","",IF(P2&gt;=15,"קריטי",IF(P2&gt;=10,"גבוה",IF(P2&gt;=5,"בינוני","נמוך")))))</f>
        <v>נמוך</v>
      </c>
      <c r="R2" s="3">
        <f>IF(W2="כן","",IF(T2="הושלם",P2,IF(T2="בתהליך",ROUNDUP((J2+P2)/2,0),J2)))</f>
        <v>2</v>
      </c>
      <c r="S2" s="3" t="str">
        <f t="shared" ref="S2:S33" si="2">IF(W2="כן","",IF(R2="","",IF(R2&gt;=15,"קריטי",IF(R2&gt;=10,"גבוה",IF(R2&gt;=5,"בינוני","נמוך")))))</f>
        <v>נמוך</v>
      </c>
      <c r="T2" s="3" t="s">
        <v>29</v>
      </c>
      <c r="U2" s="3" t="s">
        <v>30</v>
      </c>
      <c r="V2" s="4" t="str">
        <f t="shared" ref="V2:V33" si="3">IF(W2="כן","לא רלוונטי",IF(T2="הושלם","קבלת הסיכון",IF(OR(S2="קריטי",S2="גבוה"),"הפחתת סיכון - הוספת בקרות מונעות","קבלת הסיכון")))</f>
        <v>קבלת הסיכון</v>
      </c>
      <c r="W2" s="3" t="s">
        <v>31</v>
      </c>
    </row>
    <row r="3" spans="1:23" ht="22.35" customHeight="1">
      <c r="A3" s="3" t="s">
        <v>32</v>
      </c>
      <c r="B3" s="3" t="s">
        <v>24</v>
      </c>
      <c r="C3" s="3"/>
      <c r="D3" s="4" t="s">
        <v>33</v>
      </c>
      <c r="E3" s="4" t="s">
        <v>33</v>
      </c>
      <c r="F3" s="3"/>
      <c r="G3" s="4" t="s">
        <v>34</v>
      </c>
      <c r="H3" s="3">
        <v>2</v>
      </c>
      <c r="I3" s="3">
        <v>5</v>
      </c>
      <c r="J3" s="3">
        <f>IF(W3="כן","",H3*I3)</f>
        <v>10</v>
      </c>
      <c r="K3" s="3" t="str">
        <f>IF(W3="כן","",IF(J3="","",IF(J3&gt;=15,"קריטי",IF(J3&gt;=10,"גבוה",IF(J3&gt;=5,"בינוני","נמוך")))))</f>
        <v>גבוה</v>
      </c>
      <c r="L3" s="4" t="s">
        <v>35</v>
      </c>
      <c r="M3" s="4" t="s">
        <v>36</v>
      </c>
      <c r="N3" s="3">
        <v>1</v>
      </c>
      <c r="O3" s="3">
        <v>5</v>
      </c>
      <c r="P3" s="3">
        <f t="shared" si="0"/>
        <v>5</v>
      </c>
      <c r="Q3" s="3" t="str">
        <f t="shared" si="1"/>
        <v>בינוני</v>
      </c>
      <c r="R3" s="3">
        <f>IF(W3="כן","",IF(T3="הושלם",P3,IF(T3="בתהליך",ROUNDUP((J3+P3)/2,0),J3)))</f>
        <v>5</v>
      </c>
      <c r="S3" s="3" t="str">
        <f t="shared" si="2"/>
        <v>בינוני</v>
      </c>
      <c r="T3" s="3" t="s">
        <v>29</v>
      </c>
      <c r="U3" s="3" t="s">
        <v>30</v>
      </c>
      <c r="V3" s="4" t="str">
        <f t="shared" si="3"/>
        <v>קבלת הסיכון</v>
      </c>
      <c r="W3" s="3" t="s">
        <v>31</v>
      </c>
    </row>
    <row r="4" spans="1:23" ht="22.35" customHeight="1">
      <c r="A4" s="3" t="s">
        <v>37</v>
      </c>
      <c r="B4" s="3" t="s">
        <v>24</v>
      </c>
      <c r="C4" s="3"/>
      <c r="D4" s="4" t="s">
        <v>38</v>
      </c>
      <c r="E4" s="4" t="s">
        <v>38</v>
      </c>
      <c r="F4" s="3"/>
      <c r="G4" s="4" t="s">
        <v>39</v>
      </c>
      <c r="H4" s="3">
        <v>2</v>
      </c>
      <c r="I4" s="3">
        <v>3</v>
      </c>
      <c r="J4" s="3">
        <f>IF(W4="כן","",H4*I4)</f>
        <v>6</v>
      </c>
      <c r="K4" s="3" t="str">
        <f>IF(W4="כן","",IF(J4="","",IF(J4&gt;=15,"קריטי",IF(J4&gt;=10,"גבוה",IF(J4&gt;=5,"בינוני","נמוך")))))</f>
        <v>בינוני</v>
      </c>
      <c r="L4" s="4" t="s">
        <v>40</v>
      </c>
      <c r="M4" s="4" t="s">
        <v>41</v>
      </c>
      <c r="N4" s="3">
        <v>1</v>
      </c>
      <c r="O4" s="3">
        <v>3</v>
      </c>
      <c r="P4" s="3">
        <f t="shared" si="0"/>
        <v>3</v>
      </c>
      <c r="Q4" s="3" t="str">
        <f t="shared" si="1"/>
        <v>נמוך</v>
      </c>
      <c r="R4" s="3">
        <f>IF(W4="כן","",IF(T4="הושלם",P4,IF(T4="בתהליך",ROUNDUP((J4+P4)/2,0),J4)))</f>
        <v>5</v>
      </c>
      <c r="S4" s="3" t="str">
        <f t="shared" si="2"/>
        <v>בינוני</v>
      </c>
      <c r="T4" s="3" t="s">
        <v>42</v>
      </c>
      <c r="U4" s="3" t="s">
        <v>30</v>
      </c>
      <c r="V4" s="4" t="str">
        <f t="shared" si="3"/>
        <v>קבלת הסיכון</v>
      </c>
      <c r="W4" s="3" t="s">
        <v>31</v>
      </c>
    </row>
    <row r="5" spans="1:23" ht="32.85" customHeight="1">
      <c r="A5" s="3" t="s">
        <v>43</v>
      </c>
      <c r="B5" s="3" t="s">
        <v>24</v>
      </c>
      <c r="C5" s="3"/>
      <c r="D5" s="4" t="s">
        <v>44</v>
      </c>
      <c r="E5" s="4" t="s">
        <v>44</v>
      </c>
      <c r="F5" s="3"/>
      <c r="G5" s="4" t="s">
        <v>45</v>
      </c>
      <c r="H5" s="3">
        <v>3</v>
      </c>
      <c r="I5" s="3">
        <v>5</v>
      </c>
      <c r="J5" s="3">
        <f>IF(W5="כן","",H5*I5)</f>
        <v>15</v>
      </c>
      <c r="K5" s="3" t="str">
        <f>IF(W5="כן","",IF(J5="","",IF(J5&gt;=15,"קריטי",IF(J5&gt;=10,"גבוה",IF(J5&gt;=5,"בינוני","נמוך")))))</f>
        <v>קריטי</v>
      </c>
      <c r="L5" s="4" t="s">
        <v>46</v>
      </c>
      <c r="M5" s="4" t="s">
        <v>47</v>
      </c>
      <c r="N5" s="3">
        <v>1</v>
      </c>
      <c r="O5" s="3">
        <v>4</v>
      </c>
      <c r="P5" s="3">
        <f t="shared" si="0"/>
        <v>4</v>
      </c>
      <c r="Q5" s="3" t="str">
        <f t="shared" si="1"/>
        <v>נמוך</v>
      </c>
      <c r="R5" s="3">
        <f>IF(W5="כן","",IF(T5="הושלם",P5,IF(T5="בתהליך",ROUNDUP((J5+P5)/2,0),J5)))</f>
        <v>4</v>
      </c>
      <c r="S5" s="3" t="str">
        <f t="shared" si="2"/>
        <v>נמוך</v>
      </c>
      <c r="T5" s="3" t="s">
        <v>29</v>
      </c>
      <c r="U5" s="3" t="s">
        <v>30</v>
      </c>
      <c r="V5" s="4" t="str">
        <f t="shared" si="3"/>
        <v>קבלת הסיכון</v>
      </c>
      <c r="W5" s="3" t="s">
        <v>31</v>
      </c>
    </row>
    <row r="6" spans="1:23" ht="22.35" customHeight="1">
      <c r="A6" s="3" t="s">
        <v>48</v>
      </c>
      <c r="B6" s="3" t="s">
        <v>24</v>
      </c>
      <c r="C6" s="3"/>
      <c r="D6" s="4" t="s">
        <v>49</v>
      </c>
      <c r="E6" s="4" t="s">
        <v>49</v>
      </c>
      <c r="F6" s="3"/>
      <c r="G6" s="4" t="s">
        <v>50</v>
      </c>
      <c r="H6" s="3">
        <v>2</v>
      </c>
      <c r="I6" s="3">
        <v>2</v>
      </c>
      <c r="J6" s="3">
        <f>IF(W6="כן","",H6*I6)</f>
        <v>4</v>
      </c>
      <c r="K6" s="3" t="str">
        <f>IF(W6="כן","",IF(J6="","",IF(J6&gt;=15,"קריטי",IF(J6&gt;=10,"גבוה",IF(J6&gt;=5,"בינוני","נמוך")))))</f>
        <v>נמוך</v>
      </c>
      <c r="L6" s="4" t="s">
        <v>51</v>
      </c>
      <c r="M6" s="4" t="s">
        <v>52</v>
      </c>
      <c r="N6" s="3">
        <v>1</v>
      </c>
      <c r="O6" s="3">
        <v>2</v>
      </c>
      <c r="P6" s="3">
        <f t="shared" si="0"/>
        <v>2</v>
      </c>
      <c r="Q6" s="3" t="str">
        <f t="shared" si="1"/>
        <v>נמוך</v>
      </c>
      <c r="R6" s="3">
        <f>IF(W6="כן","",IF(T6="הושלם",P6,IF(T6="בתהליך",ROUNDUP((J6+P6)/2,0),J6)))</f>
        <v>3</v>
      </c>
      <c r="S6" s="3" t="str">
        <f t="shared" si="2"/>
        <v>נמוך</v>
      </c>
      <c r="T6" s="3" t="s">
        <v>42</v>
      </c>
      <c r="U6" s="3" t="s">
        <v>30</v>
      </c>
      <c r="V6" s="4" t="str">
        <f t="shared" si="3"/>
        <v>קבלת הסיכון</v>
      </c>
      <c r="W6" s="3" t="s">
        <v>31</v>
      </c>
    </row>
    <row r="7" spans="1:23" ht="32.85" customHeight="1">
      <c r="A7" s="3" t="s">
        <v>53</v>
      </c>
      <c r="B7" s="3" t="s">
        <v>24</v>
      </c>
      <c r="C7" s="3"/>
      <c r="D7" s="4" t="s">
        <v>54</v>
      </c>
      <c r="E7" s="4" t="s">
        <v>54</v>
      </c>
      <c r="F7" s="3"/>
      <c r="G7" s="4" t="s">
        <v>55</v>
      </c>
      <c r="H7" s="3">
        <v>2</v>
      </c>
      <c r="I7" s="3">
        <v>5</v>
      </c>
      <c r="J7" s="3">
        <f>IF(W7="כן","",H7*I7)</f>
        <v>10</v>
      </c>
      <c r="K7" s="3" t="str">
        <f>IF(W7="כן","",IF(J7="","",IF(J7&gt;=15,"קריטי",IF(J7&gt;=10,"גבוה",IF(J7&gt;=5,"בינוני","נמוך")))))</f>
        <v>גבוה</v>
      </c>
      <c r="L7" s="4" t="s">
        <v>46</v>
      </c>
      <c r="M7" s="4" t="s">
        <v>56</v>
      </c>
      <c r="N7" s="3">
        <v>1</v>
      </c>
      <c r="O7" s="3">
        <v>4</v>
      </c>
      <c r="P7" s="3">
        <f t="shared" si="0"/>
        <v>4</v>
      </c>
      <c r="Q7" s="3" t="str">
        <f t="shared" si="1"/>
        <v>נמוך</v>
      </c>
      <c r="R7" s="3">
        <f>IF(W7="כן","",IF(T7="הושלם",P7,IF(T7="בתהליך",ROUNDUP((J7+P7)/2,0),J7)))</f>
        <v>4</v>
      </c>
      <c r="S7" s="3" t="str">
        <f t="shared" si="2"/>
        <v>נמוך</v>
      </c>
      <c r="T7" s="3" t="s">
        <v>29</v>
      </c>
      <c r="U7" s="3" t="s">
        <v>30</v>
      </c>
      <c r="V7" s="4" t="str">
        <f t="shared" si="3"/>
        <v>קבלת הסיכון</v>
      </c>
      <c r="W7" s="3" t="s">
        <v>31</v>
      </c>
    </row>
    <row r="8" spans="1:23" ht="32.85" customHeight="1">
      <c r="A8" s="3" t="s">
        <v>57</v>
      </c>
      <c r="B8" s="3" t="s">
        <v>24</v>
      </c>
      <c r="C8" s="3"/>
      <c r="D8" s="4" t="s">
        <v>58</v>
      </c>
      <c r="E8" s="4" t="s">
        <v>58</v>
      </c>
      <c r="F8" s="3"/>
      <c r="G8" s="4" t="s">
        <v>59</v>
      </c>
      <c r="H8" s="3">
        <v>3</v>
      </c>
      <c r="I8" s="3">
        <v>2</v>
      </c>
      <c r="J8" s="3">
        <f>IF(W8="כן","",H8*I8)</f>
        <v>6</v>
      </c>
      <c r="K8" s="3" t="str">
        <f>IF(W8="כן","",IF(J8="","",IF(J8&gt;=15,"קריטי",IF(J8&gt;=10,"גבוה",IF(J8&gt;=5,"בינוני","נמוך")))))</f>
        <v>בינוני</v>
      </c>
      <c r="L8" s="4" t="s">
        <v>27</v>
      </c>
      <c r="M8" s="4" t="s">
        <v>60</v>
      </c>
      <c r="N8" s="3">
        <v>2</v>
      </c>
      <c r="O8" s="3">
        <v>1</v>
      </c>
      <c r="P8" s="3">
        <f t="shared" si="0"/>
        <v>2</v>
      </c>
      <c r="Q8" s="3" t="str">
        <f t="shared" si="1"/>
        <v>נמוך</v>
      </c>
      <c r="R8" s="3">
        <f>IF(W8="כן","",IF(T8="הושלם",P8,IF(T8="בתהליך",ROUNDUP((J8+P8)/2,0),J8)))</f>
        <v>2</v>
      </c>
      <c r="S8" s="3" t="str">
        <f t="shared" si="2"/>
        <v>נמוך</v>
      </c>
      <c r="T8" s="3" t="s">
        <v>29</v>
      </c>
      <c r="U8" s="3" t="s">
        <v>30</v>
      </c>
      <c r="V8" s="4" t="str">
        <f t="shared" si="3"/>
        <v>קבלת הסיכון</v>
      </c>
      <c r="W8" s="3" t="s">
        <v>31</v>
      </c>
    </row>
    <row r="9" spans="1:23" ht="22.35" customHeight="1">
      <c r="A9" s="3" t="s">
        <v>61</v>
      </c>
      <c r="B9" s="3" t="s">
        <v>24</v>
      </c>
      <c r="C9" s="3"/>
      <c r="D9" s="4" t="s">
        <v>62</v>
      </c>
      <c r="E9" s="4" t="s">
        <v>62</v>
      </c>
      <c r="F9" s="3"/>
      <c r="G9" s="4" t="s">
        <v>63</v>
      </c>
      <c r="H9" s="3">
        <v>3</v>
      </c>
      <c r="I9" s="3">
        <v>2</v>
      </c>
      <c r="J9" s="3">
        <f>IF(W9="כן","",H9*I9)</f>
        <v>6</v>
      </c>
      <c r="K9" s="3" t="str">
        <f>IF(W9="כן","",IF(J9="","",IF(J9&gt;=15,"קריטי",IF(J9&gt;=10,"גבוה",IF(J9&gt;=5,"בינוני","נמוך")))))</f>
        <v>בינוני</v>
      </c>
      <c r="L9" s="4" t="s">
        <v>64</v>
      </c>
      <c r="M9" s="4" t="s">
        <v>65</v>
      </c>
      <c r="N9" s="3">
        <v>1</v>
      </c>
      <c r="O9" s="3">
        <v>1</v>
      </c>
      <c r="P9" s="3">
        <f t="shared" si="0"/>
        <v>1</v>
      </c>
      <c r="Q9" s="3" t="str">
        <f t="shared" si="1"/>
        <v>נמוך</v>
      </c>
      <c r="R9" s="3">
        <f>IF(W9="כן","",IF(T9="הושלם",P9,IF(T9="בתהליך",ROUNDUP((J9+P9)/2,0),J9)))</f>
        <v>4</v>
      </c>
      <c r="S9" s="3" t="str">
        <f t="shared" si="2"/>
        <v>נמוך</v>
      </c>
      <c r="T9" s="3" t="s">
        <v>42</v>
      </c>
      <c r="U9" s="3" t="s">
        <v>30</v>
      </c>
      <c r="V9" s="4" t="str">
        <f t="shared" si="3"/>
        <v>קבלת הסיכון</v>
      </c>
      <c r="W9" s="3" t="s">
        <v>31</v>
      </c>
    </row>
    <row r="10" spans="1:23" ht="22.35" customHeight="1">
      <c r="A10" s="3" t="s">
        <v>66</v>
      </c>
      <c r="B10" s="3" t="s">
        <v>24</v>
      </c>
      <c r="C10" s="3"/>
      <c r="D10" s="4" t="s">
        <v>67</v>
      </c>
      <c r="E10" s="4" t="s">
        <v>67</v>
      </c>
      <c r="F10" s="3"/>
      <c r="G10" s="4" t="s">
        <v>68</v>
      </c>
      <c r="H10" s="3">
        <v>4</v>
      </c>
      <c r="I10" s="3">
        <v>4</v>
      </c>
      <c r="J10" s="3">
        <f>IF(W10="כן","",H10*I10)</f>
        <v>16</v>
      </c>
      <c r="K10" s="3" t="str">
        <f>IF(W10="כן","",IF(J10="","",IF(J10&gt;=15,"קריטי",IF(J10&gt;=10,"גבוה",IF(J10&gt;=5,"בינוני","נמוך")))))</f>
        <v>קריטי</v>
      </c>
      <c r="L10" s="4" t="s">
        <v>64</v>
      </c>
      <c r="M10" s="4" t="s">
        <v>69</v>
      </c>
      <c r="N10" s="3">
        <v>3</v>
      </c>
      <c r="O10" s="3">
        <v>2</v>
      </c>
      <c r="P10" s="3">
        <f t="shared" si="0"/>
        <v>6</v>
      </c>
      <c r="Q10" s="3" t="str">
        <f t="shared" si="1"/>
        <v>בינוני</v>
      </c>
      <c r="R10" s="3">
        <f>IF(W10="כן","",IF(T10="הושלם",P10,IF(T10="בתהליך",ROUNDUP((J10+P10)/2,0),J10)))</f>
        <v>11</v>
      </c>
      <c r="S10" s="3" t="str">
        <f t="shared" si="2"/>
        <v>גבוה</v>
      </c>
      <c r="T10" s="3" t="s">
        <v>42</v>
      </c>
      <c r="U10" s="3" t="s">
        <v>30</v>
      </c>
      <c r="V10" s="4" t="str">
        <f t="shared" si="3"/>
        <v>הפחתת סיכון - הוספת בקרות מונעות</v>
      </c>
      <c r="W10" s="3" t="s">
        <v>31</v>
      </c>
    </row>
    <row r="11" spans="1:23" ht="22.35" customHeight="1">
      <c r="A11" s="3" t="s">
        <v>70</v>
      </c>
      <c r="B11" s="3" t="s">
        <v>24</v>
      </c>
      <c r="C11" s="3"/>
      <c r="D11" s="4" t="s">
        <v>71</v>
      </c>
      <c r="E11" s="4" t="s">
        <v>71</v>
      </c>
      <c r="F11" s="3"/>
      <c r="G11" s="4" t="s">
        <v>72</v>
      </c>
      <c r="H11" s="3">
        <v>3</v>
      </c>
      <c r="I11" s="3">
        <v>3</v>
      </c>
      <c r="J11" s="3">
        <f>IF(W11="כן","",H11*I11)</f>
        <v>9</v>
      </c>
      <c r="K11" s="3" t="str">
        <f>IF(W11="כן","",IF(J11="","",IF(J11&gt;=15,"קריטי",IF(J11&gt;=10,"גבוה",IF(J11&gt;=5,"בינוני","נמוך")))))</f>
        <v>בינוני</v>
      </c>
      <c r="L11" s="4" t="s">
        <v>46</v>
      </c>
      <c r="M11" s="4" t="s">
        <v>73</v>
      </c>
      <c r="N11" s="3">
        <v>1</v>
      </c>
      <c r="O11" s="3">
        <v>2</v>
      </c>
      <c r="P11" s="3">
        <f t="shared" si="0"/>
        <v>2</v>
      </c>
      <c r="Q11" s="3" t="str">
        <f t="shared" si="1"/>
        <v>נמוך</v>
      </c>
      <c r="R11" s="3">
        <f>IF(W11="כן","",IF(T11="הושלם",P11,IF(T11="בתהליך",ROUNDUP((J11+P11)/2,0),J11)))</f>
        <v>6</v>
      </c>
      <c r="S11" s="3" t="str">
        <f t="shared" si="2"/>
        <v>בינוני</v>
      </c>
      <c r="T11" s="3" t="s">
        <v>42</v>
      </c>
      <c r="U11" s="3" t="s">
        <v>30</v>
      </c>
      <c r="V11" s="4" t="str">
        <f t="shared" si="3"/>
        <v>קבלת הסיכון</v>
      </c>
      <c r="W11" s="3" t="s">
        <v>31</v>
      </c>
    </row>
    <row r="12" spans="1:23" ht="32.85" customHeight="1">
      <c r="A12" s="3" t="s">
        <v>74</v>
      </c>
      <c r="B12" s="3" t="s">
        <v>75</v>
      </c>
      <c r="C12" s="3"/>
      <c r="D12" s="4" t="s">
        <v>76</v>
      </c>
      <c r="E12" s="4" t="s">
        <v>76</v>
      </c>
      <c r="F12" s="3"/>
      <c r="G12" s="4" t="s">
        <v>77</v>
      </c>
      <c r="H12" s="3">
        <v>2</v>
      </c>
      <c r="I12" s="3">
        <v>3</v>
      </c>
      <c r="J12" s="3">
        <f>IF(W12="כן","",H12*I12)</f>
        <v>6</v>
      </c>
      <c r="K12" s="3" t="str">
        <f>IF(W12="כן","",IF(J12="","",IF(J12&gt;=15,"קריטי",IF(J12&gt;=10,"גבוה",IF(J12&gt;=5,"בינוני","נמוך")))))</f>
        <v>בינוני</v>
      </c>
      <c r="L12" s="4" t="s">
        <v>27</v>
      </c>
      <c r="M12" s="4" t="s">
        <v>78</v>
      </c>
      <c r="N12" s="3">
        <v>1</v>
      </c>
      <c r="O12" s="3">
        <v>2</v>
      </c>
      <c r="P12" s="3">
        <f t="shared" si="0"/>
        <v>2</v>
      </c>
      <c r="Q12" s="3" t="str">
        <f t="shared" si="1"/>
        <v>נמוך</v>
      </c>
      <c r="R12" s="3">
        <f>IF(W12="כן","",IF(T12="הושלם",P12,IF(T12="בתהליך",ROUNDUP((J12+P12)/2,0),J12)))</f>
        <v>4</v>
      </c>
      <c r="S12" s="3" t="str">
        <f t="shared" si="2"/>
        <v>נמוך</v>
      </c>
      <c r="T12" s="3" t="s">
        <v>42</v>
      </c>
      <c r="U12" s="3" t="s">
        <v>30</v>
      </c>
      <c r="V12" s="4" t="str">
        <f t="shared" si="3"/>
        <v>קבלת הסיכון</v>
      </c>
      <c r="W12" s="3" t="s">
        <v>31</v>
      </c>
    </row>
    <row r="13" spans="1:23" ht="22.35" customHeight="1">
      <c r="A13" s="3" t="s">
        <v>79</v>
      </c>
      <c r="B13" s="3" t="s">
        <v>75</v>
      </c>
      <c r="C13" s="3"/>
      <c r="D13" s="4" t="s">
        <v>80</v>
      </c>
      <c r="E13" s="4" t="s">
        <v>80</v>
      </c>
      <c r="F13" s="3"/>
      <c r="G13" s="4" t="s">
        <v>81</v>
      </c>
      <c r="H13" s="3">
        <v>3</v>
      </c>
      <c r="I13" s="3">
        <v>4</v>
      </c>
      <c r="J13" s="3">
        <f>IF(W13="כן","",H13*I13)</f>
        <v>12</v>
      </c>
      <c r="K13" s="3" t="str">
        <f>IF(W13="כן","",IF(J13="","",IF(J13&gt;=15,"קריטי",IF(J13&gt;=10,"גבוה",IF(J13&gt;=5,"בינוני","נמוך")))))</f>
        <v>גבוה</v>
      </c>
      <c r="L13" s="4" t="s">
        <v>82</v>
      </c>
      <c r="M13" s="4" t="s">
        <v>83</v>
      </c>
      <c r="N13" s="3">
        <v>2</v>
      </c>
      <c r="O13" s="3">
        <v>2</v>
      </c>
      <c r="P13" s="3">
        <f t="shared" si="0"/>
        <v>4</v>
      </c>
      <c r="Q13" s="3" t="str">
        <f t="shared" si="1"/>
        <v>נמוך</v>
      </c>
      <c r="R13" s="3">
        <f>IF(W13="כן","",IF(T13="הושלם",P13,IF(T13="בתהליך",ROUNDUP((J13+P13)/2,0),J13)))</f>
        <v>8</v>
      </c>
      <c r="S13" s="3" t="str">
        <f t="shared" si="2"/>
        <v>בינוני</v>
      </c>
      <c r="T13" s="3" t="s">
        <v>42</v>
      </c>
      <c r="U13" s="3" t="s">
        <v>30</v>
      </c>
      <c r="V13" s="4" t="str">
        <f t="shared" si="3"/>
        <v>קבלת הסיכון</v>
      </c>
      <c r="W13" s="3" t="s">
        <v>31</v>
      </c>
    </row>
    <row r="14" spans="1:23" ht="22.35" customHeight="1">
      <c r="A14" s="3" t="s">
        <v>84</v>
      </c>
      <c r="B14" s="3" t="s">
        <v>75</v>
      </c>
      <c r="C14" s="3"/>
      <c r="D14" s="4" t="s">
        <v>85</v>
      </c>
      <c r="E14" s="4" t="s">
        <v>85</v>
      </c>
      <c r="F14" s="3"/>
      <c r="G14" s="4" t="s">
        <v>86</v>
      </c>
      <c r="H14" s="3">
        <v>3</v>
      </c>
      <c r="I14" s="3">
        <v>4</v>
      </c>
      <c r="J14" s="3">
        <f>IF(W14="כן","",H14*I14)</f>
        <v>12</v>
      </c>
      <c r="K14" s="3" t="str">
        <f>IF(W14="כן","",IF(J14="","",IF(J14&gt;=15,"קריטי",IF(J14&gt;=10,"גבוה",IF(J14&gt;=5,"בינוני","נמוך")))))</f>
        <v>גבוה</v>
      </c>
      <c r="L14" s="4" t="s">
        <v>87</v>
      </c>
      <c r="M14" s="4" t="s">
        <v>88</v>
      </c>
      <c r="N14" s="3">
        <v>2</v>
      </c>
      <c r="O14" s="3">
        <v>4</v>
      </c>
      <c r="P14" s="3">
        <f t="shared" si="0"/>
        <v>8</v>
      </c>
      <c r="Q14" s="3" t="str">
        <f t="shared" si="1"/>
        <v>בינוני</v>
      </c>
      <c r="R14" s="3">
        <f>IF(W14="כן","",IF(T14="הושלם",P14,IF(T14="בתהליך",ROUNDUP((J14+P14)/2,0),J14)))</f>
        <v>12</v>
      </c>
      <c r="S14" s="3" t="str">
        <f t="shared" si="2"/>
        <v>גבוה</v>
      </c>
      <c r="T14" s="3" t="s">
        <v>89</v>
      </c>
      <c r="U14" s="3" t="s">
        <v>30</v>
      </c>
      <c r="V14" s="4" t="str">
        <f t="shared" si="3"/>
        <v>הפחתת סיכון - הוספת בקרות מונעות</v>
      </c>
      <c r="W14" s="3" t="s">
        <v>31</v>
      </c>
    </row>
    <row r="15" spans="1:23" ht="22.35" customHeight="1">
      <c r="A15" s="3" t="s">
        <v>90</v>
      </c>
      <c r="B15" s="3" t="s">
        <v>75</v>
      </c>
      <c r="C15" s="3"/>
      <c r="D15" s="4" t="s">
        <v>91</v>
      </c>
      <c r="E15" s="4" t="s">
        <v>91</v>
      </c>
      <c r="F15" s="3"/>
      <c r="G15" s="4" t="s">
        <v>92</v>
      </c>
      <c r="H15" s="3">
        <v>5</v>
      </c>
      <c r="I15" s="3">
        <v>4</v>
      </c>
      <c r="J15" s="3">
        <f>IF(W15="כן","",H15*I15)</f>
        <v>20</v>
      </c>
      <c r="K15" s="3" t="str">
        <f>IF(W15="כן","",IF(J15="","",IF(J15&gt;=15,"קריטי",IF(J15&gt;=10,"גבוה",IF(J15&gt;=5,"בינוני","נמוך")))))</f>
        <v>קריטי</v>
      </c>
      <c r="L15" s="4" t="s">
        <v>27</v>
      </c>
      <c r="M15" s="4" t="s">
        <v>93</v>
      </c>
      <c r="N15" s="3">
        <v>4</v>
      </c>
      <c r="O15" s="3">
        <v>4</v>
      </c>
      <c r="P15" s="3">
        <f t="shared" si="0"/>
        <v>16</v>
      </c>
      <c r="Q15" s="3" t="str">
        <f t="shared" si="1"/>
        <v>קריטי</v>
      </c>
      <c r="R15" s="3">
        <f>IF(W15="כן","",IF(T15="הושלם",P15,IF(T15="בתהליך",ROUNDUP((J15+P15)/2,0),J15)))</f>
        <v>20</v>
      </c>
      <c r="S15" s="3" t="str">
        <f t="shared" si="2"/>
        <v>קריטי</v>
      </c>
      <c r="T15" s="3" t="s">
        <v>89</v>
      </c>
      <c r="U15" s="3" t="s">
        <v>30</v>
      </c>
      <c r="V15" s="4" t="str">
        <f t="shared" si="3"/>
        <v>הפחתת סיכון - הוספת בקרות מונעות</v>
      </c>
      <c r="W15" s="3" t="s">
        <v>31</v>
      </c>
    </row>
    <row r="16" spans="1:23" ht="22.35" customHeight="1">
      <c r="A16" s="3" t="s">
        <v>94</v>
      </c>
      <c r="B16" s="3" t="s">
        <v>75</v>
      </c>
      <c r="C16" s="3"/>
      <c r="D16" s="4" t="s">
        <v>95</v>
      </c>
      <c r="E16" s="4" t="s">
        <v>95</v>
      </c>
      <c r="F16" s="3"/>
      <c r="G16" s="4" t="s">
        <v>96</v>
      </c>
      <c r="H16" s="3">
        <v>2</v>
      </c>
      <c r="I16" s="3">
        <v>2</v>
      </c>
      <c r="J16" s="3">
        <f>IF(W16="כן","",H16*I16)</f>
        <v>4</v>
      </c>
      <c r="K16" s="3" t="str">
        <f>IF(W16="כן","",IF(J16="","",IF(J16&gt;=15,"קריטי",IF(J16&gt;=10,"גבוה",IF(J16&gt;=5,"בינוני","נמוך")))))</f>
        <v>נמוך</v>
      </c>
      <c r="L16" s="4" t="s">
        <v>27</v>
      </c>
      <c r="M16" s="4" t="s">
        <v>97</v>
      </c>
      <c r="N16" s="3">
        <v>1</v>
      </c>
      <c r="O16" s="3">
        <v>1</v>
      </c>
      <c r="P16" s="3">
        <f t="shared" si="0"/>
        <v>1</v>
      </c>
      <c r="Q16" s="3" t="str">
        <f t="shared" si="1"/>
        <v>נמוך</v>
      </c>
      <c r="R16" s="3">
        <f>IF(W16="כן","",IF(T16="הושלם",P16,IF(T16="בתהליך",ROUNDUP((J16+P16)/2,0),J16)))</f>
        <v>1</v>
      </c>
      <c r="S16" s="3" t="str">
        <f t="shared" si="2"/>
        <v>נמוך</v>
      </c>
      <c r="T16" s="3" t="s">
        <v>29</v>
      </c>
      <c r="U16" s="3" t="s">
        <v>30</v>
      </c>
      <c r="V16" s="4" t="str">
        <f t="shared" si="3"/>
        <v>קבלת הסיכון</v>
      </c>
      <c r="W16" s="3" t="s">
        <v>31</v>
      </c>
    </row>
    <row r="17" spans="1:23" ht="22.35" customHeight="1">
      <c r="A17" s="3" t="s">
        <v>98</v>
      </c>
      <c r="B17" s="3" t="s">
        <v>75</v>
      </c>
      <c r="C17" s="3"/>
      <c r="D17" s="4" t="s">
        <v>99</v>
      </c>
      <c r="E17" s="4" t="s">
        <v>99</v>
      </c>
      <c r="F17" s="3"/>
      <c r="G17" s="4" t="s">
        <v>100</v>
      </c>
      <c r="H17" s="3">
        <v>5</v>
      </c>
      <c r="I17" s="3">
        <v>5</v>
      </c>
      <c r="J17" s="3">
        <f>IF(W17="כן","",H17*I17)</f>
        <v>25</v>
      </c>
      <c r="K17" s="3" t="str">
        <f>IF(W17="כן","",IF(J17="","",IF(J17&gt;=15,"קריטי",IF(J17&gt;=10,"גבוה",IF(J17&gt;=5,"בינוני","נמוך")))))</f>
        <v>קריטי</v>
      </c>
      <c r="L17" s="4" t="s">
        <v>27</v>
      </c>
      <c r="M17" s="4" t="s">
        <v>101</v>
      </c>
      <c r="N17" s="3">
        <v>3</v>
      </c>
      <c r="O17" s="3">
        <v>3</v>
      </c>
      <c r="P17" s="3">
        <f t="shared" si="0"/>
        <v>9</v>
      </c>
      <c r="Q17" s="3" t="str">
        <f t="shared" si="1"/>
        <v>בינוני</v>
      </c>
      <c r="R17" s="3">
        <f>IF(W17="כן","",IF(T17="הושלם",P17,IF(T17="בתהליך",ROUNDUP((J17+P17)/2,0),J17)))</f>
        <v>17</v>
      </c>
      <c r="S17" s="3" t="str">
        <f t="shared" si="2"/>
        <v>קריטי</v>
      </c>
      <c r="T17" s="3" t="s">
        <v>42</v>
      </c>
      <c r="U17" s="3" t="s">
        <v>30</v>
      </c>
      <c r="V17" s="4" t="str">
        <f t="shared" si="3"/>
        <v>הפחתת סיכון - הוספת בקרות מונעות</v>
      </c>
      <c r="W17" s="3" t="s">
        <v>31</v>
      </c>
    </row>
    <row r="18" spans="1:23" ht="22.35" customHeight="1">
      <c r="A18" s="3" t="s">
        <v>102</v>
      </c>
      <c r="B18" s="3" t="s">
        <v>75</v>
      </c>
      <c r="C18" s="3"/>
      <c r="D18" s="4" t="s">
        <v>103</v>
      </c>
      <c r="E18" s="4" t="s">
        <v>103</v>
      </c>
      <c r="F18" s="3"/>
      <c r="G18" s="4" t="s">
        <v>104</v>
      </c>
      <c r="H18" s="3">
        <v>4</v>
      </c>
      <c r="I18" s="3">
        <v>4</v>
      </c>
      <c r="J18" s="3">
        <f>IF(W18="כן","",H18*I18)</f>
        <v>16</v>
      </c>
      <c r="K18" s="3" t="str">
        <f>IF(W18="כן","",IF(J18="","",IF(J18&gt;=15,"קריטי",IF(J18&gt;=10,"גבוה",IF(J18&gt;=5,"בינוני","נמוך")))))</f>
        <v>קריטי</v>
      </c>
      <c r="L18" s="4" t="s">
        <v>82</v>
      </c>
      <c r="M18" s="4" t="s">
        <v>105</v>
      </c>
      <c r="N18" s="3">
        <v>3</v>
      </c>
      <c r="O18" s="3">
        <v>3</v>
      </c>
      <c r="P18" s="3">
        <f t="shared" si="0"/>
        <v>9</v>
      </c>
      <c r="Q18" s="3" t="str">
        <f t="shared" si="1"/>
        <v>בינוני</v>
      </c>
      <c r="R18" s="3">
        <f>IF(W18="כן","",IF(T18="הושלם",P18,IF(T18="בתהליך",ROUNDUP((J18+P18)/2,0),J18)))</f>
        <v>13</v>
      </c>
      <c r="S18" s="3" t="str">
        <f t="shared" si="2"/>
        <v>גבוה</v>
      </c>
      <c r="T18" s="3" t="s">
        <v>42</v>
      </c>
      <c r="U18" s="3" t="s">
        <v>30</v>
      </c>
      <c r="V18" s="4" t="str">
        <f t="shared" si="3"/>
        <v>הפחתת סיכון - הוספת בקרות מונעות</v>
      </c>
      <c r="W18" s="3" t="s">
        <v>31</v>
      </c>
    </row>
    <row r="19" spans="1:23" ht="22.35" customHeight="1">
      <c r="A19" s="3" t="s">
        <v>106</v>
      </c>
      <c r="B19" s="3" t="s">
        <v>107</v>
      </c>
      <c r="C19" s="3"/>
      <c r="D19" s="4" t="s">
        <v>108</v>
      </c>
      <c r="E19" s="4" t="s">
        <v>108</v>
      </c>
      <c r="F19" s="3"/>
      <c r="G19" s="4" t="s">
        <v>109</v>
      </c>
      <c r="H19" s="3">
        <v>2</v>
      </c>
      <c r="I19" s="3">
        <v>4</v>
      </c>
      <c r="J19" s="3">
        <f>IF(W19="כן","",H19*I19)</f>
        <v>8</v>
      </c>
      <c r="K19" s="3" t="str">
        <f>IF(W19="כן","",IF(J19="","",IF(J19&gt;=15,"קריטי",IF(J19&gt;=10,"גבוה",IF(J19&gt;=5,"בינוני","נמוך")))))</f>
        <v>בינוני</v>
      </c>
      <c r="L19" s="4" t="s">
        <v>35</v>
      </c>
      <c r="M19" s="4" t="s">
        <v>110</v>
      </c>
      <c r="N19" s="3">
        <v>1</v>
      </c>
      <c r="O19" s="3">
        <v>2</v>
      </c>
      <c r="P19" s="3">
        <f t="shared" si="0"/>
        <v>2</v>
      </c>
      <c r="Q19" s="3" t="str">
        <f t="shared" si="1"/>
        <v>נמוך</v>
      </c>
      <c r="R19" s="3">
        <f>IF(W19="כן","",IF(T19="הושלם",P19,IF(T19="בתהליך",ROUNDUP((J19+P19)/2,0),J19)))</f>
        <v>2</v>
      </c>
      <c r="S19" s="3" t="str">
        <f t="shared" si="2"/>
        <v>נמוך</v>
      </c>
      <c r="T19" s="3" t="s">
        <v>29</v>
      </c>
      <c r="U19" s="3" t="s">
        <v>30</v>
      </c>
      <c r="V19" s="4" t="str">
        <f t="shared" si="3"/>
        <v>קבלת הסיכון</v>
      </c>
      <c r="W19" s="3" t="s">
        <v>31</v>
      </c>
    </row>
    <row r="20" spans="1:23" ht="22.35" customHeight="1">
      <c r="A20" s="3" t="s">
        <v>111</v>
      </c>
      <c r="B20" s="3" t="s">
        <v>107</v>
      </c>
      <c r="C20" s="3"/>
      <c r="D20" s="4" t="s">
        <v>112</v>
      </c>
      <c r="E20" s="4" t="s">
        <v>112</v>
      </c>
      <c r="F20" s="3"/>
      <c r="G20" s="4" t="s">
        <v>113</v>
      </c>
      <c r="H20" s="3">
        <v>3</v>
      </c>
      <c r="I20" s="3">
        <v>4</v>
      </c>
      <c r="J20" s="3">
        <f>IF(W20="כן","",H20*I20)</f>
        <v>12</v>
      </c>
      <c r="K20" s="3" t="str">
        <f>IF(W20="כן","",IF(J20="","",IF(J20&gt;=15,"קריטי",IF(J20&gt;=10,"גבוה",IF(J20&gt;=5,"בינוני","נמוך")))))</f>
        <v>גבוה</v>
      </c>
      <c r="L20" s="4" t="s">
        <v>46</v>
      </c>
      <c r="M20" s="4" t="s">
        <v>114</v>
      </c>
      <c r="N20" s="3">
        <v>2</v>
      </c>
      <c r="O20" s="3">
        <v>2</v>
      </c>
      <c r="P20" s="3">
        <f t="shared" si="0"/>
        <v>4</v>
      </c>
      <c r="Q20" s="3" t="str">
        <f t="shared" si="1"/>
        <v>נמוך</v>
      </c>
      <c r="R20" s="3">
        <f>IF(W20="כן","",IF(T20="הושלם",P20,IF(T20="בתהליך",ROUNDUP((J20+P20)/2,0),J20)))</f>
        <v>12</v>
      </c>
      <c r="S20" s="3" t="str">
        <f t="shared" si="2"/>
        <v>גבוה</v>
      </c>
      <c r="T20" s="3" t="s">
        <v>89</v>
      </c>
      <c r="U20" s="3" t="s">
        <v>30</v>
      </c>
      <c r="V20" s="4" t="str">
        <f t="shared" si="3"/>
        <v>הפחתת סיכון - הוספת בקרות מונעות</v>
      </c>
      <c r="W20" s="3" t="s">
        <v>31</v>
      </c>
    </row>
    <row r="21" spans="1:23" ht="32.85" customHeight="1">
      <c r="A21" s="3" t="s">
        <v>115</v>
      </c>
      <c r="B21" s="3" t="s">
        <v>107</v>
      </c>
      <c r="C21" s="3"/>
      <c r="D21" s="4" t="s">
        <v>116</v>
      </c>
      <c r="E21" s="4" t="s">
        <v>116</v>
      </c>
      <c r="F21" s="3"/>
      <c r="G21" s="4" t="s">
        <v>117</v>
      </c>
      <c r="H21" s="3">
        <v>5</v>
      </c>
      <c r="I21" s="3">
        <v>2</v>
      </c>
      <c r="J21" s="3">
        <f>IF(W21="כן","",H21*I21)</f>
        <v>10</v>
      </c>
      <c r="K21" s="3" t="str">
        <f>IF(W21="כן","",IF(J21="","",IF(J21&gt;=15,"קריטי",IF(J21&gt;=10,"גבוה",IF(J21&gt;=5,"בינוני","נמוך")))))</f>
        <v>גבוה</v>
      </c>
      <c r="L21" s="4" t="s">
        <v>40</v>
      </c>
      <c r="M21" s="4" t="s">
        <v>118</v>
      </c>
      <c r="N21" s="3">
        <v>4</v>
      </c>
      <c r="O21" s="3">
        <v>1</v>
      </c>
      <c r="P21" s="3">
        <f t="shared" si="0"/>
        <v>4</v>
      </c>
      <c r="Q21" s="3" t="str">
        <f t="shared" si="1"/>
        <v>נמוך</v>
      </c>
      <c r="R21" s="3">
        <f>IF(W21="כן","",IF(T21="הושלם",P21,IF(T21="בתהליך",ROUNDUP((J21+P21)/2,0),J21)))</f>
        <v>7</v>
      </c>
      <c r="S21" s="3" t="str">
        <f t="shared" si="2"/>
        <v>בינוני</v>
      </c>
      <c r="T21" s="3" t="s">
        <v>42</v>
      </c>
      <c r="U21" s="3" t="s">
        <v>30</v>
      </c>
      <c r="V21" s="4" t="str">
        <f t="shared" si="3"/>
        <v>קבלת הסיכון</v>
      </c>
      <c r="W21" s="3" t="s">
        <v>31</v>
      </c>
    </row>
    <row r="22" spans="1:23" ht="22.35" customHeight="1">
      <c r="A22" s="3" t="s">
        <v>119</v>
      </c>
      <c r="B22" s="3" t="s">
        <v>107</v>
      </c>
      <c r="C22" s="3"/>
      <c r="D22" s="4" t="s">
        <v>120</v>
      </c>
      <c r="E22" s="4" t="s">
        <v>120</v>
      </c>
      <c r="F22" s="3"/>
      <c r="G22" s="4" t="s">
        <v>121</v>
      </c>
      <c r="H22" s="3">
        <v>3</v>
      </c>
      <c r="I22" s="3">
        <v>2</v>
      </c>
      <c r="J22" s="3">
        <f>IF(W22="כן","",H22*I22)</f>
        <v>6</v>
      </c>
      <c r="K22" s="3" t="str">
        <f>IF(W22="כן","",IF(J22="","",IF(J22&gt;=15,"קריטי",IF(J22&gt;=10,"גבוה",IF(J22&gt;=5,"בינוני","נמוך")))))</f>
        <v>בינוני</v>
      </c>
      <c r="L22" s="4" t="s">
        <v>64</v>
      </c>
      <c r="M22" s="4" t="s">
        <v>122</v>
      </c>
      <c r="N22" s="3">
        <v>2</v>
      </c>
      <c r="O22" s="3">
        <v>1</v>
      </c>
      <c r="P22" s="3">
        <f t="shared" si="0"/>
        <v>2</v>
      </c>
      <c r="Q22" s="3" t="str">
        <f t="shared" si="1"/>
        <v>נמוך</v>
      </c>
      <c r="R22" s="3">
        <f>IF(W22="כן","",IF(T22="הושלם",P22,IF(T22="בתהליך",ROUNDUP((J22+P22)/2,0),J22)))</f>
        <v>4</v>
      </c>
      <c r="S22" s="3" t="str">
        <f t="shared" si="2"/>
        <v>נמוך</v>
      </c>
      <c r="T22" s="3" t="s">
        <v>42</v>
      </c>
      <c r="U22" s="3" t="s">
        <v>30</v>
      </c>
      <c r="V22" s="4" t="str">
        <f t="shared" si="3"/>
        <v>קבלת הסיכון</v>
      </c>
      <c r="W22" s="3" t="s">
        <v>31</v>
      </c>
    </row>
    <row r="23" spans="1:23" ht="32.85" customHeight="1">
      <c r="A23" s="3" t="s">
        <v>123</v>
      </c>
      <c r="B23" s="3" t="s">
        <v>107</v>
      </c>
      <c r="C23" s="3"/>
      <c r="D23" s="4" t="s">
        <v>124</v>
      </c>
      <c r="E23" s="4" t="s">
        <v>124</v>
      </c>
      <c r="F23" s="3"/>
      <c r="G23" s="4" t="s">
        <v>125</v>
      </c>
      <c r="H23" s="3">
        <v>3</v>
      </c>
      <c r="I23" s="3">
        <v>5</v>
      </c>
      <c r="J23" s="3">
        <f>IF(W23="כן","",H23*I23)</f>
        <v>15</v>
      </c>
      <c r="K23" s="3" t="str">
        <f>IF(W23="כן","",IF(J23="","",IF(J23&gt;=15,"קריטי",IF(J23&gt;=10,"גבוה",IF(J23&gt;=5,"בינוני","נמוך")))))</f>
        <v>קריטי</v>
      </c>
      <c r="L23" s="4" t="s">
        <v>35</v>
      </c>
      <c r="M23" s="4" t="s">
        <v>126</v>
      </c>
      <c r="N23" s="3">
        <v>2</v>
      </c>
      <c r="O23" s="3">
        <v>4</v>
      </c>
      <c r="P23" s="3">
        <f t="shared" si="0"/>
        <v>8</v>
      </c>
      <c r="Q23" s="3" t="str">
        <f t="shared" si="1"/>
        <v>בינוני</v>
      </c>
      <c r="R23" s="3">
        <f>IF(W23="כן","",IF(T23="הושלם",P23,IF(T23="בתהליך",ROUNDUP((J23+P23)/2,0),J23)))</f>
        <v>15</v>
      </c>
      <c r="S23" s="3" t="str">
        <f t="shared" si="2"/>
        <v>קריטי</v>
      </c>
      <c r="T23" s="3" t="s">
        <v>89</v>
      </c>
      <c r="U23" s="3" t="s">
        <v>30</v>
      </c>
      <c r="V23" s="4" t="str">
        <f t="shared" si="3"/>
        <v>הפחתת סיכון - הוספת בקרות מונעות</v>
      </c>
      <c r="W23" s="3" t="s">
        <v>31</v>
      </c>
    </row>
    <row r="24" spans="1:23" ht="22.35" customHeight="1">
      <c r="A24" s="3" t="s">
        <v>127</v>
      </c>
      <c r="B24" s="3" t="s">
        <v>107</v>
      </c>
      <c r="C24" s="3"/>
      <c r="D24" s="4" t="s">
        <v>128</v>
      </c>
      <c r="E24" s="4" t="s">
        <v>128</v>
      </c>
      <c r="F24" s="3"/>
      <c r="G24" s="4" t="s">
        <v>129</v>
      </c>
      <c r="H24" s="3">
        <v>3</v>
      </c>
      <c r="I24" s="3">
        <v>4</v>
      </c>
      <c r="J24" s="3">
        <f>IF(W24="כן","",H24*I24)</f>
        <v>12</v>
      </c>
      <c r="K24" s="3" t="str">
        <f>IF(W24="כן","",IF(J24="","",IF(J24&gt;=15,"קריטי",IF(J24&gt;=10,"גבוה",IF(J24&gt;=5,"בינוני","נמוך")))))</f>
        <v>גבוה</v>
      </c>
      <c r="L24" s="4" t="s">
        <v>82</v>
      </c>
      <c r="M24" s="4" t="s">
        <v>130</v>
      </c>
      <c r="N24" s="3">
        <v>1</v>
      </c>
      <c r="O24" s="3">
        <v>2</v>
      </c>
      <c r="P24" s="3">
        <f t="shared" si="0"/>
        <v>2</v>
      </c>
      <c r="Q24" s="3" t="str">
        <f t="shared" si="1"/>
        <v>נמוך</v>
      </c>
      <c r="R24" s="3">
        <f>IF(W24="כן","",IF(T24="הושלם",P24,IF(T24="בתהליך",ROUNDUP((J24+P24)/2,0),J24)))</f>
        <v>12</v>
      </c>
      <c r="S24" s="3" t="str">
        <f t="shared" si="2"/>
        <v>גבוה</v>
      </c>
      <c r="T24" s="3" t="s">
        <v>89</v>
      </c>
      <c r="U24" s="3" t="s">
        <v>30</v>
      </c>
      <c r="V24" s="4" t="str">
        <f t="shared" si="3"/>
        <v>הפחתת סיכון - הוספת בקרות מונעות</v>
      </c>
      <c r="W24" s="3" t="s">
        <v>31</v>
      </c>
    </row>
    <row r="25" spans="1:23" ht="22.35" customHeight="1">
      <c r="A25" s="3" t="s">
        <v>131</v>
      </c>
      <c r="B25" s="3" t="s">
        <v>132</v>
      </c>
      <c r="C25" s="3"/>
      <c r="D25" s="4" t="s">
        <v>133</v>
      </c>
      <c r="E25" s="4" t="s">
        <v>133</v>
      </c>
      <c r="F25" s="3"/>
      <c r="G25" s="4" t="s">
        <v>134</v>
      </c>
      <c r="H25" s="3">
        <v>5</v>
      </c>
      <c r="I25" s="3">
        <v>2</v>
      </c>
      <c r="J25" s="3">
        <f>IF(W25="כן","",H25*I25)</f>
        <v>10</v>
      </c>
      <c r="K25" s="3" t="str">
        <f>IF(W25="כן","",IF(J25="","",IF(J25&gt;=15,"קריטי",IF(J25&gt;=10,"גבוה",IF(J25&gt;=5,"בינוני","נמוך")))))</f>
        <v>גבוה</v>
      </c>
      <c r="L25" s="4" t="s">
        <v>40</v>
      </c>
      <c r="M25" s="4" t="s">
        <v>135</v>
      </c>
      <c r="N25" s="3">
        <v>4</v>
      </c>
      <c r="O25" s="3">
        <v>2</v>
      </c>
      <c r="P25" s="3">
        <f t="shared" si="0"/>
        <v>8</v>
      </c>
      <c r="Q25" s="3" t="str">
        <f t="shared" si="1"/>
        <v>בינוני</v>
      </c>
      <c r="R25" s="3">
        <f>IF(W25="כן","",IF(T25="הושלם",P25,IF(T25="בתהליך",ROUNDUP((J25+P25)/2,0),J25)))</f>
        <v>8</v>
      </c>
      <c r="S25" s="3" t="str">
        <f t="shared" si="2"/>
        <v>בינוני</v>
      </c>
      <c r="T25" s="3" t="s">
        <v>29</v>
      </c>
      <c r="U25" s="3" t="s">
        <v>30</v>
      </c>
      <c r="V25" s="4" t="str">
        <f t="shared" si="3"/>
        <v>קבלת הסיכון</v>
      </c>
      <c r="W25" s="3" t="s">
        <v>31</v>
      </c>
    </row>
    <row r="26" spans="1:23" ht="32.85" customHeight="1">
      <c r="A26" s="3" t="s">
        <v>136</v>
      </c>
      <c r="B26" s="3" t="s">
        <v>132</v>
      </c>
      <c r="C26" s="3"/>
      <c r="D26" s="4" t="s">
        <v>137</v>
      </c>
      <c r="E26" s="4" t="s">
        <v>137</v>
      </c>
      <c r="F26" s="3"/>
      <c r="G26" s="4" t="s">
        <v>138</v>
      </c>
      <c r="H26" s="3">
        <v>3</v>
      </c>
      <c r="I26" s="3">
        <v>3</v>
      </c>
      <c r="J26" s="3">
        <f>IF(W26="כן","",H26*I26)</f>
        <v>9</v>
      </c>
      <c r="K26" s="3" t="str">
        <f>IF(W26="כן","",IF(J26="","",IF(J26&gt;=15,"קריטי",IF(J26&gt;=10,"גבוה",IF(J26&gt;=5,"בינוני","נמוך")))))</f>
        <v>בינוני</v>
      </c>
      <c r="L26" s="4" t="s">
        <v>35</v>
      </c>
      <c r="M26" s="4" t="s">
        <v>139</v>
      </c>
      <c r="N26" s="3">
        <v>2</v>
      </c>
      <c r="O26" s="3">
        <v>3</v>
      </c>
      <c r="P26" s="3">
        <f t="shared" si="0"/>
        <v>6</v>
      </c>
      <c r="Q26" s="3" t="str">
        <f t="shared" si="1"/>
        <v>בינוני</v>
      </c>
      <c r="R26" s="3">
        <f>IF(W26="כן","",IF(T26="הושלם",P26,IF(T26="בתהליך",ROUNDUP((J26+P26)/2,0),J26)))</f>
        <v>9</v>
      </c>
      <c r="S26" s="3" t="str">
        <f t="shared" si="2"/>
        <v>בינוני</v>
      </c>
      <c r="T26" s="3" t="s">
        <v>89</v>
      </c>
      <c r="U26" s="3" t="s">
        <v>30</v>
      </c>
      <c r="V26" s="4" t="str">
        <f t="shared" si="3"/>
        <v>קבלת הסיכון</v>
      </c>
      <c r="W26" s="3" t="s">
        <v>31</v>
      </c>
    </row>
    <row r="27" spans="1:23" ht="22.35" customHeight="1">
      <c r="A27" s="3" t="s">
        <v>140</v>
      </c>
      <c r="B27" s="3" t="s">
        <v>132</v>
      </c>
      <c r="C27" s="3"/>
      <c r="D27" s="4" t="s">
        <v>141</v>
      </c>
      <c r="E27" s="4" t="s">
        <v>141</v>
      </c>
      <c r="F27" s="3"/>
      <c r="G27" s="4" t="s">
        <v>142</v>
      </c>
      <c r="H27" s="3">
        <v>2</v>
      </c>
      <c r="I27" s="3">
        <v>2</v>
      </c>
      <c r="J27" s="3">
        <f>IF(W27="כן","",H27*I27)</f>
        <v>4</v>
      </c>
      <c r="K27" s="3" t="str">
        <f>IF(W27="כן","",IF(J27="","",IF(J27&gt;=15,"קריטי",IF(J27&gt;=10,"גבוה",IF(J27&gt;=5,"בינוני","נמוך")))))</f>
        <v>נמוך</v>
      </c>
      <c r="L27" s="4" t="s">
        <v>51</v>
      </c>
      <c r="M27" s="4" t="s">
        <v>143</v>
      </c>
      <c r="N27" s="3">
        <v>1</v>
      </c>
      <c r="O27" s="3">
        <v>2</v>
      </c>
      <c r="P27" s="3">
        <f t="shared" si="0"/>
        <v>2</v>
      </c>
      <c r="Q27" s="3" t="str">
        <f t="shared" si="1"/>
        <v>נמוך</v>
      </c>
      <c r="R27" s="3">
        <f>IF(W27="כן","",IF(T27="הושלם",P27,IF(T27="בתהליך",ROUNDUP((J27+P27)/2,0),J27)))</f>
        <v>4</v>
      </c>
      <c r="S27" s="3" t="str">
        <f t="shared" si="2"/>
        <v>נמוך</v>
      </c>
      <c r="T27" s="3" t="s">
        <v>89</v>
      </c>
      <c r="U27" s="3" t="s">
        <v>30</v>
      </c>
      <c r="V27" s="4" t="str">
        <f t="shared" si="3"/>
        <v>קבלת הסיכון</v>
      </c>
      <c r="W27" s="3" t="s">
        <v>31</v>
      </c>
    </row>
    <row r="28" spans="1:23" ht="22.35" customHeight="1">
      <c r="A28" s="3" t="s">
        <v>144</v>
      </c>
      <c r="B28" s="3" t="s">
        <v>132</v>
      </c>
      <c r="C28" s="3"/>
      <c r="D28" s="4" t="s">
        <v>145</v>
      </c>
      <c r="E28" s="4" t="s">
        <v>145</v>
      </c>
      <c r="F28" s="3"/>
      <c r="G28" s="4" t="s">
        <v>146</v>
      </c>
      <c r="H28" s="3">
        <v>5</v>
      </c>
      <c r="I28" s="3">
        <v>3</v>
      </c>
      <c r="J28" s="3">
        <f>IF(W28="כן","",H28*I28)</f>
        <v>15</v>
      </c>
      <c r="K28" s="3" t="str">
        <f>IF(W28="כן","",IF(J28="","",IF(J28&gt;=15,"קריטי",IF(J28&gt;=10,"גבוה",IF(J28&gt;=5,"בינוני","נמוך")))))</f>
        <v>קריטי</v>
      </c>
      <c r="L28" s="4" t="s">
        <v>35</v>
      </c>
      <c r="M28" s="4" t="s">
        <v>147</v>
      </c>
      <c r="N28" s="3">
        <v>4</v>
      </c>
      <c r="O28" s="3">
        <v>1</v>
      </c>
      <c r="P28" s="3">
        <f t="shared" si="0"/>
        <v>4</v>
      </c>
      <c r="Q28" s="3" t="str">
        <f t="shared" si="1"/>
        <v>נמוך</v>
      </c>
      <c r="R28" s="3">
        <f>IF(W28="כן","",IF(T28="הושלם",P28,IF(T28="בתהליך",ROUNDUP((J28+P28)/2,0),J28)))</f>
        <v>15</v>
      </c>
      <c r="S28" s="3" t="str">
        <f t="shared" si="2"/>
        <v>קריטי</v>
      </c>
      <c r="T28" s="3" t="s">
        <v>89</v>
      </c>
      <c r="U28" s="3" t="s">
        <v>30</v>
      </c>
      <c r="V28" s="4" t="str">
        <f t="shared" si="3"/>
        <v>הפחתת סיכון - הוספת בקרות מונעות</v>
      </c>
      <c r="W28" s="3" t="s">
        <v>31</v>
      </c>
    </row>
    <row r="29" spans="1:23" ht="22.35" customHeight="1">
      <c r="A29" s="3" t="s">
        <v>148</v>
      </c>
      <c r="B29" s="3" t="s">
        <v>132</v>
      </c>
      <c r="C29" s="3"/>
      <c r="D29" s="4" t="s">
        <v>149</v>
      </c>
      <c r="E29" s="4" t="s">
        <v>149</v>
      </c>
      <c r="F29" s="3"/>
      <c r="G29" s="4" t="s">
        <v>150</v>
      </c>
      <c r="H29" s="3">
        <v>5</v>
      </c>
      <c r="I29" s="3">
        <v>5</v>
      </c>
      <c r="J29" s="3">
        <f>IF(W29="כן","",H29*I29)</f>
        <v>25</v>
      </c>
      <c r="K29" s="3" t="str">
        <f>IF(W29="כן","",IF(J29="","",IF(J29&gt;=15,"קריטי",IF(J29&gt;=10,"גבוה",IF(J29&gt;=5,"בינוני","נמוך")))))</f>
        <v>קריטי</v>
      </c>
      <c r="L29" s="4" t="s">
        <v>46</v>
      </c>
      <c r="M29" s="4" t="s">
        <v>151</v>
      </c>
      <c r="N29" s="3">
        <v>4</v>
      </c>
      <c r="O29" s="3">
        <v>5</v>
      </c>
      <c r="P29" s="3">
        <f t="shared" si="0"/>
        <v>20</v>
      </c>
      <c r="Q29" s="3" t="str">
        <f t="shared" si="1"/>
        <v>קריטי</v>
      </c>
      <c r="R29" s="3">
        <f>IF(W29="כן","",IF(T29="הושלם",P29,IF(T29="בתהליך",ROUNDUP((J29+P29)/2,0),J29)))</f>
        <v>20</v>
      </c>
      <c r="S29" s="3" t="str">
        <f t="shared" si="2"/>
        <v>קריטי</v>
      </c>
      <c r="T29" s="3" t="s">
        <v>29</v>
      </c>
      <c r="U29" s="3" t="s">
        <v>30</v>
      </c>
      <c r="V29" s="4" t="str">
        <f t="shared" si="3"/>
        <v>קבלת הסיכון</v>
      </c>
      <c r="W29" s="3" t="s">
        <v>31</v>
      </c>
    </row>
    <row r="30" spans="1:23" ht="22.35" customHeight="1">
      <c r="A30" s="3" t="s">
        <v>152</v>
      </c>
      <c r="B30" s="3" t="s">
        <v>132</v>
      </c>
      <c r="C30" s="3"/>
      <c r="D30" s="4" t="s">
        <v>153</v>
      </c>
      <c r="E30" s="4" t="s">
        <v>153</v>
      </c>
      <c r="F30" s="3"/>
      <c r="G30" s="4" t="s">
        <v>154</v>
      </c>
      <c r="H30" s="3">
        <v>5</v>
      </c>
      <c r="I30" s="3">
        <v>5</v>
      </c>
      <c r="J30" s="3">
        <f>IF(W30="כן","",H30*I30)</f>
        <v>25</v>
      </c>
      <c r="K30" s="3" t="str">
        <f>IF(W30="כן","",IF(J30="","",IF(J30&gt;=15,"קריטי",IF(J30&gt;=10,"גבוה",IF(J30&gt;=5,"בינוני","נמוך")))))</f>
        <v>קריטי</v>
      </c>
      <c r="L30" s="4" t="s">
        <v>40</v>
      </c>
      <c r="M30" s="4" t="s">
        <v>155</v>
      </c>
      <c r="N30" s="3">
        <v>3</v>
      </c>
      <c r="O30" s="3">
        <v>3</v>
      </c>
      <c r="P30" s="3">
        <f t="shared" si="0"/>
        <v>9</v>
      </c>
      <c r="Q30" s="3" t="str">
        <f t="shared" si="1"/>
        <v>בינוני</v>
      </c>
      <c r="R30" s="3">
        <f>IF(W30="כן","",IF(T30="הושלם",P30,IF(T30="בתהליך",ROUNDUP((J30+P30)/2,0),J30)))</f>
        <v>9</v>
      </c>
      <c r="S30" s="3" t="str">
        <f t="shared" si="2"/>
        <v>בינוני</v>
      </c>
      <c r="T30" s="3" t="s">
        <v>29</v>
      </c>
      <c r="U30" s="3" t="s">
        <v>30</v>
      </c>
      <c r="V30" s="4" t="str">
        <f t="shared" si="3"/>
        <v>קבלת הסיכון</v>
      </c>
      <c r="W30" s="3" t="s">
        <v>31</v>
      </c>
    </row>
    <row r="31" spans="1:23" ht="22.35" customHeight="1">
      <c r="A31" s="3" t="s">
        <v>156</v>
      </c>
      <c r="B31" s="3" t="s">
        <v>132</v>
      </c>
      <c r="C31" s="3"/>
      <c r="D31" s="4" t="s">
        <v>157</v>
      </c>
      <c r="E31" s="4" t="s">
        <v>157</v>
      </c>
      <c r="F31" s="3"/>
      <c r="G31" s="4" t="s">
        <v>158</v>
      </c>
      <c r="H31" s="3">
        <v>5</v>
      </c>
      <c r="I31" s="3">
        <v>4</v>
      </c>
      <c r="J31" s="3">
        <f>IF(W31="כן","",H31*I31)</f>
        <v>20</v>
      </c>
      <c r="K31" s="3" t="str">
        <f>IF(W31="כן","",IF(J31="","",IF(J31&gt;=15,"קריטי",IF(J31&gt;=10,"גבוה",IF(J31&gt;=5,"בינוני","נמוך")))))</f>
        <v>קריטי</v>
      </c>
      <c r="L31" s="4" t="s">
        <v>82</v>
      </c>
      <c r="M31" s="4" t="s">
        <v>159</v>
      </c>
      <c r="N31" s="3">
        <v>4</v>
      </c>
      <c r="O31" s="3">
        <v>4</v>
      </c>
      <c r="P31" s="3">
        <f t="shared" si="0"/>
        <v>16</v>
      </c>
      <c r="Q31" s="3" t="str">
        <f t="shared" si="1"/>
        <v>קריטי</v>
      </c>
      <c r="R31" s="3">
        <f>IF(W31="כן","",IF(T31="הושלם",P31,IF(T31="בתהליך",ROUNDUP((J31+P31)/2,0),J31)))</f>
        <v>16</v>
      </c>
      <c r="S31" s="3" t="str">
        <f t="shared" si="2"/>
        <v>קריטי</v>
      </c>
      <c r="T31" s="3" t="s">
        <v>29</v>
      </c>
      <c r="U31" s="3" t="s">
        <v>30</v>
      </c>
      <c r="V31" s="4" t="str">
        <f t="shared" si="3"/>
        <v>קבלת הסיכון</v>
      </c>
      <c r="W31" s="3" t="s">
        <v>31</v>
      </c>
    </row>
    <row r="32" spans="1:23" ht="22.35" customHeight="1">
      <c r="A32" s="3" t="s">
        <v>160</v>
      </c>
      <c r="B32" s="3" t="s">
        <v>161</v>
      </c>
      <c r="C32" s="3"/>
      <c r="D32" s="4" t="s">
        <v>162</v>
      </c>
      <c r="E32" s="4" t="s">
        <v>162</v>
      </c>
      <c r="F32" s="3"/>
      <c r="G32" s="4" t="s">
        <v>163</v>
      </c>
      <c r="H32" s="3">
        <v>3</v>
      </c>
      <c r="I32" s="3">
        <v>5</v>
      </c>
      <c r="J32" s="3">
        <f>IF(W32="כן","",H32*I32)</f>
        <v>15</v>
      </c>
      <c r="K32" s="3" t="str">
        <f>IF(W32="כן","",IF(J32="","",IF(J32&gt;=15,"קריטי",IF(J32&gt;=10,"גבוה",IF(J32&gt;=5,"בינוני","נמוך")))))</f>
        <v>קריטי</v>
      </c>
      <c r="L32" s="4" t="s">
        <v>27</v>
      </c>
      <c r="M32" s="4" t="s">
        <v>164</v>
      </c>
      <c r="N32" s="3">
        <v>2</v>
      </c>
      <c r="O32" s="3">
        <v>4</v>
      </c>
      <c r="P32" s="3">
        <f t="shared" si="0"/>
        <v>8</v>
      </c>
      <c r="Q32" s="3" t="str">
        <f t="shared" si="1"/>
        <v>בינוני</v>
      </c>
      <c r="R32" s="3">
        <f>IF(W32="כן","",IF(T32="הושלם",P32,IF(T32="בתהליך",ROUNDUP((J32+P32)/2,0),J32)))</f>
        <v>12</v>
      </c>
      <c r="S32" s="3" t="str">
        <f t="shared" si="2"/>
        <v>גבוה</v>
      </c>
      <c r="T32" s="3" t="s">
        <v>42</v>
      </c>
      <c r="U32" s="3" t="s">
        <v>30</v>
      </c>
      <c r="V32" s="4" t="str">
        <f t="shared" si="3"/>
        <v>הפחתת סיכון - הוספת בקרות מונעות</v>
      </c>
      <c r="W32" s="3" t="s">
        <v>31</v>
      </c>
    </row>
    <row r="33" spans="1:23" ht="22.35" customHeight="1">
      <c r="A33" s="3" t="s">
        <v>165</v>
      </c>
      <c r="B33" s="3" t="s">
        <v>161</v>
      </c>
      <c r="C33" s="3"/>
      <c r="D33" s="4" t="s">
        <v>166</v>
      </c>
      <c r="E33" s="4" t="s">
        <v>166</v>
      </c>
      <c r="F33" s="3"/>
      <c r="G33" s="4" t="s">
        <v>167</v>
      </c>
      <c r="H33" s="3">
        <v>5</v>
      </c>
      <c r="I33" s="3">
        <v>2</v>
      </c>
      <c r="J33" s="3">
        <f>IF(W33="כן","",H33*I33)</f>
        <v>10</v>
      </c>
      <c r="K33" s="3" t="str">
        <f>IF(W33="כן","",IF(J33="","",IF(J33&gt;=15,"קריטי",IF(J33&gt;=10,"גבוה",IF(J33&gt;=5,"בינוני","נמוך")))))</f>
        <v>גבוה</v>
      </c>
      <c r="L33" s="4" t="s">
        <v>27</v>
      </c>
      <c r="M33" s="4" t="s">
        <v>168</v>
      </c>
      <c r="N33" s="3">
        <v>4</v>
      </c>
      <c r="O33" s="3">
        <v>1</v>
      </c>
      <c r="P33" s="3">
        <f t="shared" si="0"/>
        <v>4</v>
      </c>
      <c r="Q33" s="3" t="str">
        <f t="shared" si="1"/>
        <v>נמוך</v>
      </c>
      <c r="R33" s="3">
        <f>IF(W33="כן","",IF(T33="הושלם",P33,IF(T33="בתהליך",ROUNDUP((J33+P33)/2,0),J33)))</f>
        <v>10</v>
      </c>
      <c r="S33" s="3" t="str">
        <f t="shared" si="2"/>
        <v>גבוה</v>
      </c>
      <c r="T33" s="3" t="s">
        <v>89</v>
      </c>
      <c r="U33" s="3" t="s">
        <v>30</v>
      </c>
      <c r="V33" s="4" t="str">
        <f t="shared" si="3"/>
        <v>הפחתת סיכון - הוספת בקרות מונעות</v>
      </c>
      <c r="W33" s="3" t="s">
        <v>31</v>
      </c>
    </row>
    <row r="34" spans="1:23" ht="32.85" customHeight="1">
      <c r="A34" s="3" t="s">
        <v>169</v>
      </c>
      <c r="B34" s="3" t="s">
        <v>161</v>
      </c>
      <c r="C34" s="3"/>
      <c r="D34" s="4" t="s">
        <v>170</v>
      </c>
      <c r="E34" s="4" t="s">
        <v>170</v>
      </c>
      <c r="F34" s="3"/>
      <c r="G34" s="4" t="s">
        <v>171</v>
      </c>
      <c r="H34" s="3">
        <v>3</v>
      </c>
      <c r="I34" s="3">
        <v>3</v>
      </c>
      <c r="J34" s="3">
        <f>IF(W34="כן","",H34*I34)</f>
        <v>9</v>
      </c>
      <c r="K34" s="3" t="str">
        <f>IF(W34="כן","",IF(J34="","",IF(J34&gt;=15,"קריטי",IF(J34&gt;=10,"גבוה",IF(J34&gt;=5,"בינוני","נמוך")))))</f>
        <v>בינוני</v>
      </c>
      <c r="L34" s="4" t="s">
        <v>87</v>
      </c>
      <c r="M34" s="4" t="s">
        <v>172</v>
      </c>
      <c r="N34" s="3">
        <v>1</v>
      </c>
      <c r="O34" s="3">
        <v>2</v>
      </c>
      <c r="P34" s="3">
        <f t="shared" ref="P34:P65" si="4">IF(W34="כן","",N34*O34)</f>
        <v>2</v>
      </c>
      <c r="Q34" s="3" t="str">
        <f t="shared" ref="Q34:Q65" si="5">IF(W34="כן","",IF(P34="","",IF(P34&gt;=15,"קריטי",IF(P34&gt;=10,"גבוה",IF(P34&gt;=5,"בינוני","נמוך")))))</f>
        <v>נמוך</v>
      </c>
      <c r="R34" s="3">
        <f>IF(W34="כן","",IF(T34="הושלם",P34,IF(T34="בתהליך",ROUNDUP((J34+P34)/2,0),J34)))</f>
        <v>6</v>
      </c>
      <c r="S34" s="3" t="str">
        <f t="shared" ref="S34:S65" si="6">IF(W34="כן","",IF(R34="","",IF(R34&gt;=15,"קריטי",IF(R34&gt;=10,"גבוה",IF(R34&gt;=5,"בינוני","נמוך")))))</f>
        <v>בינוני</v>
      </c>
      <c r="T34" s="3" t="s">
        <v>42</v>
      </c>
      <c r="U34" s="3" t="s">
        <v>30</v>
      </c>
      <c r="V34" s="4" t="str">
        <f t="shared" ref="V34:V65" si="7">IF(W34="כן","לא רלוונטי",IF(T34="הושלם","קבלת הסיכון",IF(OR(S34="קריטי",S34="גבוה"),"הפחתת סיכון - הוספת בקרות מונעות","קבלת הסיכון")))</f>
        <v>קבלת הסיכון</v>
      </c>
      <c r="W34" s="3" t="s">
        <v>31</v>
      </c>
    </row>
    <row r="35" spans="1:23" ht="22.35" customHeight="1">
      <c r="A35" s="3" t="s">
        <v>173</v>
      </c>
      <c r="B35" s="3" t="s">
        <v>161</v>
      </c>
      <c r="C35" s="3"/>
      <c r="D35" s="4" t="s">
        <v>174</v>
      </c>
      <c r="E35" s="4" t="s">
        <v>174</v>
      </c>
      <c r="F35" s="3"/>
      <c r="G35" s="4" t="s">
        <v>175</v>
      </c>
      <c r="H35" s="3">
        <v>2</v>
      </c>
      <c r="I35" s="3">
        <v>3</v>
      </c>
      <c r="J35" s="3">
        <f>IF(W35="כן","",H35*I35)</f>
        <v>6</v>
      </c>
      <c r="K35" s="3" t="str">
        <f>IF(W35="כן","",IF(J35="","",IF(J35&gt;=15,"קריטי",IF(J35&gt;=10,"גבוה",IF(J35&gt;=5,"בינוני","נמוך")))))</f>
        <v>בינוני</v>
      </c>
      <c r="L35" s="4" t="s">
        <v>82</v>
      </c>
      <c r="M35" s="4" t="s">
        <v>176</v>
      </c>
      <c r="N35" s="3">
        <v>1</v>
      </c>
      <c r="O35" s="3">
        <v>3</v>
      </c>
      <c r="P35" s="3">
        <f t="shared" si="4"/>
        <v>3</v>
      </c>
      <c r="Q35" s="3" t="str">
        <f t="shared" si="5"/>
        <v>נמוך</v>
      </c>
      <c r="R35" s="3">
        <f>IF(W35="כן","",IF(T35="הושלם",P35,IF(T35="בתהליך",ROUNDUP((J35+P35)/2,0),J35)))</f>
        <v>5</v>
      </c>
      <c r="S35" s="3" t="str">
        <f t="shared" si="6"/>
        <v>בינוני</v>
      </c>
      <c r="T35" s="3" t="s">
        <v>42</v>
      </c>
      <c r="U35" s="3" t="s">
        <v>30</v>
      </c>
      <c r="V35" s="4" t="str">
        <f t="shared" si="7"/>
        <v>קבלת הסיכון</v>
      </c>
      <c r="W35" s="3" t="s">
        <v>31</v>
      </c>
    </row>
    <row r="36" spans="1:23" ht="22.35" customHeight="1">
      <c r="A36" s="3" t="s">
        <v>177</v>
      </c>
      <c r="B36" s="3" t="s">
        <v>161</v>
      </c>
      <c r="C36" s="3"/>
      <c r="D36" s="4" t="s">
        <v>178</v>
      </c>
      <c r="E36" s="4" t="s">
        <v>178</v>
      </c>
      <c r="F36" s="3"/>
      <c r="G36" s="4" t="s">
        <v>179</v>
      </c>
      <c r="H36" s="3">
        <v>4</v>
      </c>
      <c r="I36" s="3">
        <v>5</v>
      </c>
      <c r="J36" s="3">
        <f>IF(W36="כן","",H36*I36)</f>
        <v>20</v>
      </c>
      <c r="K36" s="3" t="str">
        <f>IF(W36="כן","",IF(J36="","",IF(J36&gt;=15,"קריטי",IF(J36&gt;=10,"גבוה",IF(J36&gt;=5,"בינוני","נמוך")))))</f>
        <v>קריטי</v>
      </c>
      <c r="L36" s="4" t="s">
        <v>35</v>
      </c>
      <c r="M36" s="4" t="s">
        <v>180</v>
      </c>
      <c r="N36" s="3">
        <v>2</v>
      </c>
      <c r="O36" s="3">
        <v>5</v>
      </c>
      <c r="P36" s="3">
        <f t="shared" si="4"/>
        <v>10</v>
      </c>
      <c r="Q36" s="3" t="str">
        <f t="shared" si="5"/>
        <v>גבוה</v>
      </c>
      <c r="R36" s="3">
        <f>IF(W36="כן","",IF(T36="הושלם",P36,IF(T36="בתהליך",ROUNDUP((J36+P36)/2,0),J36)))</f>
        <v>10</v>
      </c>
      <c r="S36" s="3" t="str">
        <f t="shared" si="6"/>
        <v>גבוה</v>
      </c>
      <c r="T36" s="3" t="s">
        <v>29</v>
      </c>
      <c r="U36" s="3" t="s">
        <v>30</v>
      </c>
      <c r="V36" s="4" t="str">
        <f t="shared" si="7"/>
        <v>קבלת הסיכון</v>
      </c>
      <c r="W36" s="3" t="s">
        <v>31</v>
      </c>
    </row>
    <row r="37" spans="1:23" ht="22.35" customHeight="1">
      <c r="A37" s="3" t="s">
        <v>181</v>
      </c>
      <c r="B37" s="3" t="s">
        <v>161</v>
      </c>
      <c r="C37" s="3"/>
      <c r="D37" s="4" t="s">
        <v>182</v>
      </c>
      <c r="E37" s="4" t="s">
        <v>182</v>
      </c>
      <c r="F37" s="3"/>
      <c r="G37" s="4" t="s">
        <v>183</v>
      </c>
      <c r="H37" s="3">
        <v>2</v>
      </c>
      <c r="I37" s="3">
        <v>2</v>
      </c>
      <c r="J37" s="3">
        <f>IF(W37="כן","",H37*I37)</f>
        <v>4</v>
      </c>
      <c r="K37" s="3" t="str">
        <f>IF(W37="כן","",IF(J37="","",IF(J37&gt;=15,"קריטי",IF(J37&gt;=10,"גבוה",IF(J37&gt;=5,"בינוני","נמוך")))))</f>
        <v>נמוך</v>
      </c>
      <c r="L37" s="4" t="s">
        <v>64</v>
      </c>
      <c r="M37" s="4" t="s">
        <v>184</v>
      </c>
      <c r="N37" s="3">
        <v>1</v>
      </c>
      <c r="O37" s="3">
        <v>2</v>
      </c>
      <c r="P37" s="3">
        <f t="shared" si="4"/>
        <v>2</v>
      </c>
      <c r="Q37" s="3" t="str">
        <f t="shared" si="5"/>
        <v>נמוך</v>
      </c>
      <c r="R37" s="3">
        <f>IF(W37="כן","",IF(T37="הושלם",P37,IF(T37="בתהליך",ROUNDUP((J37+P37)/2,0),J37)))</f>
        <v>2</v>
      </c>
      <c r="S37" s="3" t="str">
        <f t="shared" si="6"/>
        <v>נמוך</v>
      </c>
      <c r="T37" s="3" t="s">
        <v>29</v>
      </c>
      <c r="U37" s="3" t="s">
        <v>30</v>
      </c>
      <c r="V37" s="4" t="str">
        <f t="shared" si="7"/>
        <v>קבלת הסיכון</v>
      </c>
      <c r="W37" s="3" t="s">
        <v>31</v>
      </c>
    </row>
    <row r="38" spans="1:23" ht="22.35" customHeight="1">
      <c r="A38" s="3" t="s">
        <v>185</v>
      </c>
      <c r="B38" s="3" t="s">
        <v>186</v>
      </c>
      <c r="C38" s="3"/>
      <c r="D38" s="4" t="s">
        <v>187</v>
      </c>
      <c r="E38" s="4" t="s">
        <v>187</v>
      </c>
      <c r="F38" s="3"/>
      <c r="G38" s="4" t="s">
        <v>188</v>
      </c>
      <c r="H38" s="3">
        <v>2</v>
      </c>
      <c r="I38" s="3">
        <v>2</v>
      </c>
      <c r="J38" s="3">
        <f>IF(W38="כן","",H38*I38)</f>
        <v>4</v>
      </c>
      <c r="K38" s="3" t="str">
        <f>IF(W38="כן","",IF(J38="","",IF(J38&gt;=15,"קריטי",IF(J38&gt;=10,"גבוה",IF(J38&gt;=5,"בינוני","נמוך")))))</f>
        <v>נמוך</v>
      </c>
      <c r="L38" s="4" t="s">
        <v>35</v>
      </c>
      <c r="M38" s="4" t="s">
        <v>189</v>
      </c>
      <c r="N38" s="3">
        <v>1</v>
      </c>
      <c r="O38" s="3">
        <v>2</v>
      </c>
      <c r="P38" s="3">
        <f t="shared" si="4"/>
        <v>2</v>
      </c>
      <c r="Q38" s="3" t="str">
        <f t="shared" si="5"/>
        <v>נמוך</v>
      </c>
      <c r="R38" s="3">
        <f>IF(W38="כן","",IF(T38="הושלם",P38,IF(T38="בתהליך",ROUNDUP((J38+P38)/2,0),J38)))</f>
        <v>4</v>
      </c>
      <c r="S38" s="3" t="str">
        <f t="shared" si="6"/>
        <v>נמוך</v>
      </c>
      <c r="T38" s="3" t="s">
        <v>89</v>
      </c>
      <c r="U38" s="3" t="s">
        <v>30</v>
      </c>
      <c r="V38" s="4" t="str">
        <f t="shared" si="7"/>
        <v>קבלת הסיכון</v>
      </c>
      <c r="W38" s="3" t="s">
        <v>31</v>
      </c>
    </row>
    <row r="39" spans="1:23" ht="22.35" customHeight="1">
      <c r="A39" s="3" t="s">
        <v>190</v>
      </c>
      <c r="B39" s="3" t="s">
        <v>186</v>
      </c>
      <c r="C39" s="3"/>
      <c r="D39" s="4" t="s">
        <v>191</v>
      </c>
      <c r="E39" s="4" t="s">
        <v>191</v>
      </c>
      <c r="F39" s="3"/>
      <c r="G39" s="4" t="s">
        <v>192</v>
      </c>
      <c r="H39" s="3">
        <v>5</v>
      </c>
      <c r="I39" s="3">
        <v>2</v>
      </c>
      <c r="J39" s="3">
        <f>IF(W39="כן","",H39*I39)</f>
        <v>10</v>
      </c>
      <c r="K39" s="3" t="str">
        <f>IF(W39="כן","",IF(J39="","",IF(J39&gt;=15,"קריטי",IF(J39&gt;=10,"גבוה",IF(J39&gt;=5,"בינוני","נמוך")))))</f>
        <v>גבוה</v>
      </c>
      <c r="L39" s="4" t="s">
        <v>27</v>
      </c>
      <c r="M39" s="4" t="s">
        <v>193</v>
      </c>
      <c r="N39" s="3">
        <v>4</v>
      </c>
      <c r="O39" s="3">
        <v>1</v>
      </c>
      <c r="P39" s="3">
        <f t="shared" si="4"/>
        <v>4</v>
      </c>
      <c r="Q39" s="3" t="str">
        <f t="shared" si="5"/>
        <v>נמוך</v>
      </c>
      <c r="R39" s="3">
        <f>IF(W39="כן","",IF(T39="הושלם",P39,IF(T39="בתהליך",ROUNDUP((J39+P39)/2,0),J39)))</f>
        <v>10</v>
      </c>
      <c r="S39" s="3" t="str">
        <f t="shared" si="6"/>
        <v>גבוה</v>
      </c>
      <c r="T39" s="3" t="s">
        <v>89</v>
      </c>
      <c r="U39" s="3" t="s">
        <v>30</v>
      </c>
      <c r="V39" s="4" t="str">
        <f t="shared" si="7"/>
        <v>הפחתת סיכון - הוספת בקרות מונעות</v>
      </c>
      <c r="W39" s="3" t="s">
        <v>31</v>
      </c>
    </row>
    <row r="40" spans="1:23" ht="22.35" customHeight="1">
      <c r="A40" s="3" t="s">
        <v>194</v>
      </c>
      <c r="B40" s="3" t="s">
        <v>186</v>
      </c>
      <c r="C40" s="3"/>
      <c r="D40" s="4" t="s">
        <v>195</v>
      </c>
      <c r="E40" s="4" t="s">
        <v>195</v>
      </c>
      <c r="F40" s="3"/>
      <c r="G40" s="4" t="s">
        <v>196</v>
      </c>
      <c r="H40" s="3">
        <v>5</v>
      </c>
      <c r="I40" s="3">
        <v>4</v>
      </c>
      <c r="J40" s="3">
        <f>IF(W40="כן","",H40*I40)</f>
        <v>20</v>
      </c>
      <c r="K40" s="3" t="str">
        <f>IF(W40="כן","",IF(J40="","",IF(J40&gt;=15,"קריטי",IF(J40&gt;=10,"גבוה",IF(J40&gt;=5,"בינוני","נמוך")))))</f>
        <v>קריטי</v>
      </c>
      <c r="L40" s="4" t="s">
        <v>35</v>
      </c>
      <c r="M40" s="4" t="s">
        <v>197</v>
      </c>
      <c r="N40" s="3">
        <v>3</v>
      </c>
      <c r="O40" s="3">
        <v>4</v>
      </c>
      <c r="P40" s="3">
        <f t="shared" si="4"/>
        <v>12</v>
      </c>
      <c r="Q40" s="3" t="str">
        <f t="shared" si="5"/>
        <v>גבוה</v>
      </c>
      <c r="R40" s="3">
        <f>IF(W40="כן","",IF(T40="הושלם",P40,IF(T40="בתהליך",ROUNDUP((J40+P40)/2,0),J40)))</f>
        <v>20</v>
      </c>
      <c r="S40" s="3" t="str">
        <f t="shared" si="6"/>
        <v>קריטי</v>
      </c>
      <c r="T40" s="3" t="s">
        <v>89</v>
      </c>
      <c r="U40" s="3" t="s">
        <v>30</v>
      </c>
      <c r="V40" s="4" t="str">
        <f t="shared" si="7"/>
        <v>הפחתת סיכון - הוספת בקרות מונעות</v>
      </c>
      <c r="W40" s="3" t="s">
        <v>31</v>
      </c>
    </row>
    <row r="41" spans="1:23" ht="22.35" customHeight="1">
      <c r="A41" s="3" t="s">
        <v>198</v>
      </c>
      <c r="B41" s="3" t="s">
        <v>186</v>
      </c>
      <c r="C41" s="3"/>
      <c r="D41" s="4" t="s">
        <v>199</v>
      </c>
      <c r="E41" s="4" t="s">
        <v>199</v>
      </c>
      <c r="F41" s="3"/>
      <c r="G41" s="4" t="s">
        <v>200</v>
      </c>
      <c r="H41" s="3">
        <v>4</v>
      </c>
      <c r="I41" s="3">
        <v>5</v>
      </c>
      <c r="J41" s="3">
        <f>IF(W41="כן","",H41*I41)</f>
        <v>20</v>
      </c>
      <c r="K41" s="3" t="str">
        <f>IF(W41="כן","",IF(J41="","",IF(J41&gt;=15,"קריטי",IF(J41&gt;=10,"גבוה",IF(J41&gt;=5,"בינוני","נמוך")))))</f>
        <v>קריטי</v>
      </c>
      <c r="L41" s="4" t="s">
        <v>82</v>
      </c>
      <c r="M41" s="4" t="s">
        <v>201</v>
      </c>
      <c r="N41" s="3">
        <v>3</v>
      </c>
      <c r="O41" s="3">
        <v>3</v>
      </c>
      <c r="P41" s="3">
        <f t="shared" si="4"/>
        <v>9</v>
      </c>
      <c r="Q41" s="3" t="str">
        <f t="shared" si="5"/>
        <v>בינוני</v>
      </c>
      <c r="R41" s="3">
        <f>IF(W41="כן","",IF(T41="הושלם",P41,IF(T41="בתהליך",ROUNDUP((J41+P41)/2,0),J41)))</f>
        <v>20</v>
      </c>
      <c r="S41" s="3" t="str">
        <f t="shared" si="6"/>
        <v>קריטי</v>
      </c>
      <c r="T41" s="3" t="s">
        <v>89</v>
      </c>
      <c r="U41" s="3" t="s">
        <v>30</v>
      </c>
      <c r="V41" s="4" t="str">
        <f t="shared" si="7"/>
        <v>הפחתת סיכון - הוספת בקרות מונעות</v>
      </c>
      <c r="W41" s="3" t="s">
        <v>31</v>
      </c>
    </row>
    <row r="42" spans="1:23" ht="22.35" customHeight="1">
      <c r="A42" s="3" t="s">
        <v>202</v>
      </c>
      <c r="B42" s="3" t="s">
        <v>186</v>
      </c>
      <c r="C42" s="3"/>
      <c r="D42" s="4" t="s">
        <v>203</v>
      </c>
      <c r="E42" s="4" t="s">
        <v>203</v>
      </c>
      <c r="F42" s="3"/>
      <c r="G42" s="4" t="s">
        <v>204</v>
      </c>
      <c r="H42" s="3">
        <v>4</v>
      </c>
      <c r="I42" s="3">
        <v>2</v>
      </c>
      <c r="J42" s="3">
        <f>IF(W42="כן","",H42*I42)</f>
        <v>8</v>
      </c>
      <c r="K42" s="3" t="str">
        <f>IF(W42="כן","",IF(J42="","",IF(J42&gt;=15,"קריטי",IF(J42&gt;=10,"גבוה",IF(J42&gt;=5,"בינוני","נמוך")))))</f>
        <v>בינוני</v>
      </c>
      <c r="L42" s="4" t="s">
        <v>27</v>
      </c>
      <c r="M42" s="4" t="s">
        <v>205</v>
      </c>
      <c r="N42" s="3">
        <v>3</v>
      </c>
      <c r="O42" s="3">
        <v>1</v>
      </c>
      <c r="P42" s="3">
        <f t="shared" si="4"/>
        <v>3</v>
      </c>
      <c r="Q42" s="3" t="str">
        <f t="shared" si="5"/>
        <v>נמוך</v>
      </c>
      <c r="R42" s="3">
        <f>IF(W42="כן","",IF(T42="הושלם",P42,IF(T42="בתהליך",ROUNDUP((J42+P42)/2,0),J42)))</f>
        <v>8</v>
      </c>
      <c r="S42" s="3" t="str">
        <f t="shared" si="6"/>
        <v>בינוני</v>
      </c>
      <c r="T42" s="3" t="s">
        <v>89</v>
      </c>
      <c r="U42" s="3" t="s">
        <v>30</v>
      </c>
      <c r="V42" s="4" t="str">
        <f t="shared" si="7"/>
        <v>קבלת הסיכון</v>
      </c>
      <c r="W42" s="3" t="s">
        <v>31</v>
      </c>
    </row>
    <row r="43" spans="1:23" ht="22.35" customHeight="1">
      <c r="A43" s="3" t="s">
        <v>206</v>
      </c>
      <c r="B43" s="3" t="s">
        <v>207</v>
      </c>
      <c r="C43" s="3"/>
      <c r="D43" s="4" t="s">
        <v>208</v>
      </c>
      <c r="E43" s="4" t="s">
        <v>208</v>
      </c>
      <c r="F43" s="3"/>
      <c r="G43" s="4" t="s">
        <v>209</v>
      </c>
      <c r="H43" s="3">
        <v>3</v>
      </c>
      <c r="I43" s="3">
        <v>4</v>
      </c>
      <c r="J43" s="3">
        <f>IF(W43="כן","",H43*I43)</f>
        <v>12</v>
      </c>
      <c r="K43" s="3" t="str">
        <f>IF(W43="כן","",IF(J43="","",IF(J43&gt;=15,"קריטי",IF(J43&gt;=10,"גבוה",IF(J43&gt;=5,"בינוני","נמוך")))))</f>
        <v>גבוה</v>
      </c>
      <c r="L43" s="4" t="s">
        <v>46</v>
      </c>
      <c r="M43" s="4" t="s">
        <v>210</v>
      </c>
      <c r="N43" s="3">
        <v>2</v>
      </c>
      <c r="O43" s="3">
        <v>3</v>
      </c>
      <c r="P43" s="3">
        <f t="shared" si="4"/>
        <v>6</v>
      </c>
      <c r="Q43" s="3" t="str">
        <f t="shared" si="5"/>
        <v>בינוני</v>
      </c>
      <c r="R43" s="3">
        <f>IF(W43="כן","",IF(T43="הושלם",P43,IF(T43="בתהליך",ROUNDUP((J43+P43)/2,0),J43)))</f>
        <v>6</v>
      </c>
      <c r="S43" s="3" t="str">
        <f t="shared" si="6"/>
        <v>בינוני</v>
      </c>
      <c r="T43" s="3" t="s">
        <v>29</v>
      </c>
      <c r="U43" s="3" t="s">
        <v>30</v>
      </c>
      <c r="V43" s="4" t="str">
        <f t="shared" si="7"/>
        <v>קבלת הסיכון</v>
      </c>
      <c r="W43" s="3" t="s">
        <v>31</v>
      </c>
    </row>
    <row r="44" spans="1:23" ht="22.35" customHeight="1">
      <c r="A44" s="3" t="s">
        <v>211</v>
      </c>
      <c r="B44" s="3" t="s">
        <v>207</v>
      </c>
      <c r="C44" s="3"/>
      <c r="D44" s="4" t="s">
        <v>212</v>
      </c>
      <c r="E44" s="4" t="s">
        <v>212</v>
      </c>
      <c r="F44" s="3"/>
      <c r="G44" s="4" t="s">
        <v>213</v>
      </c>
      <c r="H44" s="3">
        <v>4</v>
      </c>
      <c r="I44" s="3">
        <v>3</v>
      </c>
      <c r="J44" s="3">
        <f>IF(W44="כן","",H44*I44)</f>
        <v>12</v>
      </c>
      <c r="K44" s="3" t="str">
        <f>IF(W44="כן","",IF(J44="","",IF(J44&gt;=15,"קריטי",IF(J44&gt;=10,"גבוה",IF(J44&gt;=5,"בינוני","נמוך")))))</f>
        <v>גבוה</v>
      </c>
      <c r="L44" s="4" t="s">
        <v>40</v>
      </c>
      <c r="M44" s="4" t="s">
        <v>214</v>
      </c>
      <c r="N44" s="3">
        <v>2</v>
      </c>
      <c r="O44" s="3">
        <v>1</v>
      </c>
      <c r="P44" s="3">
        <f t="shared" si="4"/>
        <v>2</v>
      </c>
      <c r="Q44" s="3" t="str">
        <f t="shared" si="5"/>
        <v>נמוך</v>
      </c>
      <c r="R44" s="3">
        <f>IF(W44="כן","",IF(T44="הושלם",P44,IF(T44="בתהליך",ROUNDUP((J44+P44)/2,0),J44)))</f>
        <v>12</v>
      </c>
      <c r="S44" s="3" t="str">
        <f t="shared" si="6"/>
        <v>גבוה</v>
      </c>
      <c r="T44" s="3" t="s">
        <v>89</v>
      </c>
      <c r="U44" s="3" t="s">
        <v>30</v>
      </c>
      <c r="V44" s="4" t="str">
        <f t="shared" si="7"/>
        <v>הפחתת סיכון - הוספת בקרות מונעות</v>
      </c>
      <c r="W44" s="3" t="s">
        <v>31</v>
      </c>
    </row>
    <row r="45" spans="1:23" ht="22.35" customHeight="1">
      <c r="A45" s="3" t="s">
        <v>215</v>
      </c>
      <c r="B45" s="3" t="s">
        <v>207</v>
      </c>
      <c r="C45" s="3"/>
      <c r="D45" s="4" t="s">
        <v>216</v>
      </c>
      <c r="E45" s="4" t="s">
        <v>216</v>
      </c>
      <c r="F45" s="3"/>
      <c r="G45" s="4" t="s">
        <v>217</v>
      </c>
      <c r="H45" s="3">
        <v>4</v>
      </c>
      <c r="I45" s="3">
        <v>2</v>
      </c>
      <c r="J45" s="3">
        <f>IF(W45="כן","",H45*I45)</f>
        <v>8</v>
      </c>
      <c r="K45" s="3" t="str">
        <f>IF(W45="כן","",IF(J45="","",IF(J45&gt;=15,"קריטי",IF(J45&gt;=10,"גבוה",IF(J45&gt;=5,"בינוני","נמוך")))))</f>
        <v>בינוני</v>
      </c>
      <c r="L45" s="4" t="s">
        <v>64</v>
      </c>
      <c r="M45" s="4" t="s">
        <v>218</v>
      </c>
      <c r="N45" s="3">
        <v>3</v>
      </c>
      <c r="O45" s="3">
        <v>1</v>
      </c>
      <c r="P45" s="3">
        <f t="shared" si="4"/>
        <v>3</v>
      </c>
      <c r="Q45" s="3" t="str">
        <f t="shared" si="5"/>
        <v>נמוך</v>
      </c>
      <c r="R45" s="3">
        <f>IF(W45="כן","",IF(T45="הושלם",P45,IF(T45="בתהליך",ROUNDUP((J45+P45)/2,0),J45)))</f>
        <v>3</v>
      </c>
      <c r="S45" s="3" t="str">
        <f t="shared" si="6"/>
        <v>נמוך</v>
      </c>
      <c r="T45" s="3" t="s">
        <v>29</v>
      </c>
      <c r="U45" s="3" t="s">
        <v>30</v>
      </c>
      <c r="V45" s="4" t="str">
        <f t="shared" si="7"/>
        <v>קבלת הסיכון</v>
      </c>
      <c r="W45" s="3" t="s">
        <v>31</v>
      </c>
    </row>
    <row r="46" spans="1:23" ht="22.35" customHeight="1">
      <c r="A46" s="3" t="s">
        <v>219</v>
      </c>
      <c r="B46" s="3" t="s">
        <v>207</v>
      </c>
      <c r="C46" s="3"/>
      <c r="D46" s="4" t="s">
        <v>220</v>
      </c>
      <c r="E46" s="4" t="s">
        <v>220</v>
      </c>
      <c r="F46" s="3"/>
      <c r="G46" s="4" t="s">
        <v>221</v>
      </c>
      <c r="H46" s="3">
        <v>4</v>
      </c>
      <c r="I46" s="3">
        <v>4</v>
      </c>
      <c r="J46" s="3">
        <f>IF(W46="כן","",H46*I46)</f>
        <v>16</v>
      </c>
      <c r="K46" s="3" t="str">
        <f>IF(W46="כן","",IF(J46="","",IF(J46&gt;=15,"קריטי",IF(J46&gt;=10,"גבוה",IF(J46&gt;=5,"בינוני","נמוך")))))</f>
        <v>קריטי</v>
      </c>
      <c r="L46" s="4" t="s">
        <v>51</v>
      </c>
      <c r="M46" s="4" t="s">
        <v>222</v>
      </c>
      <c r="N46" s="3">
        <v>3</v>
      </c>
      <c r="O46" s="3">
        <v>2</v>
      </c>
      <c r="P46" s="3">
        <f t="shared" si="4"/>
        <v>6</v>
      </c>
      <c r="Q46" s="3" t="str">
        <f t="shared" si="5"/>
        <v>בינוני</v>
      </c>
      <c r="R46" s="3">
        <f>IF(W46="כן","",IF(T46="הושלם",P46,IF(T46="בתהליך",ROUNDUP((J46+P46)/2,0),J46)))</f>
        <v>11</v>
      </c>
      <c r="S46" s="3" t="str">
        <f t="shared" si="6"/>
        <v>גבוה</v>
      </c>
      <c r="T46" s="3" t="s">
        <v>42</v>
      </c>
      <c r="U46" s="3" t="s">
        <v>30</v>
      </c>
      <c r="V46" s="4" t="str">
        <f t="shared" si="7"/>
        <v>הפחתת סיכון - הוספת בקרות מונעות</v>
      </c>
      <c r="W46" s="3" t="s">
        <v>31</v>
      </c>
    </row>
    <row r="47" spans="1:23" ht="22.35" customHeight="1">
      <c r="A47" s="3" t="s">
        <v>223</v>
      </c>
      <c r="B47" s="3" t="s">
        <v>207</v>
      </c>
      <c r="C47" s="3"/>
      <c r="D47" s="4" t="s">
        <v>224</v>
      </c>
      <c r="E47" s="4" t="s">
        <v>224</v>
      </c>
      <c r="F47" s="3"/>
      <c r="G47" s="4" t="s">
        <v>225</v>
      </c>
      <c r="H47" s="3">
        <v>5</v>
      </c>
      <c r="I47" s="3">
        <v>4</v>
      </c>
      <c r="J47" s="3">
        <f>IF(W47="כן","",H47*I47)</f>
        <v>20</v>
      </c>
      <c r="K47" s="3" t="str">
        <f>IF(W47="כן","",IF(J47="","",IF(J47&gt;=15,"קריטי",IF(J47&gt;=10,"גבוה",IF(J47&gt;=5,"בינוני","נמוך")))))</f>
        <v>קריטי</v>
      </c>
      <c r="L47" s="4" t="s">
        <v>51</v>
      </c>
      <c r="M47" s="4" t="s">
        <v>226</v>
      </c>
      <c r="N47" s="3">
        <v>4</v>
      </c>
      <c r="O47" s="3">
        <v>4</v>
      </c>
      <c r="P47" s="3">
        <f t="shared" si="4"/>
        <v>16</v>
      </c>
      <c r="Q47" s="3" t="str">
        <f t="shared" si="5"/>
        <v>קריטי</v>
      </c>
      <c r="R47" s="3">
        <f>IF(W47="כן","",IF(T47="הושלם",P47,IF(T47="בתהליך",ROUNDUP((J47+P47)/2,0),J47)))</f>
        <v>20</v>
      </c>
      <c r="S47" s="3" t="str">
        <f t="shared" si="6"/>
        <v>קריטי</v>
      </c>
      <c r="T47" s="3" t="s">
        <v>89</v>
      </c>
      <c r="U47" s="3" t="s">
        <v>30</v>
      </c>
      <c r="V47" s="4" t="str">
        <f t="shared" si="7"/>
        <v>הפחתת סיכון - הוספת בקרות מונעות</v>
      </c>
      <c r="W47" s="3" t="s">
        <v>31</v>
      </c>
    </row>
    <row r="48" spans="1:23" ht="22.35" customHeight="1">
      <c r="A48" s="3" t="s">
        <v>227</v>
      </c>
      <c r="B48" s="3" t="s">
        <v>207</v>
      </c>
      <c r="C48" s="3"/>
      <c r="D48" s="4" t="s">
        <v>228</v>
      </c>
      <c r="E48" s="4" t="s">
        <v>228</v>
      </c>
      <c r="F48" s="3"/>
      <c r="G48" s="4" t="s">
        <v>229</v>
      </c>
      <c r="H48" s="3">
        <v>2</v>
      </c>
      <c r="I48" s="3">
        <v>2</v>
      </c>
      <c r="J48" s="3">
        <f>IF(W48="כן","",H48*I48)</f>
        <v>4</v>
      </c>
      <c r="K48" s="3" t="str">
        <f>IF(W48="כן","",IF(J48="","",IF(J48&gt;=15,"קריטי",IF(J48&gt;=10,"גבוה",IF(J48&gt;=5,"בינוני","נמוך")))))</f>
        <v>נמוך</v>
      </c>
      <c r="L48" s="4" t="s">
        <v>64</v>
      </c>
      <c r="M48" s="4" t="s">
        <v>230</v>
      </c>
      <c r="N48" s="3">
        <v>1</v>
      </c>
      <c r="O48" s="3">
        <v>2</v>
      </c>
      <c r="P48" s="3">
        <f t="shared" si="4"/>
        <v>2</v>
      </c>
      <c r="Q48" s="3" t="str">
        <f t="shared" si="5"/>
        <v>נמוך</v>
      </c>
      <c r="R48" s="3">
        <f>IF(W48="כן","",IF(T48="הושלם",P48,IF(T48="בתהליך",ROUNDUP((J48+P48)/2,0),J48)))</f>
        <v>4</v>
      </c>
      <c r="S48" s="3" t="str">
        <f t="shared" si="6"/>
        <v>נמוך</v>
      </c>
      <c r="T48" s="3" t="s">
        <v>89</v>
      </c>
      <c r="U48" s="3" t="s">
        <v>30</v>
      </c>
      <c r="V48" s="4" t="str">
        <f t="shared" si="7"/>
        <v>קבלת הסיכון</v>
      </c>
      <c r="W48" s="3" t="s">
        <v>31</v>
      </c>
    </row>
    <row r="49" spans="1:23" ht="22.35" customHeight="1">
      <c r="A49" s="3" t="s">
        <v>231</v>
      </c>
      <c r="B49" s="3" t="s">
        <v>207</v>
      </c>
      <c r="C49" s="3"/>
      <c r="D49" s="4" t="s">
        <v>232</v>
      </c>
      <c r="E49" s="4" t="s">
        <v>232</v>
      </c>
      <c r="F49" s="3"/>
      <c r="G49" s="4" t="s">
        <v>233</v>
      </c>
      <c r="H49" s="3">
        <v>5</v>
      </c>
      <c r="I49" s="3">
        <v>5</v>
      </c>
      <c r="J49" s="3">
        <f>IF(W49="כן","",H49*I49)</f>
        <v>25</v>
      </c>
      <c r="K49" s="3" t="str">
        <f>IF(W49="כן","",IF(J49="","",IF(J49&gt;=15,"קריטי",IF(J49&gt;=10,"גבוה",IF(J49&gt;=5,"בינוני","נמוך")))))</f>
        <v>קריטי</v>
      </c>
      <c r="L49" s="4" t="s">
        <v>40</v>
      </c>
      <c r="M49" s="4" t="s">
        <v>234</v>
      </c>
      <c r="N49" s="3">
        <v>4</v>
      </c>
      <c r="O49" s="3">
        <v>5</v>
      </c>
      <c r="P49" s="3">
        <f t="shared" si="4"/>
        <v>20</v>
      </c>
      <c r="Q49" s="3" t="str">
        <f t="shared" si="5"/>
        <v>קריטי</v>
      </c>
      <c r="R49" s="3">
        <f>IF(W49="כן","",IF(T49="הושלם",P49,IF(T49="בתהליך",ROUNDUP((J49+P49)/2,0),J49)))</f>
        <v>20</v>
      </c>
      <c r="S49" s="3" t="str">
        <f t="shared" si="6"/>
        <v>קריטי</v>
      </c>
      <c r="T49" s="3" t="s">
        <v>29</v>
      </c>
      <c r="U49" s="3" t="s">
        <v>30</v>
      </c>
      <c r="V49" s="4" t="str">
        <f t="shared" si="7"/>
        <v>קבלת הסיכון</v>
      </c>
      <c r="W49" s="3" t="s">
        <v>31</v>
      </c>
    </row>
    <row r="50" spans="1:23" ht="22.35" customHeight="1">
      <c r="A50" s="3" t="s">
        <v>235</v>
      </c>
      <c r="B50" s="3" t="s">
        <v>236</v>
      </c>
      <c r="C50" s="3"/>
      <c r="D50" s="4" t="s">
        <v>237</v>
      </c>
      <c r="E50" s="4" t="s">
        <v>237</v>
      </c>
      <c r="F50" s="3"/>
      <c r="G50" s="4" t="s">
        <v>238</v>
      </c>
      <c r="H50" s="3">
        <v>4</v>
      </c>
      <c r="I50" s="3">
        <v>3</v>
      </c>
      <c r="J50" s="3">
        <f>IF(W50="כן","",H50*I50)</f>
        <v>12</v>
      </c>
      <c r="K50" s="3" t="str">
        <f>IF(W50="כן","",IF(J50="","",IF(J50&gt;=15,"קריטי",IF(J50&gt;=10,"גבוה",IF(J50&gt;=5,"בינוני","נמוך")))))</f>
        <v>גבוה</v>
      </c>
      <c r="L50" s="4" t="s">
        <v>46</v>
      </c>
      <c r="M50" s="4" t="s">
        <v>239</v>
      </c>
      <c r="N50" s="3">
        <v>2</v>
      </c>
      <c r="O50" s="3">
        <v>3</v>
      </c>
      <c r="P50" s="3">
        <f t="shared" si="4"/>
        <v>6</v>
      </c>
      <c r="Q50" s="3" t="str">
        <f t="shared" si="5"/>
        <v>בינוני</v>
      </c>
      <c r="R50" s="3">
        <f>IF(W50="כן","",IF(T50="הושלם",P50,IF(T50="בתהליך",ROUNDUP((J50+P50)/2,0),J50)))</f>
        <v>6</v>
      </c>
      <c r="S50" s="3" t="str">
        <f t="shared" si="6"/>
        <v>בינוני</v>
      </c>
      <c r="T50" s="3" t="s">
        <v>29</v>
      </c>
      <c r="U50" s="3" t="s">
        <v>30</v>
      </c>
      <c r="V50" s="4" t="str">
        <f t="shared" si="7"/>
        <v>קבלת הסיכון</v>
      </c>
      <c r="W50" s="3" t="s">
        <v>31</v>
      </c>
    </row>
    <row r="51" spans="1:23" ht="22.35" customHeight="1">
      <c r="A51" s="3" t="s">
        <v>240</v>
      </c>
      <c r="B51" s="3" t="s">
        <v>236</v>
      </c>
      <c r="C51" s="3"/>
      <c r="D51" s="4" t="s">
        <v>241</v>
      </c>
      <c r="E51" s="4" t="s">
        <v>241</v>
      </c>
      <c r="F51" s="3"/>
      <c r="G51" s="4" t="s">
        <v>242</v>
      </c>
      <c r="H51" s="3">
        <v>2</v>
      </c>
      <c r="I51" s="3">
        <v>4</v>
      </c>
      <c r="J51" s="3">
        <f>IF(W51="כן","",H51*I51)</f>
        <v>8</v>
      </c>
      <c r="K51" s="3" t="str">
        <f>IF(W51="כן","",IF(J51="","",IF(J51&gt;=15,"קריטי",IF(J51&gt;=10,"גבוה",IF(J51&gt;=5,"בינוני","נמוך")))))</f>
        <v>בינוני</v>
      </c>
      <c r="L51" s="4" t="s">
        <v>46</v>
      </c>
      <c r="M51" s="4" t="s">
        <v>243</v>
      </c>
      <c r="N51" s="3">
        <v>1</v>
      </c>
      <c r="O51" s="3">
        <v>2</v>
      </c>
      <c r="P51" s="3">
        <f t="shared" si="4"/>
        <v>2</v>
      </c>
      <c r="Q51" s="3" t="str">
        <f t="shared" si="5"/>
        <v>נמוך</v>
      </c>
      <c r="R51" s="3">
        <f>IF(W51="כן","",IF(T51="הושלם",P51,IF(T51="בתהליך",ROUNDUP((J51+P51)/2,0),J51)))</f>
        <v>2</v>
      </c>
      <c r="S51" s="3" t="str">
        <f t="shared" si="6"/>
        <v>נמוך</v>
      </c>
      <c r="T51" s="3" t="s">
        <v>29</v>
      </c>
      <c r="U51" s="3" t="s">
        <v>30</v>
      </c>
      <c r="V51" s="4" t="str">
        <f t="shared" si="7"/>
        <v>קבלת הסיכון</v>
      </c>
      <c r="W51" s="3" t="s">
        <v>31</v>
      </c>
    </row>
    <row r="52" spans="1:23" ht="22.35" customHeight="1">
      <c r="A52" s="3" t="s">
        <v>244</v>
      </c>
      <c r="B52" s="3" t="s">
        <v>236</v>
      </c>
      <c r="C52" s="3"/>
      <c r="D52" s="4" t="s">
        <v>245</v>
      </c>
      <c r="E52" s="4" t="s">
        <v>245</v>
      </c>
      <c r="F52" s="3"/>
      <c r="G52" s="4" t="s">
        <v>246</v>
      </c>
      <c r="H52" s="3">
        <v>5</v>
      </c>
      <c r="I52" s="3">
        <v>3</v>
      </c>
      <c r="J52" s="3">
        <f>IF(W52="כן","",H52*I52)</f>
        <v>15</v>
      </c>
      <c r="K52" s="3" t="str">
        <f>IF(W52="כן","",IF(J52="","",IF(J52&gt;=15,"קריטי",IF(J52&gt;=10,"גבוה",IF(J52&gt;=5,"בינוני","נמוך")))))</f>
        <v>קריטי</v>
      </c>
      <c r="L52" s="4" t="s">
        <v>40</v>
      </c>
      <c r="M52" s="4" t="s">
        <v>247</v>
      </c>
      <c r="N52" s="3">
        <v>4</v>
      </c>
      <c r="O52" s="3">
        <v>3</v>
      </c>
      <c r="P52" s="3">
        <f t="shared" si="4"/>
        <v>12</v>
      </c>
      <c r="Q52" s="3" t="str">
        <f t="shared" si="5"/>
        <v>גבוה</v>
      </c>
      <c r="R52" s="3">
        <f>IF(W52="כן","",IF(T52="הושלם",P52,IF(T52="בתהליך",ROUNDUP((J52+P52)/2,0),J52)))</f>
        <v>12</v>
      </c>
      <c r="S52" s="3" t="str">
        <f t="shared" si="6"/>
        <v>גבוה</v>
      </c>
      <c r="T52" s="3" t="s">
        <v>29</v>
      </c>
      <c r="U52" s="3" t="s">
        <v>30</v>
      </c>
      <c r="V52" s="4" t="str">
        <f t="shared" si="7"/>
        <v>קבלת הסיכון</v>
      </c>
      <c r="W52" s="3" t="s">
        <v>31</v>
      </c>
    </row>
    <row r="53" spans="1:23" ht="32.85" customHeight="1">
      <c r="A53" s="3" t="s">
        <v>248</v>
      </c>
      <c r="B53" s="3" t="s">
        <v>236</v>
      </c>
      <c r="C53" s="3"/>
      <c r="D53" s="4" t="s">
        <v>249</v>
      </c>
      <c r="E53" s="4" t="s">
        <v>249</v>
      </c>
      <c r="F53" s="3"/>
      <c r="G53" s="4" t="s">
        <v>250</v>
      </c>
      <c r="H53" s="3">
        <v>3</v>
      </c>
      <c r="I53" s="3">
        <v>4</v>
      </c>
      <c r="J53" s="3">
        <f>IF(W53="כן","",H53*I53)</f>
        <v>12</v>
      </c>
      <c r="K53" s="3" t="str">
        <f>IF(W53="כן","",IF(J53="","",IF(J53&gt;=15,"קריטי",IF(J53&gt;=10,"גבוה",IF(J53&gt;=5,"בינוני","נמוך")))))</f>
        <v>גבוה</v>
      </c>
      <c r="L53" s="4" t="s">
        <v>51</v>
      </c>
      <c r="M53" s="4" t="s">
        <v>251</v>
      </c>
      <c r="N53" s="3">
        <v>1</v>
      </c>
      <c r="O53" s="3">
        <v>2</v>
      </c>
      <c r="P53" s="3">
        <f t="shared" si="4"/>
        <v>2</v>
      </c>
      <c r="Q53" s="3" t="str">
        <f t="shared" si="5"/>
        <v>נמוך</v>
      </c>
      <c r="R53" s="3">
        <f>IF(W53="כן","",IF(T53="הושלם",P53,IF(T53="בתהליך",ROUNDUP((J53+P53)/2,0),J53)))</f>
        <v>12</v>
      </c>
      <c r="S53" s="3" t="str">
        <f t="shared" si="6"/>
        <v>גבוה</v>
      </c>
      <c r="T53" s="3" t="s">
        <v>89</v>
      </c>
      <c r="U53" s="3" t="s">
        <v>30</v>
      </c>
      <c r="V53" s="4" t="str">
        <f t="shared" si="7"/>
        <v>הפחתת סיכון - הוספת בקרות מונעות</v>
      </c>
      <c r="W53" s="3" t="s">
        <v>31</v>
      </c>
    </row>
    <row r="54" spans="1:23" ht="22.35" customHeight="1">
      <c r="A54" s="3" t="s">
        <v>252</v>
      </c>
      <c r="B54" s="3" t="s">
        <v>236</v>
      </c>
      <c r="C54" s="3"/>
      <c r="D54" s="4" t="s">
        <v>253</v>
      </c>
      <c r="E54" s="4" t="s">
        <v>253</v>
      </c>
      <c r="F54" s="3"/>
      <c r="G54" s="4" t="s">
        <v>254</v>
      </c>
      <c r="H54" s="3">
        <v>3</v>
      </c>
      <c r="I54" s="3">
        <v>2</v>
      </c>
      <c r="J54" s="3">
        <f>IF(W54="כן","",H54*I54)</f>
        <v>6</v>
      </c>
      <c r="K54" s="3" t="str">
        <f>IF(W54="כן","",IF(J54="","",IF(J54&gt;=15,"קריטי",IF(J54&gt;=10,"גבוה",IF(J54&gt;=5,"בינוני","נמוך")))))</f>
        <v>בינוני</v>
      </c>
      <c r="L54" s="4" t="s">
        <v>35</v>
      </c>
      <c r="M54" s="4" t="s">
        <v>255</v>
      </c>
      <c r="N54" s="3">
        <v>1</v>
      </c>
      <c r="O54" s="3">
        <v>2</v>
      </c>
      <c r="P54" s="3">
        <f t="shared" si="4"/>
        <v>2</v>
      </c>
      <c r="Q54" s="3" t="str">
        <f t="shared" si="5"/>
        <v>נמוך</v>
      </c>
      <c r="R54" s="3">
        <f>IF(W54="כן","",IF(T54="הושלם",P54,IF(T54="בתהליך",ROUNDUP((J54+P54)/2,0),J54)))</f>
        <v>4</v>
      </c>
      <c r="S54" s="3" t="str">
        <f t="shared" si="6"/>
        <v>נמוך</v>
      </c>
      <c r="T54" s="3" t="s">
        <v>42</v>
      </c>
      <c r="U54" s="3" t="s">
        <v>30</v>
      </c>
      <c r="V54" s="4" t="str">
        <f t="shared" si="7"/>
        <v>קבלת הסיכון</v>
      </c>
      <c r="W54" s="3" t="s">
        <v>31</v>
      </c>
    </row>
    <row r="55" spans="1:23" ht="22.35" customHeight="1">
      <c r="A55" s="3" t="s">
        <v>256</v>
      </c>
      <c r="B55" s="3" t="s">
        <v>236</v>
      </c>
      <c r="C55" s="3"/>
      <c r="D55" s="4" t="s">
        <v>257</v>
      </c>
      <c r="E55" s="4" t="s">
        <v>257</v>
      </c>
      <c r="F55" s="3"/>
      <c r="G55" s="4" t="s">
        <v>258</v>
      </c>
      <c r="H55" s="3">
        <v>5</v>
      </c>
      <c r="I55" s="3">
        <v>4</v>
      </c>
      <c r="J55" s="3">
        <f>IF(W55="כן","",H55*I55)</f>
        <v>20</v>
      </c>
      <c r="K55" s="3" t="str">
        <f>IF(W55="כן","",IF(J55="","",IF(J55&gt;=15,"קריטי",IF(J55&gt;=10,"גבוה",IF(J55&gt;=5,"בינוני","נמוך")))))</f>
        <v>קריטי</v>
      </c>
      <c r="L55" s="4" t="s">
        <v>35</v>
      </c>
      <c r="M55" s="4" t="s">
        <v>259</v>
      </c>
      <c r="N55" s="3">
        <v>3</v>
      </c>
      <c r="O55" s="3">
        <v>4</v>
      </c>
      <c r="P55" s="3">
        <f t="shared" si="4"/>
        <v>12</v>
      </c>
      <c r="Q55" s="3" t="str">
        <f t="shared" si="5"/>
        <v>גבוה</v>
      </c>
      <c r="R55" s="3">
        <f>IF(W55="כן","",IF(T55="הושלם",P55,IF(T55="בתהליך",ROUNDUP((J55+P55)/2,0),J55)))</f>
        <v>12</v>
      </c>
      <c r="S55" s="3" t="str">
        <f t="shared" si="6"/>
        <v>גבוה</v>
      </c>
      <c r="T55" s="3" t="s">
        <v>29</v>
      </c>
      <c r="U55" s="3" t="s">
        <v>30</v>
      </c>
      <c r="V55" s="4" t="str">
        <f t="shared" si="7"/>
        <v>קבלת הסיכון</v>
      </c>
      <c r="W55" s="3" t="s">
        <v>31</v>
      </c>
    </row>
    <row r="56" spans="1:23" ht="22.35" customHeight="1">
      <c r="A56" s="3" t="s">
        <v>260</v>
      </c>
      <c r="B56" s="3" t="s">
        <v>236</v>
      </c>
      <c r="C56" s="3"/>
      <c r="D56" s="4" t="s">
        <v>261</v>
      </c>
      <c r="E56" s="4" t="s">
        <v>261</v>
      </c>
      <c r="F56" s="3"/>
      <c r="G56" s="4" t="s">
        <v>262</v>
      </c>
      <c r="H56" s="3">
        <v>5</v>
      </c>
      <c r="I56" s="3">
        <v>4</v>
      </c>
      <c r="J56" s="3">
        <f>IF(W56="כן","",H56*I56)</f>
        <v>20</v>
      </c>
      <c r="K56" s="3" t="str">
        <f>IF(W56="כן","",IF(J56="","",IF(J56&gt;=15,"קריטי",IF(J56&gt;=10,"גבוה",IF(J56&gt;=5,"בינוני","נמוך")))))</f>
        <v>קריטי</v>
      </c>
      <c r="L56" s="4" t="s">
        <v>87</v>
      </c>
      <c r="M56" s="4" t="s">
        <v>263</v>
      </c>
      <c r="N56" s="3">
        <v>3</v>
      </c>
      <c r="O56" s="3">
        <v>4</v>
      </c>
      <c r="P56" s="3">
        <f t="shared" si="4"/>
        <v>12</v>
      </c>
      <c r="Q56" s="3" t="str">
        <f t="shared" si="5"/>
        <v>גבוה</v>
      </c>
      <c r="R56" s="3">
        <f>IF(W56="כן","",IF(T56="הושלם",P56,IF(T56="בתהליך",ROUNDUP((J56+P56)/2,0),J56)))</f>
        <v>16</v>
      </c>
      <c r="S56" s="3" t="str">
        <f t="shared" si="6"/>
        <v>קריטי</v>
      </c>
      <c r="T56" s="3" t="s">
        <v>42</v>
      </c>
      <c r="U56" s="3" t="s">
        <v>30</v>
      </c>
      <c r="V56" s="4" t="str">
        <f t="shared" si="7"/>
        <v>הפחתת סיכון - הוספת בקרות מונעות</v>
      </c>
      <c r="W56" s="3" t="s">
        <v>31</v>
      </c>
    </row>
    <row r="57" spans="1:23" ht="32.85" customHeight="1">
      <c r="A57" s="3" t="s">
        <v>264</v>
      </c>
      <c r="B57" s="3" t="s">
        <v>265</v>
      </c>
      <c r="C57" s="3"/>
      <c r="D57" s="4" t="s">
        <v>266</v>
      </c>
      <c r="E57" s="4" t="s">
        <v>266</v>
      </c>
      <c r="F57" s="3"/>
      <c r="G57" s="4" t="s">
        <v>267</v>
      </c>
      <c r="H57" s="3">
        <v>4</v>
      </c>
      <c r="I57" s="3">
        <v>2</v>
      </c>
      <c r="J57" s="3">
        <f>IF(W57="כן","",H57*I57)</f>
        <v>8</v>
      </c>
      <c r="K57" s="3" t="str">
        <f>IF(W57="כן","",IF(J57="","",IF(J57&gt;=15,"קריטי",IF(J57&gt;=10,"גבוה",IF(J57&gt;=5,"בינוני","נמוך")))))</f>
        <v>בינוני</v>
      </c>
      <c r="L57" s="4" t="s">
        <v>40</v>
      </c>
      <c r="M57" s="4" t="s">
        <v>268</v>
      </c>
      <c r="N57" s="3">
        <v>3</v>
      </c>
      <c r="O57" s="3">
        <v>1</v>
      </c>
      <c r="P57" s="3">
        <f t="shared" si="4"/>
        <v>3</v>
      </c>
      <c r="Q57" s="3" t="str">
        <f t="shared" si="5"/>
        <v>נמוך</v>
      </c>
      <c r="R57" s="3">
        <f>IF(W57="כן","",IF(T57="הושלם",P57,IF(T57="בתהליך",ROUNDUP((J57+P57)/2,0),J57)))</f>
        <v>3</v>
      </c>
      <c r="S57" s="3" t="str">
        <f t="shared" si="6"/>
        <v>נמוך</v>
      </c>
      <c r="T57" s="3" t="s">
        <v>29</v>
      </c>
      <c r="U57" s="3" t="s">
        <v>30</v>
      </c>
      <c r="V57" s="4" t="str">
        <f t="shared" si="7"/>
        <v>קבלת הסיכון</v>
      </c>
      <c r="W57" s="3" t="s">
        <v>31</v>
      </c>
    </row>
    <row r="58" spans="1:23" ht="22.35" customHeight="1">
      <c r="A58" s="3" t="s">
        <v>269</v>
      </c>
      <c r="B58" s="3" t="s">
        <v>265</v>
      </c>
      <c r="C58" s="3"/>
      <c r="D58" s="4" t="s">
        <v>270</v>
      </c>
      <c r="E58" s="4" t="s">
        <v>270</v>
      </c>
      <c r="F58" s="3"/>
      <c r="G58" s="4" t="s">
        <v>271</v>
      </c>
      <c r="H58" s="3">
        <v>2</v>
      </c>
      <c r="I58" s="3">
        <v>5</v>
      </c>
      <c r="J58" s="3">
        <f>IF(W58="כן","",H58*I58)</f>
        <v>10</v>
      </c>
      <c r="K58" s="3" t="str">
        <f>IF(W58="כן","",IF(J58="","",IF(J58&gt;=15,"קריטי",IF(J58&gt;=10,"גבוה",IF(J58&gt;=5,"בינוני","נמוך")))))</f>
        <v>גבוה</v>
      </c>
      <c r="L58" s="4" t="s">
        <v>27</v>
      </c>
      <c r="M58" s="4" t="s">
        <v>272</v>
      </c>
      <c r="N58" s="3">
        <v>1</v>
      </c>
      <c r="O58" s="3">
        <v>3</v>
      </c>
      <c r="P58" s="3">
        <f t="shared" si="4"/>
        <v>3</v>
      </c>
      <c r="Q58" s="3" t="str">
        <f t="shared" si="5"/>
        <v>נמוך</v>
      </c>
      <c r="R58" s="3">
        <f>IF(W58="כן","",IF(T58="הושלם",P58,IF(T58="בתהליך",ROUNDUP((J58+P58)/2,0),J58)))</f>
        <v>7</v>
      </c>
      <c r="S58" s="3" t="str">
        <f t="shared" si="6"/>
        <v>בינוני</v>
      </c>
      <c r="T58" s="3" t="s">
        <v>42</v>
      </c>
      <c r="U58" s="3" t="s">
        <v>30</v>
      </c>
      <c r="V58" s="4" t="str">
        <f t="shared" si="7"/>
        <v>קבלת הסיכון</v>
      </c>
      <c r="W58" s="3" t="s">
        <v>31</v>
      </c>
    </row>
    <row r="59" spans="1:23" ht="22.35" customHeight="1">
      <c r="A59" s="3" t="s">
        <v>273</v>
      </c>
      <c r="B59" s="3" t="s">
        <v>265</v>
      </c>
      <c r="C59" s="3"/>
      <c r="D59" s="4" t="s">
        <v>274</v>
      </c>
      <c r="E59" s="4" t="s">
        <v>274</v>
      </c>
      <c r="F59" s="3"/>
      <c r="G59" s="4" t="s">
        <v>275</v>
      </c>
      <c r="H59" s="3">
        <v>5</v>
      </c>
      <c r="I59" s="3">
        <v>3</v>
      </c>
      <c r="J59" s="3">
        <f>IF(W59="כן","",H59*I59)</f>
        <v>15</v>
      </c>
      <c r="K59" s="3" t="str">
        <f>IF(W59="כן","",IF(J59="","",IF(J59&gt;=15,"קריטי",IF(J59&gt;=10,"גבוה",IF(J59&gt;=5,"בינוני","נמוך")))))</f>
        <v>קריטי</v>
      </c>
      <c r="L59" s="4" t="s">
        <v>40</v>
      </c>
      <c r="M59" s="4" t="s">
        <v>276</v>
      </c>
      <c r="N59" s="3">
        <v>3</v>
      </c>
      <c r="O59" s="3">
        <v>3</v>
      </c>
      <c r="P59" s="3">
        <f t="shared" si="4"/>
        <v>9</v>
      </c>
      <c r="Q59" s="3" t="str">
        <f t="shared" si="5"/>
        <v>בינוני</v>
      </c>
      <c r="R59" s="3">
        <f>IF(W59="כן","",IF(T59="הושלם",P59,IF(T59="בתהליך",ROUNDUP((J59+P59)/2,0),J59)))</f>
        <v>15</v>
      </c>
      <c r="S59" s="3" t="str">
        <f t="shared" si="6"/>
        <v>קריטי</v>
      </c>
      <c r="T59" s="3" t="s">
        <v>89</v>
      </c>
      <c r="U59" s="3" t="s">
        <v>30</v>
      </c>
      <c r="V59" s="4" t="str">
        <f t="shared" si="7"/>
        <v>הפחתת סיכון - הוספת בקרות מונעות</v>
      </c>
      <c r="W59" s="3" t="s">
        <v>31</v>
      </c>
    </row>
    <row r="60" spans="1:23" ht="22.35" customHeight="1">
      <c r="A60" s="3" t="s">
        <v>277</v>
      </c>
      <c r="B60" s="3" t="s">
        <v>265</v>
      </c>
      <c r="C60" s="3"/>
      <c r="D60" s="4" t="s">
        <v>278</v>
      </c>
      <c r="E60" s="4" t="s">
        <v>278</v>
      </c>
      <c r="F60" s="3"/>
      <c r="G60" s="4" t="s">
        <v>279</v>
      </c>
      <c r="H60" s="3">
        <v>3</v>
      </c>
      <c r="I60" s="3">
        <v>4</v>
      </c>
      <c r="J60" s="3">
        <f>IF(W60="כן","",H60*I60)</f>
        <v>12</v>
      </c>
      <c r="K60" s="3" t="str">
        <f>IF(W60="כן","",IF(J60="","",IF(J60&gt;=15,"קריטי",IF(J60&gt;=10,"גבוה",IF(J60&gt;=5,"בינוני","נמוך")))))</f>
        <v>גבוה</v>
      </c>
      <c r="L60" s="4" t="s">
        <v>46</v>
      </c>
      <c r="M60" s="4" t="s">
        <v>280</v>
      </c>
      <c r="N60" s="3">
        <v>1</v>
      </c>
      <c r="O60" s="3">
        <v>4</v>
      </c>
      <c r="P60" s="3">
        <f t="shared" si="4"/>
        <v>4</v>
      </c>
      <c r="Q60" s="3" t="str">
        <f t="shared" si="5"/>
        <v>נמוך</v>
      </c>
      <c r="R60" s="3">
        <f>IF(W60="כן","",IF(T60="הושלם",P60,IF(T60="בתהליך",ROUNDUP((J60+P60)/2,0),J60)))</f>
        <v>12</v>
      </c>
      <c r="S60" s="3" t="str">
        <f t="shared" si="6"/>
        <v>גבוה</v>
      </c>
      <c r="T60" s="3" t="s">
        <v>89</v>
      </c>
      <c r="U60" s="3" t="s">
        <v>30</v>
      </c>
      <c r="V60" s="4" t="str">
        <f t="shared" si="7"/>
        <v>הפחתת סיכון - הוספת בקרות מונעות</v>
      </c>
      <c r="W60" s="3" t="s">
        <v>31</v>
      </c>
    </row>
    <row r="61" spans="1:23" ht="22.35" customHeight="1">
      <c r="A61" s="3" t="s">
        <v>281</v>
      </c>
      <c r="B61" s="3" t="s">
        <v>265</v>
      </c>
      <c r="C61" s="3"/>
      <c r="D61" s="4" t="s">
        <v>282</v>
      </c>
      <c r="E61" s="4" t="s">
        <v>282</v>
      </c>
      <c r="F61" s="3"/>
      <c r="G61" s="4" t="s">
        <v>283</v>
      </c>
      <c r="H61" s="3">
        <v>2</v>
      </c>
      <c r="I61" s="3">
        <v>4</v>
      </c>
      <c r="J61" s="3">
        <f>IF(W61="כן","",H61*I61)</f>
        <v>8</v>
      </c>
      <c r="K61" s="3" t="str">
        <f>IF(W61="כן","",IF(J61="","",IF(J61&gt;=15,"קריטי",IF(J61&gt;=10,"גבוה",IF(J61&gt;=5,"בינוני","נמוך")))))</f>
        <v>בינוני</v>
      </c>
      <c r="L61" s="4" t="s">
        <v>87</v>
      </c>
      <c r="M61" s="4" t="s">
        <v>284</v>
      </c>
      <c r="N61" s="3">
        <v>1</v>
      </c>
      <c r="O61" s="3">
        <v>2</v>
      </c>
      <c r="P61" s="3">
        <f t="shared" si="4"/>
        <v>2</v>
      </c>
      <c r="Q61" s="3" t="str">
        <f t="shared" si="5"/>
        <v>נמוך</v>
      </c>
      <c r="R61" s="3">
        <f>IF(W61="כן","",IF(T61="הושלם",P61,IF(T61="בתהליך",ROUNDUP((J61+P61)/2,0),J61)))</f>
        <v>5</v>
      </c>
      <c r="S61" s="3" t="str">
        <f t="shared" si="6"/>
        <v>בינוני</v>
      </c>
      <c r="T61" s="3" t="s">
        <v>42</v>
      </c>
      <c r="U61" s="3" t="s">
        <v>30</v>
      </c>
      <c r="V61" s="4" t="str">
        <f t="shared" si="7"/>
        <v>קבלת הסיכון</v>
      </c>
      <c r="W61" s="3" t="s">
        <v>31</v>
      </c>
    </row>
    <row r="62" spans="1:23" ht="22.35" customHeight="1">
      <c r="A62" s="3" t="s">
        <v>285</v>
      </c>
      <c r="B62" s="3" t="s">
        <v>265</v>
      </c>
      <c r="C62" s="3"/>
      <c r="D62" s="4" t="s">
        <v>286</v>
      </c>
      <c r="E62" s="4" t="s">
        <v>286</v>
      </c>
      <c r="F62" s="3"/>
      <c r="G62" s="4" t="s">
        <v>287</v>
      </c>
      <c r="H62" s="3">
        <v>4</v>
      </c>
      <c r="I62" s="3">
        <v>3</v>
      </c>
      <c r="J62" s="3">
        <f>IF(W62="כן","",H62*I62)</f>
        <v>12</v>
      </c>
      <c r="K62" s="3" t="str">
        <f>IF(W62="כן","",IF(J62="","",IF(J62&gt;=15,"קריטי",IF(J62&gt;=10,"גבוה",IF(J62&gt;=5,"בינוני","נמוך")))))</f>
        <v>גבוה</v>
      </c>
      <c r="L62" s="4" t="s">
        <v>64</v>
      </c>
      <c r="M62" s="4" t="s">
        <v>288</v>
      </c>
      <c r="N62" s="3">
        <v>3</v>
      </c>
      <c r="O62" s="3">
        <v>2</v>
      </c>
      <c r="P62" s="3">
        <f t="shared" si="4"/>
        <v>6</v>
      </c>
      <c r="Q62" s="3" t="str">
        <f t="shared" si="5"/>
        <v>בינוני</v>
      </c>
      <c r="R62" s="3">
        <f>IF(W62="כן","",IF(T62="הושלם",P62,IF(T62="בתהליך",ROUNDUP((J62+P62)/2,0),J62)))</f>
        <v>12</v>
      </c>
      <c r="S62" s="3" t="str">
        <f t="shared" si="6"/>
        <v>גבוה</v>
      </c>
      <c r="T62" s="3" t="s">
        <v>89</v>
      </c>
      <c r="U62" s="3" t="s">
        <v>30</v>
      </c>
      <c r="V62" s="4" t="str">
        <f t="shared" si="7"/>
        <v>הפחתת סיכון - הוספת בקרות מונעות</v>
      </c>
      <c r="W62" s="3" t="s">
        <v>31</v>
      </c>
    </row>
    <row r="63" spans="1:23" ht="22.35" customHeight="1">
      <c r="A63" s="3" t="s">
        <v>289</v>
      </c>
      <c r="B63" s="3" t="s">
        <v>290</v>
      </c>
      <c r="C63" s="3"/>
      <c r="D63" s="4" t="s">
        <v>291</v>
      </c>
      <c r="E63" s="4" t="s">
        <v>291</v>
      </c>
      <c r="F63" s="3"/>
      <c r="G63" s="4" t="s">
        <v>292</v>
      </c>
      <c r="H63" s="3">
        <v>4</v>
      </c>
      <c r="I63" s="3">
        <v>5</v>
      </c>
      <c r="J63" s="3">
        <f>IF(W63="כן","",H63*I63)</f>
        <v>20</v>
      </c>
      <c r="K63" s="3" t="str">
        <f>IF(W63="כן","",IF(J63="","",IF(J63&gt;=15,"קריטי",IF(J63&gt;=10,"גבוה",IF(J63&gt;=5,"בינוני","נמוך")))))</f>
        <v>קריטי</v>
      </c>
      <c r="L63" s="4" t="s">
        <v>87</v>
      </c>
      <c r="M63" s="4" t="s">
        <v>293</v>
      </c>
      <c r="N63" s="3">
        <v>3</v>
      </c>
      <c r="O63" s="3">
        <v>4</v>
      </c>
      <c r="P63" s="3">
        <f t="shared" si="4"/>
        <v>12</v>
      </c>
      <c r="Q63" s="3" t="str">
        <f t="shared" si="5"/>
        <v>גבוה</v>
      </c>
      <c r="R63" s="3">
        <f>IF(W63="כן","",IF(T63="הושלם",P63,IF(T63="בתהליך",ROUNDUP((J63+P63)/2,0),J63)))</f>
        <v>16</v>
      </c>
      <c r="S63" s="3" t="str">
        <f t="shared" si="6"/>
        <v>קריטי</v>
      </c>
      <c r="T63" s="3" t="s">
        <v>42</v>
      </c>
      <c r="U63" s="3" t="s">
        <v>30</v>
      </c>
      <c r="V63" s="4" t="str">
        <f t="shared" si="7"/>
        <v>הפחתת סיכון - הוספת בקרות מונעות</v>
      </c>
      <c r="W63" s="3" t="s">
        <v>31</v>
      </c>
    </row>
    <row r="64" spans="1:23" ht="22.35" customHeight="1">
      <c r="A64" s="3" t="s">
        <v>294</v>
      </c>
      <c r="B64" s="3" t="s">
        <v>290</v>
      </c>
      <c r="C64" s="3"/>
      <c r="D64" s="4" t="s">
        <v>295</v>
      </c>
      <c r="E64" s="4" t="s">
        <v>295</v>
      </c>
      <c r="F64" s="3"/>
      <c r="G64" s="4" t="s">
        <v>296</v>
      </c>
      <c r="H64" s="3">
        <v>4</v>
      </c>
      <c r="I64" s="3">
        <v>5</v>
      </c>
      <c r="J64" s="3">
        <f>IF(W64="כן","",H64*I64)</f>
        <v>20</v>
      </c>
      <c r="K64" s="3" t="str">
        <f>IF(W64="כן","",IF(J64="","",IF(J64&gt;=15,"קריטי",IF(J64&gt;=10,"גבוה",IF(J64&gt;=5,"בינוני","נמוך")))))</f>
        <v>קריטי</v>
      </c>
      <c r="L64" s="4" t="s">
        <v>82</v>
      </c>
      <c r="M64" s="4" t="s">
        <v>297</v>
      </c>
      <c r="N64" s="3">
        <v>2</v>
      </c>
      <c r="O64" s="3">
        <v>4</v>
      </c>
      <c r="P64" s="3">
        <f t="shared" si="4"/>
        <v>8</v>
      </c>
      <c r="Q64" s="3" t="str">
        <f t="shared" si="5"/>
        <v>בינוני</v>
      </c>
      <c r="R64" s="3">
        <f>IF(W64="כן","",IF(T64="הושלם",P64,IF(T64="בתהליך",ROUNDUP((J64+P64)/2,0),J64)))</f>
        <v>20</v>
      </c>
      <c r="S64" s="3" t="str">
        <f t="shared" si="6"/>
        <v>קריטי</v>
      </c>
      <c r="T64" s="3" t="s">
        <v>89</v>
      </c>
      <c r="U64" s="3" t="s">
        <v>30</v>
      </c>
      <c r="V64" s="4" t="str">
        <f t="shared" si="7"/>
        <v>הפחתת סיכון - הוספת בקרות מונעות</v>
      </c>
      <c r="W64" s="3" t="s">
        <v>31</v>
      </c>
    </row>
    <row r="65" spans="1:23" ht="22.35" customHeight="1">
      <c r="A65" s="3" t="s">
        <v>298</v>
      </c>
      <c r="B65" s="3" t="s">
        <v>290</v>
      </c>
      <c r="C65" s="3"/>
      <c r="D65" s="4" t="s">
        <v>299</v>
      </c>
      <c r="E65" s="4" t="s">
        <v>299</v>
      </c>
      <c r="F65" s="3"/>
      <c r="G65" s="4" t="s">
        <v>300</v>
      </c>
      <c r="H65" s="3">
        <v>3</v>
      </c>
      <c r="I65" s="3">
        <v>2</v>
      </c>
      <c r="J65" s="3">
        <f>IF(W65="כן","",H65*I65)</f>
        <v>6</v>
      </c>
      <c r="K65" s="3" t="str">
        <f>IF(W65="כן","",IF(J65="","",IF(J65&gt;=15,"קריטי",IF(J65&gt;=10,"גבוה",IF(J65&gt;=5,"בינוני","נמוך")))))</f>
        <v>בינוני</v>
      </c>
      <c r="L65" s="4" t="s">
        <v>27</v>
      </c>
      <c r="M65" s="4" t="s">
        <v>301</v>
      </c>
      <c r="N65" s="3">
        <v>1</v>
      </c>
      <c r="O65" s="3">
        <v>1</v>
      </c>
      <c r="P65" s="3">
        <f t="shared" si="4"/>
        <v>1</v>
      </c>
      <c r="Q65" s="3" t="str">
        <f t="shared" si="5"/>
        <v>נמוך</v>
      </c>
      <c r="R65" s="3">
        <f>IF(W65="כן","",IF(T65="הושלם",P65,IF(T65="בתהליך",ROUNDUP((J65+P65)/2,0),J65)))</f>
        <v>6</v>
      </c>
      <c r="S65" s="3" t="str">
        <f t="shared" si="6"/>
        <v>בינוני</v>
      </c>
      <c r="T65" s="3" t="s">
        <v>89</v>
      </c>
      <c r="U65" s="3" t="s">
        <v>30</v>
      </c>
      <c r="V65" s="4" t="str">
        <f t="shared" si="7"/>
        <v>קבלת הסיכון</v>
      </c>
      <c r="W65" s="3" t="s">
        <v>31</v>
      </c>
    </row>
    <row r="66" spans="1:23" ht="22.35" customHeight="1">
      <c r="A66" s="3" t="s">
        <v>302</v>
      </c>
      <c r="B66" s="3" t="s">
        <v>303</v>
      </c>
      <c r="C66" s="3"/>
      <c r="D66" s="4" t="s">
        <v>304</v>
      </c>
      <c r="E66" s="4" t="s">
        <v>304</v>
      </c>
      <c r="F66" s="3"/>
      <c r="G66" s="4" t="s">
        <v>305</v>
      </c>
      <c r="H66" s="3">
        <v>3</v>
      </c>
      <c r="I66" s="3">
        <v>4</v>
      </c>
      <c r="J66" s="3">
        <f>IF(W66="כן","",H66*I66)</f>
        <v>12</v>
      </c>
      <c r="K66" s="3" t="str">
        <f>IF(W66="כן","",IF(J66="","",IF(J66&gt;=15,"קריטי",IF(J66&gt;=10,"גבוה",IF(J66&gt;=5,"בינוני","נמוך")))))</f>
        <v>גבוה</v>
      </c>
      <c r="L66" s="4" t="s">
        <v>40</v>
      </c>
      <c r="M66" s="4" t="s">
        <v>306</v>
      </c>
      <c r="N66" s="3">
        <v>2</v>
      </c>
      <c r="O66" s="3">
        <v>4</v>
      </c>
      <c r="P66" s="3">
        <f t="shared" ref="P66:P97" si="8">IF(W66="כן","",N66*O66)</f>
        <v>8</v>
      </c>
      <c r="Q66" s="3" t="str">
        <f t="shared" ref="Q66:Q97" si="9">IF(W66="כן","",IF(P66="","",IF(P66&gt;=15,"קריטי",IF(P66&gt;=10,"גבוה",IF(P66&gt;=5,"בינוני","נמוך")))))</f>
        <v>בינוני</v>
      </c>
      <c r="R66" s="3">
        <f>IF(W66="כן","",IF(T66="הושלם",P66,IF(T66="בתהליך",ROUNDUP((J66+P66)/2,0),J66)))</f>
        <v>8</v>
      </c>
      <c r="S66" s="3" t="str">
        <f t="shared" ref="S66:S97" si="10">IF(W66="כן","",IF(R66="","",IF(R66&gt;=15,"קריטי",IF(R66&gt;=10,"גבוה",IF(R66&gt;=5,"בינוני","נמוך")))))</f>
        <v>בינוני</v>
      </c>
      <c r="T66" s="3" t="s">
        <v>29</v>
      </c>
      <c r="U66" s="3" t="s">
        <v>30</v>
      </c>
      <c r="V66" s="4" t="str">
        <f t="shared" ref="V66:V97" si="11">IF(W66="כן","לא רלוונטי",IF(T66="הושלם","קבלת הסיכון",IF(OR(S66="קריטי",S66="גבוה"),"הפחתת סיכון - הוספת בקרות מונעות","קבלת הסיכון")))</f>
        <v>קבלת הסיכון</v>
      </c>
      <c r="W66" s="3" t="s">
        <v>31</v>
      </c>
    </row>
    <row r="67" spans="1:23" ht="22.35" customHeight="1">
      <c r="A67" s="3" t="s">
        <v>307</v>
      </c>
      <c r="B67" s="3" t="s">
        <v>303</v>
      </c>
      <c r="C67" s="3"/>
      <c r="D67" s="4" t="s">
        <v>308</v>
      </c>
      <c r="E67" s="4" t="s">
        <v>308</v>
      </c>
      <c r="F67" s="3"/>
      <c r="G67" s="4" t="s">
        <v>309</v>
      </c>
      <c r="H67" s="3">
        <v>3</v>
      </c>
      <c r="I67" s="3">
        <v>5</v>
      </c>
      <c r="J67" s="3">
        <f>IF(W67="כן","",H67*I67)</f>
        <v>15</v>
      </c>
      <c r="K67" s="3" t="str">
        <f>IF(W67="כן","",IF(J67="","",IF(J67&gt;=15,"קריטי",IF(J67&gt;=10,"גבוה",IF(J67&gt;=5,"בינוני","נמוך")))))</f>
        <v>קריטי</v>
      </c>
      <c r="L67" s="4" t="s">
        <v>87</v>
      </c>
      <c r="M67" s="4" t="s">
        <v>310</v>
      </c>
      <c r="N67" s="3">
        <v>2</v>
      </c>
      <c r="O67" s="3">
        <v>4</v>
      </c>
      <c r="P67" s="3">
        <f t="shared" si="8"/>
        <v>8</v>
      </c>
      <c r="Q67" s="3" t="str">
        <f t="shared" si="9"/>
        <v>בינוני</v>
      </c>
      <c r="R67" s="3">
        <f>IF(W67="כן","",IF(T67="הושלם",P67,IF(T67="בתהליך",ROUNDUP((J67+P67)/2,0),J67)))</f>
        <v>12</v>
      </c>
      <c r="S67" s="3" t="str">
        <f t="shared" si="10"/>
        <v>גבוה</v>
      </c>
      <c r="T67" s="3" t="s">
        <v>42</v>
      </c>
      <c r="U67" s="3" t="s">
        <v>30</v>
      </c>
      <c r="V67" s="4" t="str">
        <f t="shared" si="11"/>
        <v>הפחתת סיכון - הוספת בקרות מונעות</v>
      </c>
      <c r="W67" s="3" t="s">
        <v>31</v>
      </c>
    </row>
    <row r="68" spans="1:23" ht="22.35" customHeight="1">
      <c r="A68" s="3" t="s">
        <v>311</v>
      </c>
      <c r="B68" s="3" t="s">
        <v>303</v>
      </c>
      <c r="C68" s="3"/>
      <c r="D68" s="4" t="s">
        <v>312</v>
      </c>
      <c r="E68" s="4" t="s">
        <v>312</v>
      </c>
      <c r="F68" s="3"/>
      <c r="G68" s="4" t="s">
        <v>313</v>
      </c>
      <c r="H68" s="3">
        <v>5</v>
      </c>
      <c r="I68" s="3">
        <v>5</v>
      </c>
      <c r="J68" s="3">
        <f>IF(W68="כן","",H68*I68)</f>
        <v>25</v>
      </c>
      <c r="K68" s="3" t="str">
        <f>IF(W68="כן","",IF(J68="","",IF(J68&gt;=15,"קריטי",IF(J68&gt;=10,"גבוה",IF(J68&gt;=5,"בינוני","נמוך")))))</f>
        <v>קריטי</v>
      </c>
      <c r="L68" s="4" t="s">
        <v>27</v>
      </c>
      <c r="M68" s="4" t="s">
        <v>314</v>
      </c>
      <c r="N68" s="3">
        <v>4</v>
      </c>
      <c r="O68" s="3">
        <v>5</v>
      </c>
      <c r="P68" s="3">
        <f t="shared" si="8"/>
        <v>20</v>
      </c>
      <c r="Q68" s="3" t="str">
        <f t="shared" si="9"/>
        <v>קריטי</v>
      </c>
      <c r="R68" s="3">
        <f>IF(W68="כן","",IF(T68="הושלם",P68,IF(T68="בתהליך",ROUNDUP((J68+P68)/2,0),J68)))</f>
        <v>25</v>
      </c>
      <c r="S68" s="3" t="str">
        <f t="shared" si="10"/>
        <v>קריטי</v>
      </c>
      <c r="T68" s="3" t="s">
        <v>89</v>
      </c>
      <c r="U68" s="3" t="s">
        <v>30</v>
      </c>
      <c r="V68" s="4" t="str">
        <f t="shared" si="11"/>
        <v>הפחתת סיכון - הוספת בקרות מונעות</v>
      </c>
      <c r="W68" s="3" t="s">
        <v>31</v>
      </c>
    </row>
    <row r="69" spans="1:23" ht="22.35" customHeight="1">
      <c r="A69" s="3" t="s">
        <v>315</v>
      </c>
      <c r="B69" s="3" t="s">
        <v>303</v>
      </c>
      <c r="C69" s="3"/>
      <c r="D69" s="4" t="s">
        <v>316</v>
      </c>
      <c r="E69" s="4" t="s">
        <v>316</v>
      </c>
      <c r="F69" s="3"/>
      <c r="G69" s="4" t="s">
        <v>317</v>
      </c>
      <c r="H69" s="3">
        <v>5</v>
      </c>
      <c r="I69" s="3">
        <v>3</v>
      </c>
      <c r="J69" s="3">
        <f>IF(W69="כן","",H69*I69)</f>
        <v>15</v>
      </c>
      <c r="K69" s="3" t="str">
        <f>IF(W69="כן","",IF(J69="","",IF(J69&gt;=15,"קריטי",IF(J69&gt;=10,"גבוה",IF(J69&gt;=5,"בינוני","נמוך")))))</f>
        <v>קריטי</v>
      </c>
      <c r="L69" s="4" t="s">
        <v>40</v>
      </c>
      <c r="M69" s="4" t="s">
        <v>318</v>
      </c>
      <c r="N69" s="3">
        <v>4</v>
      </c>
      <c r="O69" s="3">
        <v>1</v>
      </c>
      <c r="P69" s="3">
        <f t="shared" si="8"/>
        <v>4</v>
      </c>
      <c r="Q69" s="3" t="str">
        <f t="shared" si="9"/>
        <v>נמוך</v>
      </c>
      <c r="R69" s="3">
        <f>IF(W69="כן","",IF(T69="הושלם",P69,IF(T69="בתהליך",ROUNDUP((J69+P69)/2,0),J69)))</f>
        <v>15</v>
      </c>
      <c r="S69" s="3" t="str">
        <f t="shared" si="10"/>
        <v>קריטי</v>
      </c>
      <c r="T69" s="3" t="s">
        <v>89</v>
      </c>
      <c r="U69" s="3" t="s">
        <v>30</v>
      </c>
      <c r="V69" s="4" t="str">
        <f t="shared" si="11"/>
        <v>הפחתת סיכון - הוספת בקרות מונעות</v>
      </c>
      <c r="W69" s="3" t="s">
        <v>31</v>
      </c>
    </row>
    <row r="70" spans="1:23" ht="22.35" customHeight="1">
      <c r="A70" s="3" t="s">
        <v>319</v>
      </c>
      <c r="B70" s="3" t="s">
        <v>303</v>
      </c>
      <c r="C70" s="3"/>
      <c r="D70" s="4" t="s">
        <v>320</v>
      </c>
      <c r="E70" s="4" t="s">
        <v>320</v>
      </c>
      <c r="F70" s="3"/>
      <c r="G70" s="4" t="s">
        <v>321</v>
      </c>
      <c r="H70" s="3">
        <v>3</v>
      </c>
      <c r="I70" s="3">
        <v>2</v>
      </c>
      <c r="J70" s="3">
        <f>IF(W70="כן","",H70*I70)</f>
        <v>6</v>
      </c>
      <c r="K70" s="3" t="str">
        <f>IF(W70="כן","",IF(J70="","",IF(J70&gt;=15,"קריטי",IF(J70&gt;=10,"גבוה",IF(J70&gt;=5,"בינוני","נמוך")))))</f>
        <v>בינוני</v>
      </c>
      <c r="L70" s="4" t="s">
        <v>82</v>
      </c>
      <c r="M70" s="4" t="s">
        <v>322</v>
      </c>
      <c r="N70" s="3">
        <v>1</v>
      </c>
      <c r="O70" s="3">
        <v>2</v>
      </c>
      <c r="P70" s="3">
        <f t="shared" si="8"/>
        <v>2</v>
      </c>
      <c r="Q70" s="3" t="str">
        <f t="shared" si="9"/>
        <v>נמוך</v>
      </c>
      <c r="R70" s="3">
        <f>IF(W70="כן","",IF(T70="הושלם",P70,IF(T70="בתהליך",ROUNDUP((J70+P70)/2,0),J70)))</f>
        <v>4</v>
      </c>
      <c r="S70" s="3" t="str">
        <f t="shared" si="10"/>
        <v>נמוך</v>
      </c>
      <c r="T70" s="3" t="s">
        <v>42</v>
      </c>
      <c r="U70" s="3" t="s">
        <v>30</v>
      </c>
      <c r="V70" s="4" t="str">
        <f t="shared" si="11"/>
        <v>קבלת הסיכון</v>
      </c>
      <c r="W70" s="3" t="s">
        <v>31</v>
      </c>
    </row>
    <row r="71" spans="1:23" ht="22.35" customHeight="1">
      <c r="A71" s="3" t="s">
        <v>323</v>
      </c>
      <c r="B71" s="3" t="s">
        <v>324</v>
      </c>
      <c r="C71" s="3"/>
      <c r="D71" s="4" t="s">
        <v>325</v>
      </c>
      <c r="E71" s="4" t="s">
        <v>325</v>
      </c>
      <c r="F71" s="3"/>
      <c r="G71" s="4" t="s">
        <v>326</v>
      </c>
      <c r="H71" s="3">
        <v>5</v>
      </c>
      <c r="I71" s="3">
        <v>5</v>
      </c>
      <c r="J71" s="3">
        <f>IF(W71="כן","",H71*I71)</f>
        <v>25</v>
      </c>
      <c r="K71" s="3" t="str">
        <f>IF(W71="כן","",IF(J71="","",IF(J71&gt;=15,"קריטי",IF(J71&gt;=10,"גבוה",IF(J71&gt;=5,"בינוני","נמוך")))))</f>
        <v>קריטי</v>
      </c>
      <c r="L71" s="4" t="s">
        <v>51</v>
      </c>
      <c r="M71" s="4" t="s">
        <v>327</v>
      </c>
      <c r="N71" s="3">
        <v>4</v>
      </c>
      <c r="O71" s="3">
        <v>3</v>
      </c>
      <c r="P71" s="3">
        <f t="shared" si="8"/>
        <v>12</v>
      </c>
      <c r="Q71" s="3" t="str">
        <f t="shared" si="9"/>
        <v>גבוה</v>
      </c>
      <c r="R71" s="3">
        <f>IF(W71="כן","",IF(T71="הושלם",P71,IF(T71="בתהליך",ROUNDUP((J71+P71)/2,0),J71)))</f>
        <v>19</v>
      </c>
      <c r="S71" s="3" t="str">
        <f t="shared" si="10"/>
        <v>קריטי</v>
      </c>
      <c r="T71" s="3" t="s">
        <v>42</v>
      </c>
      <c r="U71" s="3" t="s">
        <v>30</v>
      </c>
      <c r="V71" s="4" t="str">
        <f t="shared" si="11"/>
        <v>הפחתת סיכון - הוספת בקרות מונעות</v>
      </c>
      <c r="W71" s="3" t="s">
        <v>31</v>
      </c>
    </row>
    <row r="72" spans="1:23" ht="22.35" customHeight="1">
      <c r="A72" s="3" t="s">
        <v>328</v>
      </c>
      <c r="B72" s="3" t="s">
        <v>324</v>
      </c>
      <c r="C72" s="3"/>
      <c r="D72" s="4" t="s">
        <v>329</v>
      </c>
      <c r="E72" s="4" t="s">
        <v>329</v>
      </c>
      <c r="F72" s="3"/>
      <c r="G72" s="4" t="s">
        <v>330</v>
      </c>
      <c r="H72" s="3">
        <v>3</v>
      </c>
      <c r="I72" s="3">
        <v>4</v>
      </c>
      <c r="J72" s="3">
        <f>IF(W72="כן","",H72*I72)</f>
        <v>12</v>
      </c>
      <c r="K72" s="3" t="str">
        <f>IF(W72="כן","",IF(J72="","",IF(J72&gt;=15,"קריטי",IF(J72&gt;=10,"גבוה",IF(J72&gt;=5,"בינוני","נמוך")))))</f>
        <v>גבוה</v>
      </c>
      <c r="L72" s="4" t="s">
        <v>82</v>
      </c>
      <c r="M72" s="4" t="s">
        <v>331</v>
      </c>
      <c r="N72" s="3">
        <v>1</v>
      </c>
      <c r="O72" s="3">
        <v>2</v>
      </c>
      <c r="P72" s="3">
        <f t="shared" si="8"/>
        <v>2</v>
      </c>
      <c r="Q72" s="3" t="str">
        <f t="shared" si="9"/>
        <v>נמוך</v>
      </c>
      <c r="R72" s="3">
        <f>IF(W72="כן","",IF(T72="הושלם",P72,IF(T72="בתהליך",ROUNDUP((J72+P72)/2,0),J72)))</f>
        <v>2</v>
      </c>
      <c r="S72" s="3" t="str">
        <f t="shared" si="10"/>
        <v>נמוך</v>
      </c>
      <c r="T72" s="3" t="s">
        <v>29</v>
      </c>
      <c r="U72" s="3" t="s">
        <v>30</v>
      </c>
      <c r="V72" s="4" t="str">
        <f t="shared" si="11"/>
        <v>קבלת הסיכון</v>
      </c>
      <c r="W72" s="3" t="s">
        <v>31</v>
      </c>
    </row>
    <row r="73" spans="1:23" ht="22.35" customHeight="1">
      <c r="A73" s="3" t="s">
        <v>332</v>
      </c>
      <c r="B73" s="3" t="s">
        <v>324</v>
      </c>
      <c r="C73" s="3"/>
      <c r="D73" s="4" t="s">
        <v>333</v>
      </c>
      <c r="E73" s="4" t="s">
        <v>333</v>
      </c>
      <c r="F73" s="3"/>
      <c r="G73" s="4" t="s">
        <v>334</v>
      </c>
      <c r="H73" s="3">
        <v>2</v>
      </c>
      <c r="I73" s="3">
        <v>4</v>
      </c>
      <c r="J73" s="3">
        <f>IF(W73="כן","",H73*I73)</f>
        <v>8</v>
      </c>
      <c r="K73" s="3" t="str">
        <f>IF(W73="כן","",IF(J73="","",IF(J73&gt;=15,"קריטי",IF(J73&gt;=10,"גבוה",IF(J73&gt;=5,"בינוני","נמוך")))))</f>
        <v>בינוני</v>
      </c>
      <c r="L73" s="4" t="s">
        <v>27</v>
      </c>
      <c r="M73" s="4" t="s">
        <v>335</v>
      </c>
      <c r="N73" s="3">
        <v>1</v>
      </c>
      <c r="O73" s="3">
        <v>3</v>
      </c>
      <c r="P73" s="3">
        <f t="shared" si="8"/>
        <v>3</v>
      </c>
      <c r="Q73" s="3" t="str">
        <f t="shared" si="9"/>
        <v>נמוך</v>
      </c>
      <c r="R73" s="3">
        <f>IF(W73="כן","",IF(T73="הושלם",P73,IF(T73="בתהליך",ROUNDUP((J73+P73)/2,0),J73)))</f>
        <v>6</v>
      </c>
      <c r="S73" s="3" t="str">
        <f t="shared" si="10"/>
        <v>בינוני</v>
      </c>
      <c r="T73" s="3" t="s">
        <v>42</v>
      </c>
      <c r="U73" s="3" t="s">
        <v>30</v>
      </c>
      <c r="V73" s="4" t="str">
        <f t="shared" si="11"/>
        <v>קבלת הסיכון</v>
      </c>
      <c r="W73" s="3" t="s">
        <v>31</v>
      </c>
    </row>
  </sheetData>
  <conditionalFormatting sqref="K2:K73">
    <cfRule type="expression" dxfId="16" priority="2">
      <formula>K2="קריטי"</formula>
    </cfRule>
    <cfRule type="expression" dxfId="15" priority="3">
      <formula>K2="גבוה"</formula>
    </cfRule>
    <cfRule type="expression" dxfId="14" priority="4">
      <formula>K2="בינוני"</formula>
    </cfRule>
    <cfRule type="expression" dxfId="13" priority="5">
      <formula>K2="נמוך"</formula>
    </cfRule>
  </conditionalFormatting>
  <conditionalFormatting sqref="Q2:Q73">
    <cfRule type="expression" dxfId="12" priority="6">
      <formula>Q2="קריטי"</formula>
    </cfRule>
    <cfRule type="expression" dxfId="11" priority="7">
      <formula>Q2="גבוה"</formula>
    </cfRule>
    <cfRule type="expression" dxfId="10" priority="8">
      <formula>Q2="בינוני"</formula>
    </cfRule>
    <cfRule type="expression" dxfId="9" priority="9">
      <formula>Q2="נמוך"</formula>
    </cfRule>
  </conditionalFormatting>
  <conditionalFormatting sqref="S2:S73">
    <cfRule type="expression" dxfId="8" priority="10">
      <formula>S2="קריטי"</formula>
    </cfRule>
    <cfRule type="expression" dxfId="7" priority="11">
      <formula>S2="גבוה"</formula>
    </cfRule>
    <cfRule type="expression" dxfId="6" priority="12">
      <formula>S2="בינוני"</formula>
    </cfRule>
    <cfRule type="expression" dxfId="5" priority="13">
      <formula>S2="נמוך"</formula>
    </cfRule>
  </conditionalFormatting>
  <conditionalFormatting sqref="T2:T73">
    <cfRule type="expression" dxfId="4" priority="14">
      <formula>T2="הושלם"</formula>
    </cfRule>
    <cfRule type="expression" dxfId="3" priority="15">
      <formula>T2="בתהליך"</formula>
    </cfRule>
    <cfRule type="expression" dxfId="2" priority="16">
      <formula>T2="לא התחיל"</formula>
    </cfRule>
  </conditionalFormatting>
  <conditionalFormatting sqref="W2:W73">
    <cfRule type="expression" dxfId="1" priority="18">
      <formula>W2="כן"</formula>
    </cfRule>
  </conditionalFormatting>
  <conditionalFormatting sqref="A2:W73">
    <cfRule type="expression" dxfId="0" priority="19">
      <formula>$W2="כן"</formula>
    </cfRule>
  </conditionalFormatting>
  <dataValidations count="2">
    <dataValidation type="list" allowBlank="1" sqref="T2:T73">
      <formula1>"הושלם,בתהליך,לא התחיל"</formula1>
      <formula2>0</formula2>
    </dataValidation>
    <dataValidation type="list" error="בחר כן/לא" sqref="W2:W73">
      <formula1>"כן,לא"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rightToLeft="1" zoomScaleNormal="100" workbookViewId="0"/>
  </sheetViews>
  <sheetFormatPr defaultColWidth="8.7109375" defaultRowHeight="15"/>
  <cols>
    <col min="1" max="1" width="10" style="1" customWidth="1"/>
    <col min="2" max="3" width="12" style="1" customWidth="1"/>
    <col min="4" max="4" width="3" style="1" customWidth="1"/>
    <col min="5" max="5" width="12" style="1" customWidth="1"/>
    <col min="6" max="6" width="8" style="1" customWidth="1"/>
    <col min="7" max="7" width="3" style="1" customWidth="1"/>
    <col min="8" max="8" width="18" style="1" customWidth="1"/>
    <col min="9" max="9" width="11" style="1" customWidth="1"/>
    <col min="10" max="10" width="3" style="1" customWidth="1"/>
    <col min="11" max="11" width="10" style="1" customWidth="1"/>
    <col min="12" max="12" width="12" style="1" customWidth="1"/>
    <col min="13" max="13" width="3" style="1" customWidth="1"/>
    <col min="14" max="14" width="26" style="1" customWidth="1"/>
    <col min="15" max="15" width="8" style="1" customWidth="1"/>
    <col min="16" max="16" width="3" style="1" customWidth="1"/>
    <col min="17" max="17" width="10" style="1" customWidth="1"/>
    <col min="18" max="20" width="8" style="1" customWidth="1"/>
    <col min="21" max="21" width="3" style="1" customWidth="1"/>
    <col min="22" max="22" width="12" style="1" customWidth="1"/>
    <col min="23" max="23" width="8" style="1" customWidth="1"/>
  </cols>
  <sheetData>
    <row r="1" spans="1:23" ht="15" customHeight="1">
      <c r="A1" s="5" t="s">
        <v>10</v>
      </c>
      <c r="B1" s="5" t="s">
        <v>336</v>
      </c>
      <c r="C1" s="5" t="s">
        <v>15</v>
      </c>
      <c r="E1" s="5" t="s">
        <v>19</v>
      </c>
      <c r="F1" s="5" t="s">
        <v>337</v>
      </c>
      <c r="H1" s="5" t="s">
        <v>1</v>
      </c>
      <c r="I1" s="5" t="s">
        <v>338</v>
      </c>
      <c r="K1" s="5" t="s">
        <v>339</v>
      </c>
      <c r="L1" s="5" t="s">
        <v>340</v>
      </c>
      <c r="N1" s="6" t="s">
        <v>341</v>
      </c>
      <c r="O1" s="6" t="s">
        <v>337</v>
      </c>
      <c r="Q1" s="6" t="s">
        <v>10</v>
      </c>
      <c r="R1" s="6" t="s">
        <v>342</v>
      </c>
      <c r="S1" s="6" t="s">
        <v>343</v>
      </c>
      <c r="T1" s="6" t="s">
        <v>344</v>
      </c>
      <c r="V1" s="6" t="s">
        <v>345</v>
      </c>
      <c r="W1" s="6" t="s">
        <v>337</v>
      </c>
    </row>
    <row r="2" spans="1:23" ht="15" customHeight="1">
      <c r="A2" s="7" t="s">
        <v>346</v>
      </c>
      <c r="B2" s="1">
        <f>COUNTIFS('הערכת סיכונים'!$K$2:$K$73,A2,'הערכת סיכונים'!$W$2:$W$73,"לא")</f>
        <v>27</v>
      </c>
      <c r="C2" s="1">
        <f>COUNTIFS('הערכת סיכונים'!$Q$2:$Q$73,A2,'הערכת סיכונים'!$W$2:$W$73,"לא")</f>
        <v>6</v>
      </c>
      <c r="E2" s="7" t="s">
        <v>29</v>
      </c>
      <c r="F2" s="1">
        <f>COUNTIFS('הערכת סיכונים'!$T$2:$T$73,E2,'הערכת סיכונים'!$W$2:$W$73,"לא")</f>
        <v>23</v>
      </c>
      <c r="H2" s="7" t="s">
        <v>24</v>
      </c>
      <c r="I2" s="1">
        <f>IFERROR(ROUND(AVERAGEIFS('הערכת סיכונים'!$J$2:$J$73,'הערכת סיכונים'!$B$2:$B$73,H2,'הערכת סיכונים'!$W$2:$W$73,"לא"),1),0)</f>
        <v>8.6</v>
      </c>
      <c r="K2" s="7" t="s">
        <v>346</v>
      </c>
      <c r="L2" s="1">
        <f>COUNTIFS('הערכת סיכונים'!$S$2:$S$73,K2,'הערכת סיכונים'!$W$2:$W$73,"לא")</f>
        <v>17</v>
      </c>
      <c r="N2" s="7" t="s">
        <v>347</v>
      </c>
      <c r="O2" s="1">
        <f>COUNTIFS('הערכת סיכונים'!$V$2:$V$73,N2,'הערכת סיכונים'!$W$2:$W$73,"לא")</f>
        <v>28</v>
      </c>
      <c r="Q2" s="7" t="s">
        <v>346</v>
      </c>
      <c r="R2" s="1">
        <f>COUNTIFS('הערכת סיכונים'!$K$2:$K$73,Q2,'הערכת סיכונים'!$W$2:$W$73,"לא")</f>
        <v>27</v>
      </c>
      <c r="S2" s="1">
        <f>COUNTIFS('הערכת סיכונים'!$Q$2:$Q$73,Q2,'הערכת סיכונים'!$W$2:$W$73,"לא")</f>
        <v>6</v>
      </c>
      <c r="T2" s="1">
        <f>COUNTIFS('הערכת סיכונים'!$S$2:$S$73,Q2,'הערכת סיכונים'!$W$2:$W$73,"לא")</f>
        <v>17</v>
      </c>
      <c r="V2" s="7" t="s">
        <v>348</v>
      </c>
      <c r="W2" s="1">
        <f>COUNTIF('הערכת סיכונים'!$W$2:$W$73,"לא")</f>
        <v>72</v>
      </c>
    </row>
    <row r="3" spans="1:23" ht="15" customHeight="1">
      <c r="A3" s="7" t="s">
        <v>349</v>
      </c>
      <c r="B3" s="1">
        <f>COUNTIFS('הערכת סיכונים'!$K$2:$K$73,A3,'הערכת סיכונים'!$W$2:$W$73,"לא")</f>
        <v>19</v>
      </c>
      <c r="C3" s="1">
        <f>COUNTIFS('הערכת סיכונים'!$Q$2:$Q$73,A3,'הערכת סיכונים'!$W$2:$W$73,"לא")</f>
        <v>7</v>
      </c>
      <c r="E3" s="7" t="s">
        <v>42</v>
      </c>
      <c r="F3" s="1">
        <f>COUNTIFS('הערכת סיכונים'!$T$2:$T$73,E3,'הערכת סיכונים'!$W$2:$W$73,"לא")</f>
        <v>24</v>
      </c>
      <c r="H3" s="7" t="s">
        <v>75</v>
      </c>
      <c r="I3" s="1">
        <f>IFERROR(ROUND(AVERAGEIFS('הערכת סיכונים'!$J$2:$J$73,'הערכת סיכונים'!$B$2:$B$73,H3,'הערכת סיכונים'!$W$2:$W$73,"לא"),1),0)</f>
        <v>13.6</v>
      </c>
      <c r="K3" s="7" t="s">
        <v>349</v>
      </c>
      <c r="L3" s="1">
        <f>COUNTIFS('הערכת סיכונים'!$S$2:$S$73,K3,'הערכת סיכונים'!$W$2:$W$73,"לא")</f>
        <v>17</v>
      </c>
      <c r="N3" s="7" t="s">
        <v>350</v>
      </c>
      <c r="O3" s="1">
        <f>COUNTIFS('הערכת סיכונים'!$V$2:$V$73,N3,'הערכת סיכונים'!$W$2:$W$73,"לא")</f>
        <v>0</v>
      </c>
      <c r="Q3" s="7" t="s">
        <v>349</v>
      </c>
      <c r="R3" s="1">
        <f>COUNTIFS('הערכת סיכונים'!$K$2:$K$73,Q3,'הערכת סיכונים'!$W$2:$W$73,"לא")</f>
        <v>19</v>
      </c>
      <c r="S3" s="1">
        <f>COUNTIFS('הערכת סיכונים'!$Q$2:$Q$73,Q3,'הערכת סיכונים'!$W$2:$W$73,"לא")</f>
        <v>7</v>
      </c>
      <c r="T3" s="1">
        <f>COUNTIFS('הערכת סיכונים'!$S$2:$S$73,Q3,'הערכת סיכונים'!$W$2:$W$73,"לא")</f>
        <v>17</v>
      </c>
      <c r="V3" s="7" t="s">
        <v>351</v>
      </c>
      <c r="W3" s="1">
        <f>COUNTIF('הערכת סיכונים'!$W$2:$W$73,"כן")</f>
        <v>0</v>
      </c>
    </row>
    <row r="4" spans="1:23" ht="15" customHeight="1">
      <c r="A4" s="7" t="s">
        <v>352</v>
      </c>
      <c r="B4" s="1">
        <f>COUNTIFS('הערכת סיכונים'!$K$2:$K$73,A4,'הערכת סיכונים'!$W$2:$W$73,"לא")</f>
        <v>19</v>
      </c>
      <c r="C4" s="1">
        <f>COUNTIFS('הערכת סיכונים'!$Q$2:$Q$73,A4,'הערכת סיכונים'!$W$2:$W$73,"לא")</f>
        <v>19</v>
      </c>
      <c r="E4" s="7" t="s">
        <v>89</v>
      </c>
      <c r="F4" s="1">
        <f>COUNTIFS('הערכת סיכונים'!$T$2:$T$73,E4,'הערכת סיכונים'!$W$2:$W$73,"לא")</f>
        <v>25</v>
      </c>
      <c r="H4" s="7" t="s">
        <v>107</v>
      </c>
      <c r="I4" s="1">
        <f>IFERROR(ROUND(AVERAGEIFS('הערכת סיכונים'!$J$2:$J$73,'הערכת סיכונים'!$B$2:$B$73,H4,'הערכת סיכונים'!$W$2:$W$73,"לא"),1),0)</f>
        <v>10.5</v>
      </c>
      <c r="K4" s="7" t="s">
        <v>352</v>
      </c>
      <c r="L4" s="1">
        <f>COUNTIFS('הערכת סיכונים'!$S$2:$S$73,K4,'הערכת סיכונים'!$W$2:$W$73,"לא")</f>
        <v>18</v>
      </c>
      <c r="N4" s="7" t="s">
        <v>353</v>
      </c>
      <c r="O4" s="1">
        <f>COUNTIFS('הערכת סיכונים'!$V$2:$V$73,N4,'הערכת סיכונים'!$W$2:$W$73,"לא")</f>
        <v>44</v>
      </c>
      <c r="Q4" s="7" t="s">
        <v>352</v>
      </c>
      <c r="R4" s="1">
        <f>COUNTIFS('הערכת סיכונים'!$K$2:$K$73,Q4,'הערכת סיכונים'!$W$2:$W$73,"לא")</f>
        <v>19</v>
      </c>
      <c r="S4" s="1">
        <f>COUNTIFS('הערכת סיכונים'!$Q$2:$Q$73,Q4,'הערכת סיכונים'!$W$2:$W$73,"לא")</f>
        <v>19</v>
      </c>
      <c r="T4" s="1">
        <f>COUNTIFS('הערכת סיכונים'!$S$2:$S$73,Q4,'הערכת סיכונים'!$W$2:$W$73,"לא")</f>
        <v>18</v>
      </c>
    </row>
    <row r="5" spans="1:23" ht="15" customHeight="1">
      <c r="A5" s="7" t="s">
        <v>354</v>
      </c>
      <c r="B5" s="1">
        <f>COUNTIFS('הערכת סיכונים'!$K$2:$K$73,A5,'הערכת סיכונים'!$W$2:$W$73,"לא")</f>
        <v>7</v>
      </c>
      <c r="C5" s="1">
        <f>COUNTIFS('הערכת סיכונים'!$Q$2:$Q$73,A5,'הערכת סיכונים'!$W$2:$W$73,"לא")</f>
        <v>40</v>
      </c>
      <c r="H5" s="7" t="s">
        <v>132</v>
      </c>
      <c r="I5" s="1">
        <f>IFERROR(ROUND(AVERAGEIFS('הערכת סיכונים'!$J$2:$J$73,'הערכת סיכונים'!$B$2:$B$73,H5,'הערכת סיכונים'!$W$2:$W$73,"לא"),1),0)</f>
        <v>15.4</v>
      </c>
      <c r="K5" s="7" t="s">
        <v>354</v>
      </c>
      <c r="L5" s="1">
        <f>COUNTIFS('הערכת סיכונים'!$S$2:$S$73,K5,'הערכת סיכונים'!$W$2:$W$73,"לא")</f>
        <v>20</v>
      </c>
      <c r="N5" s="7" t="s">
        <v>355</v>
      </c>
      <c r="O5" s="1">
        <f>COUNTIFS('הערכת סיכונים'!$V$2:$V$73,N5,'הערכת סיכונים'!$W$2:$W$73,"לא")</f>
        <v>0</v>
      </c>
      <c r="Q5" s="7" t="s">
        <v>354</v>
      </c>
      <c r="R5" s="1">
        <f>COUNTIFS('הערכת סיכונים'!$K$2:$K$73,Q5,'הערכת סיכונים'!$W$2:$W$73,"לא")</f>
        <v>7</v>
      </c>
      <c r="S5" s="1">
        <f>COUNTIFS('הערכת סיכונים'!$Q$2:$Q$73,Q5,'הערכת סיכונים'!$W$2:$W$73,"לא")</f>
        <v>40</v>
      </c>
      <c r="T5" s="1">
        <f>COUNTIFS('הערכת סיכונים'!$S$2:$S$73,Q5,'הערכת סיכונים'!$W$2:$W$73,"לא")</f>
        <v>20</v>
      </c>
    </row>
    <row r="6" spans="1:23" ht="15" customHeight="1">
      <c r="H6" s="7" t="s">
        <v>161</v>
      </c>
      <c r="I6" s="1">
        <f>IFERROR(ROUND(AVERAGEIFS('הערכת סיכונים'!$J$2:$J$73,'הערכת סיכונים'!$B$2:$B$73,H6,'הערכת סיכונים'!$W$2:$W$73,"לא"),1),0)</f>
        <v>10.7</v>
      </c>
    </row>
    <row r="7" spans="1:23" ht="15" customHeight="1">
      <c r="H7" s="7" t="s">
        <v>186</v>
      </c>
      <c r="I7" s="1">
        <f>IFERROR(ROUND(AVERAGEIFS('הערכת סיכונים'!$J$2:$J$73,'הערכת סיכונים'!$B$2:$B$73,H7,'הערכת סיכונים'!$W$2:$W$73,"לא"),1),0)</f>
        <v>12.4</v>
      </c>
    </row>
    <row r="8" spans="1:23" ht="15" customHeight="1">
      <c r="H8" s="7" t="s">
        <v>207</v>
      </c>
      <c r="I8" s="1">
        <f>IFERROR(ROUND(AVERAGEIFS('הערכת סיכונים'!$J$2:$J$73,'הערכת סיכונים'!$B$2:$B$73,H8,'הערכת סיכונים'!$W$2:$W$73,"לא"),1),0)</f>
        <v>13.9</v>
      </c>
    </row>
    <row r="9" spans="1:23" ht="15" customHeight="1">
      <c r="H9" s="7" t="s">
        <v>236</v>
      </c>
      <c r="I9" s="1">
        <f>IFERROR(ROUND(AVERAGEIFS('הערכת סיכונים'!$J$2:$J$73,'הערכת סיכונים'!$B$2:$B$73,H9,'הערכת סיכונים'!$W$2:$W$73,"לא"),1),0)</f>
        <v>13.3</v>
      </c>
    </row>
    <row r="10" spans="1:23" ht="15" customHeight="1">
      <c r="H10" s="7" t="s">
        <v>265</v>
      </c>
      <c r="I10" s="1">
        <f>IFERROR(ROUND(AVERAGEIFS('הערכת סיכונים'!$J$2:$J$73,'הערכת סיכונים'!$B$2:$B$73,H10,'הערכת סיכונים'!$W$2:$W$73,"לא"),1),0)</f>
        <v>10.8</v>
      </c>
    </row>
    <row r="11" spans="1:23" ht="15" customHeight="1">
      <c r="H11" s="7" t="s">
        <v>290</v>
      </c>
      <c r="I11" s="1">
        <f>IFERROR(ROUND(AVERAGEIFS('הערכת סיכונים'!$J$2:$J$73,'הערכת סיכונים'!$B$2:$B$73,H11,'הערכת סיכונים'!$W$2:$W$73,"לא"),1),0)</f>
        <v>15.3</v>
      </c>
    </row>
    <row r="12" spans="1:23" ht="15" customHeight="1">
      <c r="H12" s="7" t="s">
        <v>303</v>
      </c>
      <c r="I12" s="1">
        <f>IFERROR(ROUND(AVERAGEIFS('הערכת סיכונים'!$J$2:$J$73,'הערכת סיכונים'!$B$2:$B$73,H12,'הערכת סיכונים'!$W$2:$W$73,"לא"),1),0)</f>
        <v>14.6</v>
      </c>
    </row>
    <row r="13" spans="1:23" ht="15" customHeight="1">
      <c r="H13" s="7" t="s">
        <v>324</v>
      </c>
      <c r="I13" s="1">
        <f>IFERROR(ROUND(AVERAGEIFS('הערכת סיכונים'!$J$2:$J$73,'הערכת סיכונים'!$B$2:$B$73,H13,'הערכת סיכונים'!$W$2:$W$73,"לא"),1),0)</f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6"/>
  <sheetViews>
    <sheetView showGridLines="0" rightToLeft="1" zoomScaleNormal="100" workbookViewId="0"/>
  </sheetViews>
  <sheetFormatPr defaultColWidth="8.7109375" defaultRowHeight="15"/>
  <cols>
    <col min="1" max="29" width="4" style="1" customWidth="1"/>
  </cols>
  <sheetData>
    <row r="1" spans="1:28" ht="15" customHeight="1">
      <c r="A1" s="24" t="s">
        <v>356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4" spans="1:28" ht="15" customHeight="1">
      <c r="A4" s="32" t="s">
        <v>357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25.5" customHeight="1">
      <c r="A5" s="21" t="s">
        <v>358</v>
      </c>
      <c r="B5" s="22"/>
      <c r="C5" s="22"/>
      <c r="D5" s="23"/>
      <c r="E5" s="36" t="s">
        <v>359</v>
      </c>
      <c r="F5" s="22"/>
      <c r="G5" s="22"/>
      <c r="H5" s="23"/>
      <c r="I5" s="40" t="s">
        <v>360</v>
      </c>
      <c r="J5" s="22"/>
      <c r="K5" s="22"/>
      <c r="L5" s="23"/>
      <c r="M5" s="38" t="s">
        <v>361</v>
      </c>
      <c r="N5" s="22"/>
      <c r="O5" s="22"/>
      <c r="P5" s="23"/>
      <c r="Q5" s="39" t="s">
        <v>362</v>
      </c>
      <c r="R5" s="22"/>
      <c r="S5" s="22"/>
      <c r="T5" s="23"/>
      <c r="U5" s="25" t="s">
        <v>363</v>
      </c>
      <c r="V5" s="22"/>
      <c r="W5" s="22"/>
      <c r="X5" s="23"/>
      <c r="Y5" s="40" t="s">
        <v>364</v>
      </c>
      <c r="Z5" s="22"/>
      <c r="AA5" s="22"/>
      <c r="AB5" s="23"/>
    </row>
    <row r="6" spans="1:28" ht="19.5" customHeight="1">
      <c r="A6" s="26">
        <f>COUNTIF('הערכת סיכונים'!W2:W73,"לא")</f>
        <v>72</v>
      </c>
      <c r="B6" s="27"/>
      <c r="C6" s="27"/>
      <c r="D6" s="28"/>
      <c r="E6" s="33">
        <f>COUNTIF('הערכת סיכונים'!W2:W73,"כן")</f>
        <v>0</v>
      </c>
      <c r="F6" s="27"/>
      <c r="G6" s="27"/>
      <c r="H6" s="28"/>
      <c r="I6" s="37">
        <f>COUNTIFS('הערכת סיכונים'!S2:S73,"קריטי",'הערכת סיכונים'!W2:W73,"לא")</f>
        <v>17</v>
      </c>
      <c r="J6" s="27"/>
      <c r="K6" s="27"/>
      <c r="L6" s="28"/>
      <c r="M6" s="34">
        <f>COUNTIFS('הערכת סיכונים'!S2:S73,"גבוה",'הערכת סיכונים'!W2:W73,"לא")</f>
        <v>17</v>
      </c>
      <c r="N6" s="27"/>
      <c r="O6" s="27"/>
      <c r="P6" s="28"/>
      <c r="Q6" s="35">
        <f>IFERROR(ROUND(AVERAGEIFS('הערכת סיכונים'!J2:J73,'הערכת סיכונים'!W2:W73,"לא"),1),0)</f>
        <v>12.5</v>
      </c>
      <c r="R6" s="27"/>
      <c r="S6" s="27"/>
      <c r="T6" s="28"/>
      <c r="U6" s="42">
        <f>COUNTIFS('הערכת סיכונים'!T2:T73,"הושלם",'הערכת סיכונים'!W2:W73,"לא")</f>
        <v>23</v>
      </c>
      <c r="V6" s="27"/>
      <c r="W6" s="27"/>
      <c r="X6" s="28"/>
      <c r="Y6" s="37">
        <f>COUNTIFS('הערכת סיכונים'!T2:T73,"לא התחיל",'הערכת סיכונים'!W2:W73,"לא")</f>
        <v>25</v>
      </c>
      <c r="Z6" s="27"/>
      <c r="AA6" s="27"/>
      <c r="AB6" s="28"/>
    </row>
    <row r="7" spans="1:28" ht="21.75" customHeight="1">
      <c r="A7" s="29"/>
      <c r="B7" s="30"/>
      <c r="C7" s="30"/>
      <c r="D7" s="31"/>
      <c r="E7" s="29"/>
      <c r="F7" s="30"/>
      <c r="G7" s="30"/>
      <c r="H7" s="31"/>
      <c r="I7" s="29"/>
      <c r="J7" s="30"/>
      <c r="K7" s="30"/>
      <c r="L7" s="31"/>
      <c r="M7" s="29"/>
      <c r="N7" s="30"/>
      <c r="O7" s="30"/>
      <c r="P7" s="31"/>
      <c r="Q7" s="29"/>
      <c r="R7" s="30"/>
      <c r="S7" s="30"/>
      <c r="T7" s="31"/>
      <c r="U7" s="29"/>
      <c r="V7" s="30"/>
      <c r="W7" s="30"/>
      <c r="X7" s="31"/>
      <c r="Y7" s="29"/>
      <c r="Z7" s="30"/>
      <c r="AA7" s="30"/>
      <c r="AB7" s="31"/>
    </row>
    <row r="9" spans="1:28" ht="26.85" customHeight="1">
      <c r="A9" s="19" t="s">
        <v>365</v>
      </c>
      <c r="B9" s="20"/>
      <c r="C9" s="20"/>
      <c r="D9" s="20"/>
      <c r="E9" s="20"/>
      <c r="F9" s="20"/>
      <c r="G9" s="20"/>
      <c r="H9" s="20"/>
      <c r="J9" s="19" t="s">
        <v>366</v>
      </c>
      <c r="K9" s="20"/>
      <c r="L9" s="20"/>
      <c r="M9" s="20"/>
      <c r="N9" s="20"/>
      <c r="O9" s="20"/>
      <c r="P9" s="20"/>
      <c r="Q9" s="20"/>
      <c r="R9" s="20"/>
      <c r="S9" s="20"/>
      <c r="U9" s="19" t="s">
        <v>367</v>
      </c>
      <c r="V9" s="20"/>
      <c r="W9" s="20"/>
      <c r="X9" s="20"/>
      <c r="Y9" s="20"/>
      <c r="Z9" s="20"/>
      <c r="AA9" s="20"/>
      <c r="AB9" s="20"/>
    </row>
    <row r="11" spans="1:28" ht="21.75" customHeight="1">
      <c r="A11" s="8" t="s">
        <v>368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</row>
    <row r="12" spans="1:28" ht="21.75" customHeight="1">
      <c r="A12" s="9">
        <v>5</v>
      </c>
      <c r="B12" s="10">
        <f>COUNTIFS('הערכת סיכונים'!H:H,5,'הערכת סיכונים'!I:I,1,'הערכת סיכונים'!W:W,"לא")</f>
        <v>0</v>
      </c>
      <c r="C12" s="11">
        <f>COUNTIFS('הערכת סיכונים'!H:H,5,'הערכת סיכונים'!I:I,2,'הערכת סיכונים'!W:W,"לא")</f>
        <v>4</v>
      </c>
      <c r="D12" s="12">
        <f>COUNTIFS('הערכת סיכונים'!H:H,5,'הערכת סיכונים'!I:I,3,'הערכת סיכונים'!W:W,"לא")</f>
        <v>4</v>
      </c>
      <c r="E12" s="12">
        <f>COUNTIFS('הערכת סיכונים'!H:H,5,'הערכת סיכונים'!I:I,4,'הערכת סיכונים'!W:W,"לא")</f>
        <v>6</v>
      </c>
      <c r="F12" s="12">
        <f>COUNTIFS('הערכת סיכונים'!H:H,5,'הערכת סיכונים'!I:I,5,'הערכת סיכונים'!W:W,"לא")</f>
        <v>6</v>
      </c>
    </row>
    <row r="13" spans="1:28" ht="21.75" customHeight="1">
      <c r="A13" s="9">
        <v>4</v>
      </c>
      <c r="B13" s="13">
        <f>COUNTIFS('הערכת סיכונים'!H:H,4,'הערכת סיכונים'!I:I,1,'הערכת סיכונים'!W:W,"לא")</f>
        <v>0</v>
      </c>
      <c r="C13" s="10">
        <f>COUNTIFS('הערכת סיכונים'!H:H,4,'הערכת סיכונים'!I:I,2,'הערכת סיכונים'!W:W,"לא")</f>
        <v>3</v>
      </c>
      <c r="D13" s="11">
        <f>COUNTIFS('הערכת סיכונים'!H:H,4,'הערכת סיכונים'!I:I,3,'הערכת סיכונים'!W:W,"לא")</f>
        <v>3</v>
      </c>
      <c r="E13" s="12">
        <f>COUNTIFS('הערכת סיכונים'!H:H,4,'הערכת סיכונים'!I:I,4,'הערכת סיכונים'!W:W,"לא")</f>
        <v>3</v>
      </c>
      <c r="F13" s="12">
        <f>COUNTIFS('הערכת סיכונים'!H:H,4,'הערכת סיכונים'!I:I,5,'הערכת סיכונים'!W:W,"לא")</f>
        <v>4</v>
      </c>
    </row>
    <row r="14" spans="1:28" ht="21.75" customHeight="1">
      <c r="A14" s="9">
        <v>3</v>
      </c>
      <c r="B14" s="13">
        <f>COUNTIFS('הערכת סיכונים'!H:H,3,'הערכת סיכונים'!I:I,1,'הערכת סיכונים'!W:W,"לא")</f>
        <v>0</v>
      </c>
      <c r="C14" s="10">
        <f>COUNTIFS('הערכת סיכונים'!H:H,3,'הערכת סיכונים'!I:I,2,'הערכת סיכונים'!W:W,"לא")</f>
        <v>6</v>
      </c>
      <c r="D14" s="10">
        <f>COUNTIFS('הערכת סיכונים'!H:H,3,'הערכת סיכונים'!I:I,3,'הערכת סיכונים'!W:W,"לא")</f>
        <v>3</v>
      </c>
      <c r="E14" s="11">
        <f>COUNTIFS('הערכת סיכונים'!H:H,3,'הערכת סיכונים'!I:I,4,'הערכת סיכונים'!W:W,"לא")</f>
        <v>9</v>
      </c>
      <c r="F14" s="12">
        <f>COUNTIFS('הערכת סיכונים'!H:H,3,'הערכת סיכונים'!I:I,5,'הערכת סיכונים'!W:W,"לא")</f>
        <v>4</v>
      </c>
    </row>
    <row r="15" spans="1:28" ht="21.75" customHeight="1">
      <c r="A15" s="9">
        <v>2</v>
      </c>
      <c r="B15" s="13">
        <f>COUNTIFS('הערכת סיכונים'!H:H,2,'הערכת סיכונים'!I:I,1,'הערכת סיכונים'!W:W,"לא")</f>
        <v>0</v>
      </c>
      <c r="C15" s="13">
        <f>COUNTIFS('הערכת סיכונים'!H:H,2,'הערכת סיכונים'!I:I,2,'הערכת סיכונים'!W:W,"לא")</f>
        <v>7</v>
      </c>
      <c r="D15" s="10">
        <f>COUNTIFS('הערכת סיכונים'!H:H,2,'הערכת סיכונים'!I:I,3,'הערכת סיכונים'!W:W,"לא")</f>
        <v>3</v>
      </c>
      <c r="E15" s="10">
        <f>COUNTIFS('הערכת סיכונים'!H:H,2,'הערכת סיכונים'!I:I,4,'הערכת סיכונים'!W:W,"לא")</f>
        <v>4</v>
      </c>
      <c r="F15" s="11">
        <f>COUNTIFS('הערכת סיכונים'!H:H,2,'הערכת סיכונים'!I:I,5,'הערכת סיכונים'!W:W,"לא")</f>
        <v>3</v>
      </c>
    </row>
    <row r="16" spans="1:28" ht="21.75" customHeight="1">
      <c r="A16" s="9">
        <v>1</v>
      </c>
      <c r="B16" s="13">
        <f>COUNTIFS('הערכת סיכונים'!H:H,1,'הערכת סיכונים'!I:I,1,'הערכת סיכונים'!W:W,"לא")</f>
        <v>0</v>
      </c>
      <c r="C16" s="13">
        <f>COUNTIFS('הערכת סיכונים'!H:H,1,'הערכת סיכונים'!I:I,2,'הערכת סיכונים'!W:W,"לא")</f>
        <v>0</v>
      </c>
      <c r="D16" s="13">
        <f>COUNTIFS('הערכת סיכונים'!H:H,1,'הערכת סיכונים'!I:I,3,'הערכת סיכונים'!W:W,"לא")</f>
        <v>0</v>
      </c>
      <c r="E16" s="13">
        <f>COUNTIFS('הערכת סיכונים'!H:H,1,'הערכת סיכונים'!I:I,4,'הערכת סיכונים'!W:W,"לא")</f>
        <v>0</v>
      </c>
      <c r="F16" s="10">
        <f>COUNTIFS('הערכת סיכונים'!H:H,1,'הערכת סיכונים'!I:I,5,'הערכת סיכונים'!W:W,"לא")</f>
        <v>0</v>
      </c>
    </row>
    <row r="17" spans="1:28" ht="15" customHeight="1">
      <c r="C17" s="14" t="s">
        <v>369</v>
      </c>
    </row>
    <row r="18" spans="1:28" ht="15" customHeight="1">
      <c r="A18" s="15"/>
      <c r="B18" s="16"/>
      <c r="C18" s="17"/>
      <c r="D18" s="18"/>
    </row>
    <row r="20" spans="1:28" ht="15" customHeight="1">
      <c r="A20" s="19" t="s">
        <v>370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P20" s="19" t="s">
        <v>371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36" spans="1:28" ht="15" customHeight="1">
      <c r="A36" s="19" t="s">
        <v>372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P36" s="19" t="s">
        <v>373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56" spans="1:28" ht="11.85" customHeight="1">
      <c r="A56" s="41" t="s">
        <v>374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</sheetData>
  <mergeCells count="24">
    <mergeCell ref="A56:AB56"/>
    <mergeCell ref="U6:X7"/>
    <mergeCell ref="I5:L5"/>
    <mergeCell ref="A36:N36"/>
    <mergeCell ref="A6:D7"/>
    <mergeCell ref="A4:AB4"/>
    <mergeCell ref="E6:H7"/>
    <mergeCell ref="M6:P7"/>
    <mergeCell ref="P20:AB20"/>
    <mergeCell ref="Q6:T7"/>
    <mergeCell ref="E5:H5"/>
    <mergeCell ref="Y6:AB7"/>
    <mergeCell ref="M5:P5"/>
    <mergeCell ref="J9:S9"/>
    <mergeCell ref="Q5:T5"/>
    <mergeCell ref="Y5:AB5"/>
    <mergeCell ref="P36:AB36"/>
    <mergeCell ref="A20:N20"/>
    <mergeCell ref="I6:L7"/>
    <mergeCell ref="A9:H9"/>
    <mergeCell ref="A5:D5"/>
    <mergeCell ref="U9:AB9"/>
    <mergeCell ref="A1:AB2"/>
    <mergeCell ref="U5:X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הערכת סיכונים</vt:lpstr>
      <vt:lpstr>נתוני_חישוב</vt:lpstr>
      <vt:lpstr>דשבורד מנהלים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</cp:lastModifiedBy>
  <cp:revision>1</cp:revision>
  <dcterms:created xsi:type="dcterms:W3CDTF">2026-06-14T20:12:23Z</dcterms:created>
  <dcterms:modified xsi:type="dcterms:W3CDTF">2026-06-22T17:39:37Z</dcterms:modified>
  <dc:language>en-US</dc:language>
</cp:coreProperties>
</file>