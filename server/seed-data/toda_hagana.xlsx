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8"/>
  <workbookPr filterPrivacy="1"/>
  <xr:revisionPtr revIDLastSave="0" documentId="13_ncr:1_{1388A809-E305-45E7-9186-8BCF73F7E4E2}" xr6:coauthVersionLast="36" xr6:coauthVersionMax="36" xr10:uidLastSave="{00000000-0000-0000-0000-000000000000}"/>
  <bookViews>
    <workbookView xWindow="0" yWindow="0" windowWidth="28800" windowHeight="11970" activeTab="3" xr2:uid="{00000000-000D-0000-FFFF-FFFF00000000}"/>
  </bookViews>
  <sheets>
    <sheet name="ראשי" sheetId="5" r:id="rId1"/>
    <sheet name="דפאות בסיסי" sheetId="4" r:id="rId2"/>
    <sheet name="דפאות מורחב" sheetId="2" r:id="rId3"/>
    <sheet name="בקרות תוהג" sheetId="1" r:id="rId4"/>
    <sheet name="מחשבון עזר לדוגמה" sheetId="6" r:id="rId5"/>
    <sheet name="מילון למחשבון" sheetId="7" r:id="rId6"/>
    <sheet name="תכנית עבודה" sheetId="3" r:id="rId7"/>
  </sheets>
  <externalReferences>
    <externalReference r:id="rId8"/>
  </externalReferences>
  <definedNames>
    <definedName name="_xlnm._FilterDatabase" localSheetId="3" hidden="1">'בקרות תוהג'!$A$1:$W$122</definedName>
  </definedNames>
  <calcPr calcId="191029"/>
  <extLst>
    <ext uri="GoogleSheetsCustomDataVersion1">
      <go:sheetsCustomData xmlns:go="http://customooxmlschemas.google.com/" r:id="rId9" roundtripDataSignature="AMtx7mgcIhIu4Ovjmi8e2/cMoluZn0KbgQ=="/>
    </ext>
  </extLst>
</workbook>
</file>

<file path=xl/calcChain.xml><?xml version="1.0" encoding="utf-8"?>
<calcChain xmlns="http://schemas.openxmlformats.org/spreadsheetml/2006/main">
  <c r="B24" i="7" l="1"/>
  <c r="B23" i="7"/>
  <c r="B22" i="7"/>
  <c r="B21" i="7"/>
  <c r="B20" i="7"/>
  <c r="B19" i="7"/>
  <c r="B18" i="7"/>
  <c r="B17" i="7"/>
  <c r="B16" i="7"/>
  <c r="B15" i="7"/>
  <c r="B14" i="7"/>
  <c r="B13" i="7"/>
  <c r="B11" i="7"/>
  <c r="B10" i="7"/>
  <c r="B9" i="7"/>
  <c r="B8" i="7"/>
  <c r="B6" i="7"/>
  <c r="B4" i="7"/>
  <c r="B3" i="7"/>
  <c r="B2" i="7"/>
  <c r="N29" i="6"/>
  <c r="N34" i="6" s="1"/>
  <c r="J29" i="6"/>
  <c r="J34" i="6" s="1"/>
  <c r="P28" i="6"/>
  <c r="O28" i="6"/>
  <c r="N28" i="6"/>
  <c r="M28" i="6"/>
  <c r="L28" i="6"/>
  <c r="K28" i="6"/>
  <c r="J28" i="6"/>
  <c r="I28" i="6"/>
  <c r="G28" i="6"/>
  <c r="F28" i="6"/>
  <c r="F29" i="6" s="1"/>
  <c r="F34" i="6" s="1"/>
  <c r="E28" i="6"/>
  <c r="D28" i="6"/>
  <c r="P10" i="6"/>
  <c r="P29" i="6" s="1"/>
  <c r="P34" i="6" s="1"/>
  <c r="O10" i="6"/>
  <c r="O29" i="6" s="1"/>
  <c r="O34" i="6" s="1"/>
  <c r="N10" i="6"/>
  <c r="M10" i="6"/>
  <c r="M29" i="6" s="1"/>
  <c r="M34" i="6" s="1"/>
  <c r="L10" i="6"/>
  <c r="L29" i="6" s="1"/>
  <c r="L34" i="6" s="1"/>
  <c r="K10" i="6"/>
  <c r="K29" i="6" s="1"/>
  <c r="K34" i="6" s="1"/>
  <c r="J10" i="6"/>
  <c r="I10" i="6"/>
  <c r="I29" i="6" s="1"/>
  <c r="I34" i="6" s="1"/>
  <c r="H10" i="6"/>
  <c r="H29" i="6" s="1"/>
  <c r="H34" i="6" s="1"/>
  <c r="G10" i="6"/>
  <c r="G29" i="6" s="1"/>
  <c r="G34" i="6" s="1"/>
  <c r="F10" i="6"/>
  <c r="E10" i="6"/>
  <c r="E29" i="6" s="1"/>
  <c r="E34" i="6" s="1"/>
  <c r="D10" i="6"/>
  <c r="D29" i="6" s="1"/>
  <c r="D34" i="6" s="1"/>
  <c r="N218" i="2" l="1"/>
  <c r="M218" i="2"/>
  <c r="L218" i="2"/>
  <c r="K218" i="2"/>
  <c r="N217" i="2"/>
  <c r="M217" i="2"/>
  <c r="L217" i="2"/>
  <c r="K217" i="2"/>
  <c r="N216" i="2"/>
  <c r="M216" i="2"/>
  <c r="L216" i="2"/>
  <c r="K216" i="2"/>
  <c r="N215" i="2"/>
  <c r="M215" i="2"/>
  <c r="L215" i="2"/>
  <c r="K215" i="2"/>
  <c r="N214" i="2"/>
  <c r="M214" i="2"/>
  <c r="L214" i="2"/>
  <c r="K214" i="2"/>
  <c r="N213" i="2"/>
  <c r="M213" i="2"/>
  <c r="L213" i="2"/>
  <c r="K213" i="2"/>
  <c r="N212" i="2"/>
  <c r="M212" i="2"/>
  <c r="L212" i="2"/>
  <c r="K212" i="2"/>
  <c r="N211" i="2"/>
  <c r="M211" i="2"/>
  <c r="L211" i="2"/>
  <c r="K211" i="2"/>
  <c r="N210" i="2"/>
  <c r="M210" i="2"/>
  <c r="L210" i="2"/>
  <c r="K210" i="2"/>
  <c r="N209" i="2"/>
  <c r="M209" i="2"/>
  <c r="L209" i="2"/>
  <c r="K209" i="2"/>
  <c r="N208" i="2"/>
  <c r="M208" i="2"/>
  <c r="L208" i="2"/>
  <c r="K208" i="2"/>
  <c r="N207" i="2"/>
  <c r="M207" i="2"/>
  <c r="L207" i="2"/>
  <c r="K207" i="2"/>
  <c r="N206" i="2"/>
  <c r="M206" i="2"/>
  <c r="L206" i="2"/>
  <c r="K206" i="2"/>
  <c r="N205" i="2"/>
  <c r="M205" i="2"/>
  <c r="L205" i="2"/>
  <c r="K205" i="2"/>
  <c r="N204" i="2"/>
  <c r="M204" i="2"/>
  <c r="L204" i="2"/>
  <c r="K204" i="2"/>
  <c r="N203" i="2"/>
  <c r="M203" i="2"/>
  <c r="L203" i="2"/>
  <c r="K203" i="2"/>
  <c r="N202" i="2"/>
  <c r="M202" i="2"/>
  <c r="L202" i="2"/>
  <c r="K202" i="2"/>
  <c r="N201" i="2"/>
  <c r="M201" i="2"/>
  <c r="L201" i="2"/>
  <c r="K201" i="2"/>
  <c r="N200" i="2"/>
  <c r="M200" i="2"/>
  <c r="L200" i="2"/>
  <c r="K200" i="2"/>
  <c r="N199" i="2"/>
  <c r="M199" i="2"/>
  <c r="L199" i="2"/>
  <c r="K199" i="2"/>
  <c r="N198" i="2"/>
  <c r="M198" i="2"/>
  <c r="L198" i="2"/>
  <c r="K198" i="2"/>
  <c r="N197" i="2"/>
  <c r="M197" i="2"/>
  <c r="L197" i="2"/>
  <c r="K197" i="2"/>
  <c r="N196" i="2"/>
  <c r="M196" i="2"/>
  <c r="L196" i="2"/>
  <c r="K196" i="2"/>
  <c r="N195" i="2"/>
  <c r="M195" i="2"/>
  <c r="L195" i="2"/>
  <c r="K195" i="2"/>
  <c r="N194" i="2"/>
  <c r="M194" i="2"/>
  <c r="L194" i="2"/>
  <c r="K194" i="2"/>
  <c r="N193" i="2"/>
  <c r="M193" i="2"/>
  <c r="L193" i="2"/>
  <c r="K193" i="2"/>
  <c r="N192" i="2"/>
  <c r="M192" i="2"/>
  <c r="L192" i="2"/>
  <c r="K192" i="2"/>
  <c r="N191" i="2"/>
  <c r="M191" i="2"/>
  <c r="L191" i="2"/>
  <c r="K191" i="2"/>
  <c r="N190" i="2"/>
  <c r="M190" i="2"/>
  <c r="L190" i="2"/>
  <c r="K190" i="2"/>
  <c r="N189" i="2"/>
  <c r="M189" i="2"/>
  <c r="L189" i="2"/>
  <c r="K189" i="2"/>
  <c r="N188" i="2"/>
  <c r="M188" i="2"/>
  <c r="L188" i="2"/>
  <c r="K188" i="2"/>
  <c r="N187" i="2"/>
  <c r="M187" i="2"/>
  <c r="L187" i="2"/>
  <c r="K187" i="2"/>
  <c r="N186" i="2"/>
  <c r="M186" i="2"/>
  <c r="L186" i="2"/>
  <c r="K186" i="2"/>
  <c r="N185" i="2"/>
  <c r="M185" i="2"/>
  <c r="L185" i="2"/>
  <c r="K185" i="2"/>
  <c r="N184" i="2"/>
  <c r="M184" i="2"/>
  <c r="L184" i="2"/>
  <c r="K184" i="2"/>
  <c r="N183" i="2"/>
  <c r="M183" i="2"/>
  <c r="L183" i="2"/>
  <c r="K183" i="2"/>
  <c r="N182" i="2"/>
  <c r="M182" i="2"/>
  <c r="L182" i="2"/>
  <c r="K182" i="2"/>
  <c r="N181" i="2"/>
  <c r="M181" i="2"/>
  <c r="L181" i="2"/>
  <c r="K181" i="2"/>
  <c r="N180" i="2"/>
  <c r="M180" i="2"/>
  <c r="L180" i="2"/>
  <c r="K180" i="2"/>
  <c r="N179" i="2"/>
  <c r="M179" i="2"/>
  <c r="L179" i="2"/>
  <c r="K179" i="2"/>
  <c r="N178" i="2"/>
  <c r="M178" i="2"/>
  <c r="L178" i="2"/>
  <c r="K178" i="2"/>
  <c r="N177" i="2"/>
  <c r="M177" i="2"/>
  <c r="L177" i="2"/>
  <c r="K177" i="2"/>
  <c r="N176" i="2"/>
  <c r="M176" i="2"/>
  <c r="L176" i="2"/>
  <c r="K176" i="2"/>
  <c r="N175" i="2"/>
  <c r="M175" i="2"/>
  <c r="L175" i="2"/>
  <c r="K175" i="2"/>
  <c r="N174" i="2"/>
  <c r="M174" i="2"/>
  <c r="L174" i="2"/>
  <c r="K174" i="2"/>
  <c r="N173" i="2"/>
  <c r="M173" i="2"/>
  <c r="L173" i="2"/>
  <c r="K173" i="2"/>
  <c r="N172" i="2"/>
  <c r="M172" i="2"/>
  <c r="L172" i="2"/>
  <c r="K172" i="2"/>
  <c r="N171" i="2"/>
  <c r="M171" i="2"/>
  <c r="L171" i="2"/>
  <c r="K171" i="2"/>
  <c r="N170" i="2"/>
  <c r="M170" i="2"/>
  <c r="L170" i="2"/>
  <c r="K170" i="2"/>
  <c r="N169" i="2"/>
  <c r="M169" i="2"/>
  <c r="L169" i="2"/>
  <c r="K169" i="2"/>
  <c r="N168" i="2"/>
  <c r="M168" i="2"/>
  <c r="L168" i="2"/>
  <c r="K168" i="2"/>
  <c r="N167" i="2"/>
  <c r="M167" i="2"/>
  <c r="L167" i="2"/>
  <c r="K167" i="2"/>
  <c r="N166" i="2"/>
  <c r="M166" i="2"/>
  <c r="L166" i="2"/>
  <c r="K166" i="2"/>
  <c r="N165" i="2"/>
  <c r="M165" i="2"/>
  <c r="L165" i="2"/>
  <c r="K165" i="2"/>
  <c r="N164" i="2"/>
  <c r="M164" i="2"/>
  <c r="L164" i="2"/>
  <c r="K164" i="2"/>
  <c r="N163" i="2"/>
  <c r="M163" i="2"/>
  <c r="L163" i="2"/>
  <c r="K163" i="2"/>
  <c r="N162" i="2"/>
  <c r="M162" i="2"/>
  <c r="L162" i="2"/>
  <c r="K162" i="2"/>
  <c r="N161" i="2"/>
  <c r="M161" i="2"/>
  <c r="L161" i="2"/>
  <c r="K161" i="2"/>
  <c r="N160" i="2"/>
  <c r="M160" i="2"/>
  <c r="L160" i="2"/>
  <c r="K160" i="2"/>
  <c r="N159" i="2"/>
  <c r="M159" i="2"/>
  <c r="L159" i="2"/>
  <c r="K159" i="2"/>
  <c r="N158" i="2"/>
  <c r="M158" i="2"/>
  <c r="L158" i="2"/>
  <c r="K158" i="2"/>
  <c r="N157" i="2"/>
  <c r="M157" i="2"/>
  <c r="L157" i="2"/>
  <c r="K157" i="2"/>
  <c r="N156" i="2"/>
  <c r="M156" i="2"/>
  <c r="L156" i="2"/>
  <c r="K156" i="2"/>
  <c r="N155" i="2"/>
  <c r="M155" i="2"/>
  <c r="L155" i="2"/>
  <c r="K155" i="2"/>
  <c r="N154" i="2"/>
  <c r="M154" i="2"/>
  <c r="L154" i="2"/>
  <c r="K154" i="2"/>
  <c r="N153" i="2"/>
  <c r="M153" i="2"/>
  <c r="L153" i="2"/>
  <c r="K153" i="2"/>
  <c r="N152" i="2"/>
  <c r="M152" i="2"/>
  <c r="L152" i="2"/>
  <c r="K152" i="2"/>
  <c r="N151" i="2"/>
  <c r="M151" i="2"/>
  <c r="L151" i="2"/>
  <c r="K151" i="2"/>
  <c r="N150" i="2"/>
  <c r="M150" i="2"/>
  <c r="L150" i="2"/>
  <c r="K150" i="2"/>
  <c r="N149" i="2"/>
  <c r="M149" i="2"/>
  <c r="L149" i="2"/>
  <c r="K149" i="2"/>
  <c r="N148" i="2"/>
  <c r="M148" i="2"/>
  <c r="L148" i="2"/>
  <c r="K148" i="2"/>
  <c r="N147" i="2"/>
  <c r="M147" i="2"/>
  <c r="L147" i="2"/>
  <c r="K147" i="2"/>
  <c r="N146" i="2"/>
  <c r="M146" i="2"/>
  <c r="L146" i="2"/>
  <c r="K146" i="2"/>
  <c r="N145" i="2"/>
  <c r="M145" i="2"/>
  <c r="L145" i="2"/>
  <c r="K145" i="2"/>
  <c r="N144" i="2"/>
  <c r="M144" i="2"/>
  <c r="L144" i="2"/>
  <c r="K144" i="2"/>
  <c r="N143" i="2"/>
  <c r="M143" i="2"/>
  <c r="L143" i="2"/>
  <c r="K143" i="2"/>
  <c r="N142" i="2"/>
  <c r="M142" i="2"/>
  <c r="L142" i="2"/>
  <c r="K142" i="2"/>
  <c r="N141" i="2"/>
  <c r="M141" i="2"/>
  <c r="L141" i="2"/>
  <c r="K141" i="2"/>
  <c r="N140" i="2"/>
  <c r="M140" i="2"/>
  <c r="L140" i="2"/>
  <c r="K140" i="2"/>
  <c r="N139" i="2"/>
  <c r="M139" i="2"/>
  <c r="L139" i="2"/>
  <c r="K139" i="2"/>
  <c r="N138" i="2"/>
  <c r="M138" i="2"/>
  <c r="L138" i="2"/>
  <c r="K138" i="2"/>
  <c r="N137" i="2"/>
  <c r="M137" i="2"/>
  <c r="L137" i="2"/>
  <c r="K137" i="2"/>
  <c r="N136" i="2"/>
  <c r="M136" i="2"/>
  <c r="L136" i="2"/>
  <c r="K136" i="2"/>
  <c r="N135" i="2"/>
  <c r="M135" i="2"/>
  <c r="L135" i="2"/>
  <c r="K135" i="2"/>
  <c r="N134" i="2"/>
  <c r="M134" i="2"/>
  <c r="L134" i="2"/>
  <c r="K134" i="2"/>
  <c r="N133" i="2"/>
  <c r="M133" i="2"/>
  <c r="L133" i="2"/>
  <c r="K133" i="2"/>
  <c r="N132" i="2"/>
  <c r="M132" i="2"/>
  <c r="L132" i="2"/>
  <c r="K132" i="2"/>
  <c r="N131" i="2"/>
  <c r="M131" i="2"/>
  <c r="L131" i="2"/>
  <c r="K131" i="2"/>
  <c r="N130" i="2"/>
  <c r="M130" i="2"/>
  <c r="L130" i="2"/>
  <c r="K130" i="2"/>
  <c r="N129" i="2"/>
  <c r="M129" i="2"/>
  <c r="L129" i="2"/>
  <c r="K129" i="2"/>
  <c r="N128" i="2"/>
  <c r="M128" i="2"/>
  <c r="L128" i="2"/>
  <c r="K128" i="2"/>
  <c r="N127" i="2"/>
  <c r="M127" i="2"/>
  <c r="L127" i="2"/>
  <c r="K127" i="2"/>
  <c r="N126" i="2"/>
  <c r="M126" i="2"/>
  <c r="L126" i="2"/>
  <c r="K126" i="2"/>
  <c r="N125" i="2"/>
  <c r="M125" i="2"/>
  <c r="L125" i="2"/>
  <c r="K125" i="2"/>
  <c r="N124" i="2"/>
  <c r="M124" i="2"/>
  <c r="L124" i="2"/>
  <c r="K124" i="2"/>
  <c r="N123" i="2"/>
  <c r="M123" i="2"/>
  <c r="L123" i="2"/>
  <c r="K123" i="2"/>
  <c r="N122" i="2"/>
  <c r="M122" i="2"/>
  <c r="L122" i="2"/>
  <c r="K122" i="2"/>
  <c r="N121" i="2"/>
  <c r="M121" i="2"/>
  <c r="L121" i="2"/>
  <c r="K121" i="2"/>
  <c r="N120" i="2"/>
  <c r="M120" i="2"/>
  <c r="L120" i="2"/>
  <c r="K120" i="2"/>
  <c r="N119" i="2"/>
  <c r="M119" i="2"/>
  <c r="L119" i="2"/>
  <c r="K119" i="2"/>
  <c r="N118" i="2"/>
  <c r="M118" i="2"/>
  <c r="L118" i="2"/>
  <c r="K118" i="2"/>
  <c r="N117" i="2"/>
  <c r="M117" i="2"/>
  <c r="L117" i="2"/>
  <c r="K117" i="2"/>
  <c r="N116" i="2"/>
  <c r="M116" i="2"/>
  <c r="L116" i="2"/>
  <c r="K116" i="2"/>
  <c r="N115" i="2"/>
  <c r="M115" i="2"/>
  <c r="L115" i="2"/>
  <c r="K115" i="2"/>
  <c r="N114" i="2"/>
  <c r="M114" i="2"/>
  <c r="L114" i="2"/>
  <c r="K114" i="2"/>
  <c r="N113" i="2"/>
  <c r="M113" i="2"/>
  <c r="L113" i="2"/>
  <c r="K113" i="2"/>
  <c r="N112" i="2"/>
  <c r="M112" i="2"/>
  <c r="L112" i="2"/>
  <c r="K112" i="2"/>
  <c r="N111" i="2"/>
  <c r="M111" i="2"/>
  <c r="L111" i="2"/>
  <c r="K111" i="2"/>
  <c r="N110" i="2"/>
  <c r="M110" i="2"/>
  <c r="L110" i="2"/>
  <c r="K110" i="2"/>
  <c r="N109" i="2"/>
  <c r="M109" i="2"/>
  <c r="L109" i="2"/>
  <c r="K109" i="2"/>
  <c r="N108" i="2"/>
  <c r="M108" i="2"/>
  <c r="L108" i="2"/>
  <c r="K108" i="2"/>
  <c r="N107" i="2"/>
  <c r="M107" i="2"/>
  <c r="L107" i="2"/>
  <c r="K107" i="2"/>
  <c r="N106" i="2"/>
  <c r="M106" i="2"/>
  <c r="L106" i="2"/>
  <c r="K106" i="2"/>
  <c r="N105" i="2"/>
  <c r="M105" i="2"/>
  <c r="L105" i="2"/>
  <c r="K105" i="2"/>
  <c r="N104" i="2"/>
  <c r="M104" i="2"/>
  <c r="L104" i="2"/>
  <c r="K104" i="2"/>
  <c r="N103" i="2"/>
  <c r="M103" i="2"/>
  <c r="L103" i="2"/>
  <c r="K103" i="2"/>
  <c r="N102" i="2"/>
  <c r="M102" i="2"/>
  <c r="L102" i="2"/>
  <c r="K102" i="2"/>
  <c r="N101" i="2"/>
  <c r="M101" i="2"/>
  <c r="L101" i="2"/>
  <c r="K101" i="2"/>
  <c r="N100" i="2"/>
  <c r="M100" i="2"/>
  <c r="L100" i="2"/>
  <c r="K100" i="2"/>
  <c r="N99" i="2"/>
  <c r="M99" i="2"/>
  <c r="L99" i="2"/>
  <c r="K99" i="2"/>
  <c r="N98" i="2"/>
  <c r="M98" i="2"/>
  <c r="L98" i="2"/>
  <c r="K98" i="2"/>
  <c r="N97" i="2"/>
  <c r="M97" i="2"/>
  <c r="L97" i="2"/>
  <c r="K97" i="2"/>
  <c r="N96" i="2"/>
  <c r="M96" i="2"/>
  <c r="L96" i="2"/>
  <c r="K96" i="2"/>
  <c r="N95" i="2"/>
  <c r="M95" i="2"/>
  <c r="L95" i="2"/>
  <c r="K95" i="2"/>
  <c r="N94" i="2"/>
  <c r="M94" i="2"/>
  <c r="L94" i="2"/>
  <c r="K94" i="2"/>
  <c r="N93" i="2"/>
  <c r="M93" i="2"/>
  <c r="L93" i="2"/>
  <c r="K93" i="2"/>
  <c r="N92" i="2"/>
  <c r="M92" i="2"/>
  <c r="L92" i="2"/>
  <c r="K92" i="2"/>
  <c r="N91" i="2"/>
  <c r="M91" i="2"/>
  <c r="L91" i="2"/>
  <c r="K91" i="2"/>
  <c r="N90" i="2"/>
  <c r="M90" i="2"/>
  <c r="L90" i="2"/>
  <c r="K90" i="2"/>
  <c r="N89" i="2"/>
  <c r="M89" i="2"/>
  <c r="L89" i="2"/>
  <c r="K89" i="2"/>
  <c r="N88" i="2"/>
  <c r="M88" i="2"/>
  <c r="L88" i="2"/>
  <c r="K88" i="2"/>
  <c r="N87" i="2"/>
  <c r="M87" i="2"/>
  <c r="L87" i="2"/>
  <c r="K87" i="2"/>
  <c r="N86" i="2"/>
  <c r="M86" i="2"/>
  <c r="L86" i="2"/>
  <c r="K86" i="2"/>
  <c r="N85" i="2"/>
  <c r="M85" i="2"/>
  <c r="L85" i="2"/>
  <c r="K85" i="2"/>
  <c r="N84" i="2"/>
  <c r="M84" i="2"/>
  <c r="L84" i="2"/>
  <c r="K84" i="2"/>
  <c r="N83" i="2"/>
  <c r="M83" i="2"/>
  <c r="L83" i="2"/>
  <c r="K83" i="2"/>
  <c r="N82" i="2"/>
  <c r="M82" i="2"/>
  <c r="L82" i="2"/>
  <c r="K82" i="2"/>
  <c r="N81" i="2"/>
  <c r="M81" i="2"/>
  <c r="L81" i="2"/>
  <c r="K81" i="2"/>
  <c r="N80" i="2"/>
  <c r="M80" i="2"/>
  <c r="L80" i="2"/>
  <c r="K80" i="2"/>
  <c r="N79" i="2"/>
  <c r="M79" i="2"/>
  <c r="L79" i="2"/>
  <c r="K79" i="2"/>
  <c r="N78" i="2"/>
  <c r="M78" i="2"/>
  <c r="L78" i="2"/>
  <c r="K78" i="2"/>
  <c r="N77" i="2"/>
  <c r="M77" i="2"/>
  <c r="L77" i="2"/>
  <c r="K77" i="2"/>
  <c r="N76" i="2"/>
  <c r="M76" i="2"/>
  <c r="L76" i="2"/>
  <c r="K76" i="2"/>
  <c r="N75" i="2"/>
  <c r="M75" i="2"/>
  <c r="L75" i="2"/>
  <c r="K75" i="2"/>
  <c r="N74" i="2"/>
  <c r="M74" i="2"/>
  <c r="L74" i="2"/>
  <c r="K74" i="2"/>
  <c r="N73" i="2"/>
  <c r="M73" i="2"/>
  <c r="L73" i="2"/>
  <c r="K73" i="2"/>
  <c r="N72" i="2"/>
  <c r="M72" i="2"/>
  <c r="L72" i="2"/>
  <c r="K72" i="2"/>
  <c r="N71" i="2"/>
  <c r="M71" i="2"/>
  <c r="L71" i="2"/>
  <c r="K71" i="2"/>
  <c r="N70" i="2"/>
  <c r="M70" i="2"/>
  <c r="L70" i="2"/>
  <c r="K70" i="2"/>
  <c r="N69" i="2"/>
  <c r="M69" i="2"/>
  <c r="L69" i="2"/>
  <c r="K69" i="2"/>
  <c r="N68" i="2"/>
  <c r="M68" i="2"/>
  <c r="L68" i="2"/>
  <c r="K68" i="2"/>
  <c r="N67" i="2"/>
  <c r="M67" i="2"/>
  <c r="L67" i="2"/>
  <c r="K67" i="2"/>
  <c r="N66" i="2"/>
  <c r="M66" i="2"/>
  <c r="L66" i="2"/>
  <c r="K66" i="2"/>
  <c r="N65" i="2"/>
  <c r="M65" i="2"/>
  <c r="L65" i="2"/>
  <c r="K65" i="2"/>
  <c r="N64" i="2"/>
  <c r="M64" i="2"/>
  <c r="L64" i="2"/>
  <c r="K64" i="2"/>
  <c r="N63" i="2"/>
  <c r="M63" i="2"/>
  <c r="L63" i="2"/>
  <c r="K63" i="2"/>
  <c r="N62" i="2"/>
  <c r="M62" i="2"/>
  <c r="L62" i="2"/>
  <c r="K62" i="2"/>
  <c r="N61" i="2"/>
  <c r="M61" i="2"/>
  <c r="L61" i="2"/>
  <c r="K61" i="2"/>
  <c r="N60" i="2"/>
  <c r="M60" i="2"/>
  <c r="L60" i="2"/>
  <c r="K60" i="2"/>
  <c r="N59" i="2"/>
  <c r="M59" i="2"/>
  <c r="L59" i="2"/>
  <c r="K59" i="2"/>
  <c r="N58" i="2"/>
  <c r="M58" i="2"/>
  <c r="L58" i="2"/>
  <c r="K58" i="2"/>
  <c r="N57" i="2"/>
  <c r="M57" i="2"/>
  <c r="L57" i="2"/>
  <c r="K57" i="2"/>
  <c r="N56" i="2"/>
  <c r="M56" i="2"/>
  <c r="L56" i="2"/>
  <c r="K56" i="2"/>
  <c r="N55" i="2"/>
  <c r="M55" i="2"/>
  <c r="L55" i="2"/>
  <c r="K55" i="2"/>
  <c r="N54" i="2"/>
  <c r="M54" i="2"/>
  <c r="L54" i="2"/>
  <c r="K54" i="2"/>
  <c r="N53" i="2"/>
  <c r="M53" i="2"/>
  <c r="L53" i="2"/>
  <c r="K53" i="2"/>
  <c r="N52" i="2"/>
  <c r="M52" i="2"/>
  <c r="L52" i="2"/>
  <c r="K52" i="2"/>
  <c r="N51" i="2"/>
  <c r="M51" i="2"/>
  <c r="L51" i="2"/>
  <c r="K51" i="2"/>
  <c r="N50" i="2"/>
  <c r="M50" i="2"/>
  <c r="L50" i="2"/>
  <c r="K50" i="2"/>
  <c r="N49" i="2"/>
  <c r="M49" i="2"/>
  <c r="L49" i="2"/>
  <c r="K49" i="2"/>
  <c r="N48" i="2"/>
  <c r="M48" i="2"/>
  <c r="L48" i="2"/>
  <c r="K48" i="2"/>
  <c r="N47" i="2"/>
  <c r="M47" i="2"/>
  <c r="L47" i="2"/>
  <c r="K47" i="2"/>
  <c r="N46" i="2"/>
  <c r="M46" i="2"/>
  <c r="L46" i="2"/>
  <c r="K46" i="2"/>
  <c r="N45" i="2"/>
  <c r="M45" i="2"/>
  <c r="L45" i="2"/>
  <c r="K45" i="2"/>
  <c r="N44" i="2"/>
  <c r="M44" i="2"/>
  <c r="L44" i="2"/>
  <c r="K44" i="2"/>
  <c r="N43" i="2"/>
  <c r="M43" i="2"/>
  <c r="L43" i="2"/>
  <c r="K43" i="2"/>
  <c r="N42" i="2"/>
  <c r="M42" i="2"/>
  <c r="L42" i="2"/>
  <c r="K42" i="2"/>
  <c r="N41" i="2"/>
  <c r="M41" i="2"/>
  <c r="L41" i="2"/>
  <c r="K41" i="2"/>
  <c r="N40" i="2"/>
  <c r="M40" i="2"/>
  <c r="L40" i="2"/>
  <c r="K40" i="2"/>
  <c r="N39" i="2"/>
  <c r="M39" i="2"/>
  <c r="L39" i="2"/>
  <c r="K39" i="2"/>
  <c r="N38" i="2"/>
  <c r="M38" i="2"/>
  <c r="L38" i="2"/>
  <c r="K38" i="2"/>
  <c r="N37" i="2"/>
  <c r="M37" i="2"/>
  <c r="L37" i="2"/>
  <c r="K37" i="2"/>
  <c r="N36" i="2"/>
  <c r="M36" i="2"/>
  <c r="L36" i="2"/>
  <c r="K36" i="2"/>
  <c r="N35" i="2"/>
  <c r="M35" i="2"/>
  <c r="L35" i="2"/>
  <c r="K35" i="2"/>
  <c r="N34" i="2"/>
  <c r="M34" i="2"/>
  <c r="L34" i="2"/>
  <c r="K34" i="2"/>
  <c r="N33" i="2"/>
  <c r="M33" i="2"/>
  <c r="L33" i="2"/>
  <c r="K33" i="2"/>
  <c r="N32" i="2"/>
  <c r="M32" i="2"/>
  <c r="L32" i="2"/>
  <c r="K32" i="2"/>
  <c r="N31" i="2"/>
  <c r="M31" i="2"/>
  <c r="L31" i="2"/>
  <c r="K31" i="2"/>
  <c r="N30" i="2"/>
  <c r="M30" i="2"/>
  <c r="L30" i="2"/>
  <c r="K30" i="2"/>
  <c r="N29" i="2"/>
  <c r="M29" i="2"/>
  <c r="L29" i="2"/>
  <c r="K29" i="2"/>
  <c r="N28" i="2"/>
  <c r="M28" i="2"/>
  <c r="L28" i="2"/>
  <c r="K28" i="2"/>
  <c r="N27" i="2"/>
  <c r="M27" i="2"/>
  <c r="L27" i="2"/>
  <c r="K27" i="2"/>
  <c r="N26" i="2"/>
  <c r="M26" i="2"/>
  <c r="L26" i="2"/>
  <c r="K26" i="2"/>
  <c r="N25" i="2"/>
  <c r="M25" i="2"/>
  <c r="L25" i="2"/>
  <c r="K25" i="2"/>
  <c r="N24" i="2"/>
  <c r="M24" i="2"/>
  <c r="L24" i="2"/>
  <c r="K24" i="2"/>
  <c r="N23" i="2"/>
  <c r="M23" i="2"/>
  <c r="L23" i="2"/>
  <c r="K23" i="2"/>
  <c r="N22" i="2"/>
  <c r="M22" i="2"/>
  <c r="L22" i="2"/>
  <c r="K22" i="2"/>
  <c r="N21" i="2"/>
  <c r="M21" i="2"/>
  <c r="L21" i="2"/>
  <c r="K21" i="2"/>
  <c r="N20" i="2"/>
  <c r="M20" i="2"/>
  <c r="L20" i="2"/>
  <c r="K20" i="2"/>
  <c r="N19" i="2"/>
  <c r="M19" i="2"/>
  <c r="L19" i="2"/>
  <c r="K19" i="2"/>
  <c r="N18" i="2"/>
  <c r="M18" i="2"/>
  <c r="L18" i="2"/>
  <c r="K18" i="2"/>
  <c r="N17" i="2"/>
  <c r="M17" i="2"/>
  <c r="L17" i="2"/>
  <c r="K17" i="2"/>
  <c r="N16" i="2"/>
  <c r="M16" i="2"/>
  <c r="L16" i="2"/>
  <c r="K16" i="2"/>
  <c r="N15" i="2"/>
  <c r="M15" i="2"/>
  <c r="L15" i="2"/>
  <c r="K15" i="2"/>
  <c r="N14" i="2"/>
  <c r="M14" i="2"/>
  <c r="L14" i="2"/>
  <c r="K14" i="2"/>
  <c r="N13" i="2"/>
  <c r="M13" i="2"/>
  <c r="L13" i="2"/>
  <c r="K13" i="2"/>
  <c r="N12" i="2"/>
  <c r="M12" i="2"/>
  <c r="L12" i="2"/>
  <c r="K12" i="2"/>
  <c r="N11" i="2"/>
  <c r="M11" i="2"/>
  <c r="L11" i="2"/>
  <c r="K11" i="2"/>
  <c r="N10" i="2"/>
  <c r="M10" i="2"/>
  <c r="L10" i="2"/>
  <c r="K10" i="2"/>
  <c r="N9" i="2"/>
  <c r="M9" i="2"/>
  <c r="L9" i="2"/>
  <c r="K9" i="2"/>
  <c r="N8" i="2"/>
  <c r="M8" i="2"/>
  <c r="L8" i="2"/>
  <c r="K8" i="2"/>
  <c r="N7" i="2"/>
  <c r="M7" i="2"/>
  <c r="L7" i="2"/>
  <c r="K7" i="2"/>
  <c r="N6" i="2"/>
  <c r="M6" i="2"/>
  <c r="L6" i="2"/>
  <c r="K6" i="2"/>
  <c r="N5" i="2"/>
  <c r="M5" i="2"/>
  <c r="L5" i="2"/>
  <c r="K5" i="2"/>
  <c r="N4" i="2"/>
  <c r="M4" i="2"/>
  <c r="L4" i="2"/>
  <c r="K4" i="2"/>
  <c r="N3" i="2"/>
  <c r="M3" i="2"/>
  <c r="L3" i="2"/>
  <c r="K3" i="2"/>
  <c r="N2" i="2"/>
  <c r="M2" i="2"/>
  <c r="L2" i="2"/>
  <c r="K2" i="2"/>
  <c r="N1" i="2"/>
  <c r="M1" i="2"/>
  <c r="L1" i="2"/>
  <c r="K1" i="2"/>
  <c r="I178" i="3" l="1"/>
  <c r="J178" i="3" s="1"/>
  <c r="C178" i="3"/>
  <c r="I177" i="3"/>
  <c r="J177" i="3" s="1"/>
  <c r="I176" i="3"/>
  <c r="J176" i="3" s="1"/>
  <c r="I175" i="3"/>
  <c r="J175" i="3" s="1"/>
  <c r="C175" i="3"/>
  <c r="J174" i="3"/>
  <c r="I174" i="3"/>
  <c r="J173" i="3"/>
  <c r="I173" i="3"/>
  <c r="C173" i="3"/>
  <c r="I172" i="3"/>
  <c r="J172" i="3" s="1"/>
  <c r="C172" i="3"/>
  <c r="J171" i="3"/>
  <c r="I171" i="3"/>
  <c r="J170" i="3"/>
  <c r="I170" i="3"/>
  <c r="J169" i="3"/>
  <c r="I169" i="3"/>
  <c r="C169" i="3"/>
  <c r="I168" i="3"/>
  <c r="J168" i="3" s="1"/>
  <c r="I167" i="3"/>
  <c r="J167" i="3" s="1"/>
  <c r="C167" i="3"/>
  <c r="J166" i="3"/>
  <c r="I166" i="3"/>
  <c r="C166" i="3"/>
  <c r="I165" i="3"/>
  <c r="J165" i="3" s="1"/>
  <c r="C165" i="3"/>
  <c r="J164" i="3"/>
  <c r="I164" i="3"/>
  <c r="J163" i="3"/>
  <c r="I163" i="3"/>
  <c r="J162" i="3"/>
  <c r="I162" i="3"/>
  <c r="J161" i="3"/>
  <c r="I161" i="3"/>
  <c r="C161" i="3"/>
  <c r="I160" i="3"/>
  <c r="J160" i="3" s="1"/>
  <c r="I159" i="3"/>
  <c r="J159" i="3" s="1"/>
  <c r="I158" i="3"/>
  <c r="J158" i="3" s="1"/>
  <c r="I157" i="3"/>
  <c r="J157" i="3" s="1"/>
  <c r="I156" i="3"/>
  <c r="J156" i="3" s="1"/>
  <c r="I155" i="3"/>
  <c r="J155" i="3" s="1"/>
  <c r="I154" i="3"/>
  <c r="J154" i="3" s="1"/>
  <c r="I153" i="3"/>
  <c r="J153" i="3" s="1"/>
  <c r="C153" i="3"/>
  <c r="J152" i="3"/>
  <c r="I152" i="3"/>
  <c r="C152" i="3"/>
  <c r="I151" i="3"/>
  <c r="J151" i="3" s="1"/>
  <c r="C151" i="3"/>
  <c r="J150" i="3"/>
  <c r="I150" i="3"/>
  <c r="J149" i="3"/>
  <c r="I149" i="3"/>
  <c r="C149" i="3"/>
  <c r="I148" i="3"/>
  <c r="J148" i="3" s="1"/>
  <c r="C148" i="3"/>
  <c r="J147" i="3"/>
  <c r="I147" i="3"/>
  <c r="C147" i="3"/>
  <c r="I146" i="3"/>
  <c r="J146" i="3" s="1"/>
  <c r="C146" i="3"/>
  <c r="J145" i="3"/>
  <c r="I145" i="3"/>
  <c r="C145" i="3"/>
  <c r="I144" i="3"/>
  <c r="J144" i="3" s="1"/>
  <c r="C144" i="3"/>
  <c r="J143" i="3"/>
  <c r="I143" i="3"/>
  <c r="C143" i="3"/>
  <c r="I142" i="3"/>
  <c r="J142" i="3" s="1"/>
  <c r="C142" i="3"/>
  <c r="J141" i="3"/>
  <c r="I141" i="3"/>
  <c r="C141" i="3"/>
  <c r="I140" i="3"/>
  <c r="J140" i="3" s="1"/>
  <c r="C140" i="3"/>
  <c r="J139" i="3"/>
  <c r="I139" i="3"/>
  <c r="C139" i="3"/>
  <c r="I138" i="3"/>
  <c r="J138" i="3" s="1"/>
  <c r="C138" i="3"/>
  <c r="J137" i="3"/>
  <c r="I137" i="3"/>
  <c r="J136" i="3"/>
  <c r="I136" i="3"/>
  <c r="C136" i="3"/>
  <c r="I135" i="3"/>
  <c r="J135" i="3" s="1"/>
  <c r="I134" i="3"/>
  <c r="J134" i="3" s="1"/>
  <c r="I133" i="3"/>
  <c r="J133" i="3" s="1"/>
  <c r="I132" i="3"/>
  <c r="J132" i="3" s="1"/>
  <c r="I131" i="3"/>
  <c r="J131" i="3" s="1"/>
  <c r="C131" i="3"/>
  <c r="J130" i="3"/>
  <c r="I130" i="3"/>
  <c r="C130" i="3"/>
  <c r="I129" i="3"/>
  <c r="J129" i="3" s="1"/>
  <c r="C129" i="3"/>
  <c r="J128" i="3"/>
  <c r="I128" i="3"/>
  <c r="C128" i="3"/>
  <c r="I127" i="3"/>
  <c r="J127" i="3" s="1"/>
  <c r="C127" i="3"/>
  <c r="J126" i="3"/>
  <c r="I126" i="3"/>
  <c r="C126" i="3"/>
  <c r="I125" i="3"/>
  <c r="J125" i="3" s="1"/>
  <c r="C125" i="3"/>
  <c r="J124" i="3"/>
  <c r="I124" i="3"/>
  <c r="C124" i="3"/>
  <c r="I123" i="3"/>
  <c r="J123" i="3" s="1"/>
  <c r="C123" i="3"/>
  <c r="J122" i="3"/>
  <c r="I122" i="3"/>
  <c r="C122" i="3"/>
  <c r="I121" i="3"/>
  <c r="J121" i="3" s="1"/>
  <c r="C121" i="3"/>
  <c r="J120" i="3"/>
  <c r="I120" i="3"/>
  <c r="C120" i="3"/>
  <c r="I119" i="3"/>
  <c r="J119" i="3" s="1"/>
  <c r="C119" i="3"/>
  <c r="J118" i="3"/>
  <c r="I118" i="3"/>
  <c r="C118" i="3"/>
  <c r="I117" i="3"/>
  <c r="J117" i="3" s="1"/>
  <c r="I116" i="3"/>
  <c r="J116" i="3" s="1"/>
  <c r="I115" i="3"/>
  <c r="J115" i="3" s="1"/>
  <c r="C115" i="3"/>
  <c r="J114" i="3"/>
  <c r="I114" i="3"/>
  <c r="C114" i="3"/>
  <c r="I113" i="3"/>
  <c r="J113" i="3" s="1"/>
  <c r="C113" i="3"/>
  <c r="J112" i="3"/>
  <c r="I112" i="3"/>
  <c r="J111" i="3"/>
  <c r="I111" i="3"/>
  <c r="J110" i="3"/>
  <c r="I110" i="3"/>
  <c r="C110" i="3"/>
  <c r="I109" i="3"/>
  <c r="J109" i="3" s="1"/>
  <c r="C109" i="3"/>
  <c r="J108" i="3"/>
  <c r="I108" i="3"/>
  <c r="C108" i="3"/>
  <c r="I107" i="3"/>
  <c r="J107" i="3" s="1"/>
  <c r="C107" i="3"/>
  <c r="J106" i="3"/>
  <c r="I106" i="3"/>
  <c r="C106" i="3"/>
  <c r="I105" i="3"/>
  <c r="J105" i="3" s="1"/>
  <c r="I104" i="3"/>
  <c r="J104" i="3" s="1"/>
  <c r="I103" i="3"/>
  <c r="J103" i="3" s="1"/>
  <c r="I102" i="3"/>
  <c r="J102" i="3" s="1"/>
  <c r="I101" i="3"/>
  <c r="J101" i="3" s="1"/>
  <c r="I100" i="3"/>
  <c r="J100" i="3" s="1"/>
  <c r="I99" i="3"/>
  <c r="J99" i="3" s="1"/>
  <c r="C99" i="3"/>
  <c r="J98" i="3"/>
  <c r="I98" i="3"/>
  <c r="J97" i="3"/>
  <c r="I97" i="3"/>
  <c r="C97" i="3"/>
  <c r="I96" i="3"/>
  <c r="J96" i="3" s="1"/>
  <c r="I95" i="3"/>
  <c r="J95" i="3" s="1"/>
  <c r="I94" i="3"/>
  <c r="J94" i="3" s="1"/>
  <c r="C94" i="3"/>
  <c r="J93" i="3"/>
  <c r="I93" i="3"/>
  <c r="J92" i="3"/>
  <c r="I92" i="3"/>
  <c r="J91" i="3"/>
  <c r="I91" i="3"/>
  <c r="J90" i="3"/>
  <c r="I90" i="3"/>
  <c r="C90" i="3"/>
  <c r="I89" i="3"/>
  <c r="J89" i="3" s="1"/>
  <c r="I88" i="3"/>
  <c r="J88" i="3" s="1"/>
  <c r="I87" i="3"/>
  <c r="J87" i="3" s="1"/>
  <c r="I86" i="3"/>
  <c r="J86" i="3" s="1"/>
  <c r="I85" i="3"/>
  <c r="J85" i="3" s="1"/>
  <c r="I84" i="3"/>
  <c r="J84" i="3" s="1"/>
  <c r="I83" i="3"/>
  <c r="J83" i="3" s="1"/>
  <c r="I82" i="3"/>
  <c r="J82" i="3" s="1"/>
  <c r="I81" i="3"/>
  <c r="J81" i="3" s="1"/>
  <c r="I80" i="3"/>
  <c r="J80" i="3" s="1"/>
  <c r="C80" i="3"/>
  <c r="J79" i="3"/>
  <c r="I79" i="3"/>
  <c r="J78" i="3"/>
  <c r="I78" i="3"/>
  <c r="J77" i="3"/>
  <c r="I77" i="3"/>
  <c r="J76" i="3"/>
  <c r="I76" i="3"/>
  <c r="C76" i="3"/>
  <c r="I75" i="3"/>
  <c r="J75" i="3" s="1"/>
  <c r="C75" i="3"/>
  <c r="J74" i="3"/>
  <c r="I74" i="3"/>
  <c r="C74" i="3"/>
  <c r="I73" i="3"/>
  <c r="J73" i="3" s="1"/>
  <c r="C73" i="3"/>
  <c r="J72" i="3"/>
  <c r="I72" i="3"/>
  <c r="J71" i="3"/>
  <c r="I71" i="3"/>
  <c r="C71" i="3"/>
  <c r="I70" i="3"/>
  <c r="J70" i="3" s="1"/>
  <c r="C70" i="3"/>
  <c r="J69" i="3"/>
  <c r="I69" i="3"/>
  <c r="C69" i="3"/>
  <c r="I68" i="3"/>
  <c r="J68" i="3" s="1"/>
  <c r="I67" i="3"/>
  <c r="J67" i="3" s="1"/>
  <c r="I66" i="3"/>
  <c r="J66" i="3" s="1"/>
  <c r="I65" i="3"/>
  <c r="J65" i="3" s="1"/>
  <c r="I64" i="3"/>
  <c r="J64" i="3" s="1"/>
  <c r="C64" i="3"/>
  <c r="J63" i="3"/>
  <c r="I63" i="3"/>
  <c r="C63" i="3"/>
  <c r="I62" i="3"/>
  <c r="J62" i="3" s="1"/>
  <c r="C62" i="3"/>
  <c r="J61" i="3"/>
  <c r="I61" i="3"/>
  <c r="J60" i="3"/>
  <c r="I60" i="3"/>
  <c r="C60" i="3"/>
  <c r="I59" i="3"/>
  <c r="J59" i="3" s="1"/>
  <c r="I58" i="3"/>
  <c r="J58" i="3" s="1"/>
  <c r="I57" i="3"/>
  <c r="J57" i="3" s="1"/>
  <c r="I56" i="3"/>
  <c r="J56" i="3" s="1"/>
  <c r="I55" i="3"/>
  <c r="J55" i="3" s="1"/>
  <c r="C55" i="3"/>
  <c r="J54" i="3"/>
  <c r="I54" i="3"/>
  <c r="J53" i="3"/>
  <c r="I53" i="3"/>
  <c r="J52" i="3"/>
  <c r="I52" i="3"/>
  <c r="C52" i="3"/>
  <c r="I51" i="3"/>
  <c r="J51" i="3" s="1"/>
  <c r="I50" i="3"/>
  <c r="J50" i="3" s="1"/>
  <c r="I49" i="3"/>
  <c r="J49" i="3" s="1"/>
  <c r="I48" i="3"/>
  <c r="J48" i="3" s="1"/>
  <c r="I47" i="3"/>
  <c r="J47" i="3" s="1"/>
  <c r="I46" i="3"/>
  <c r="J46" i="3" s="1"/>
  <c r="I45" i="3"/>
  <c r="J45" i="3" s="1"/>
  <c r="C45" i="3"/>
  <c r="J44" i="3"/>
  <c r="I44" i="3"/>
  <c r="J43" i="3"/>
  <c r="I43" i="3"/>
  <c r="C43" i="3"/>
  <c r="I42" i="3"/>
  <c r="J42" i="3" s="1"/>
  <c r="C42" i="3"/>
  <c r="J41" i="3"/>
  <c r="I41" i="3"/>
  <c r="J40" i="3"/>
  <c r="I40" i="3"/>
  <c r="J39" i="3"/>
  <c r="I39" i="3"/>
  <c r="J38" i="3"/>
  <c r="I38" i="3"/>
  <c r="C38" i="3"/>
  <c r="I37" i="3"/>
  <c r="J37" i="3" s="1"/>
  <c r="I36" i="3"/>
  <c r="J36" i="3" s="1"/>
  <c r="I35" i="3"/>
  <c r="J35" i="3" s="1"/>
  <c r="I34" i="3"/>
  <c r="J34" i="3" s="1"/>
  <c r="I33" i="3"/>
  <c r="J33" i="3" s="1"/>
  <c r="C33" i="3"/>
  <c r="J32" i="3"/>
  <c r="I32" i="3"/>
  <c r="J31" i="3"/>
  <c r="I31" i="3"/>
  <c r="J30" i="3"/>
  <c r="I30" i="3"/>
  <c r="C30" i="3"/>
  <c r="I29" i="3"/>
  <c r="J29" i="3" s="1"/>
  <c r="I28" i="3"/>
  <c r="J28" i="3" s="1"/>
  <c r="I27" i="3"/>
  <c r="J27" i="3" s="1"/>
  <c r="I26" i="3"/>
  <c r="J26" i="3" s="1"/>
  <c r="I25" i="3"/>
  <c r="J25" i="3" s="1"/>
  <c r="I24" i="3"/>
  <c r="J24" i="3" s="1"/>
  <c r="I23" i="3"/>
  <c r="J23" i="3" s="1"/>
  <c r="C23" i="3"/>
  <c r="J22" i="3"/>
  <c r="I22" i="3"/>
  <c r="J21" i="3"/>
  <c r="I21" i="3"/>
  <c r="J20" i="3"/>
  <c r="I20" i="3"/>
  <c r="J19" i="3"/>
  <c r="I19" i="3"/>
  <c r="C19" i="3"/>
  <c r="I18" i="3"/>
  <c r="J18" i="3" s="1"/>
  <c r="C18" i="3"/>
  <c r="J17" i="3"/>
  <c r="I17" i="3"/>
  <c r="J16" i="3"/>
  <c r="I16" i="3"/>
  <c r="J15" i="3"/>
  <c r="I15" i="3"/>
  <c r="J14" i="3"/>
  <c r="I14" i="3"/>
  <c r="J13" i="3"/>
  <c r="I13" i="3"/>
  <c r="C13" i="3"/>
  <c r="I12" i="3"/>
  <c r="J12" i="3" s="1"/>
  <c r="C12" i="3"/>
  <c r="J11" i="3"/>
  <c r="I11" i="3"/>
  <c r="J10" i="3"/>
  <c r="I10" i="3"/>
  <c r="C10" i="3"/>
  <c r="I9" i="3"/>
  <c r="J9" i="3" s="1"/>
  <c r="I8" i="3"/>
  <c r="J8" i="3" s="1"/>
  <c r="C8" i="3"/>
  <c r="J7" i="3"/>
  <c r="I7" i="3"/>
  <c r="C7" i="3"/>
  <c r="I6" i="3"/>
  <c r="J6" i="3" s="1"/>
  <c r="C6" i="3"/>
  <c r="J5" i="3"/>
  <c r="I5" i="3"/>
  <c r="J4" i="3"/>
  <c r="I4" i="3"/>
  <c r="J3" i="3"/>
  <c r="I3" i="3"/>
</calcChain>
</file>

<file path=xl/sharedStrings.xml><?xml version="1.0" encoding="utf-8"?>
<sst xmlns="http://schemas.openxmlformats.org/spreadsheetml/2006/main" count="2905" uniqueCount="2159">
  <si>
    <t>פונקציה</t>
  </si>
  <si>
    <t>מזהה פונקציה</t>
  </si>
  <si>
    <t>נושא</t>
  </si>
  <si>
    <t>זיהוי בקרה</t>
  </si>
  <si>
    <t>נושא משני</t>
  </si>
  <si>
    <t>רמת ערך יעד הבקרה</t>
  </si>
  <si>
    <t>הבקרה</t>
  </si>
  <si>
    <t>רמת יישום הבקרה בפועל</t>
  </si>
  <si>
    <t>פעילות מתקנת</t>
  </si>
  <si>
    <t>דגשים ביישום הבקרה</t>
  </si>
  <si>
    <t>ראיות/הוכחות ליישום הבקרה</t>
  </si>
  <si>
    <t>בקרה ברמה בסיסית - 1</t>
  </si>
  <si>
    <t>בקרה ברמה מתפתחת - 2</t>
  </si>
  <si>
    <t>בקרה ברמה מתקדמת - 3</t>
  </si>
  <si>
    <t>בקרה ברמה חדשנית - 4</t>
  </si>
  <si>
    <t>האם בקרה נהלית?</t>
  </si>
  <si>
    <t>גורם מבצע בארגון</t>
  </si>
  <si>
    <t>מקור NIST</t>
  </si>
  <si>
    <t>מיפוי ל-ISO 27001:2013</t>
  </si>
  <si>
    <t>מיפוי ל NIST CSF 1.1</t>
  </si>
  <si>
    <t>מפתח</t>
  </si>
  <si>
    <t>סטטוס</t>
  </si>
  <si>
    <t>IDENTIFY</t>
  </si>
  <si>
    <t>אחריות ההנהלה והדירקטוריון</t>
  </si>
  <si>
    <t>אחריות הדירקטוריון</t>
  </si>
  <si>
    <t>דירקטוריון הארגון אישר את מדיניות הגנת המידע והסייבר הארגונית ואת מפת הסיכונים, והקצה משאבים בהתאם</t>
  </si>
  <si>
    <t xml:space="preserve">2.  הארגון וידא כי הדירקטוריון דן בנושאים הבאים ואישר אותם לפחות פעם בשנה:
א. אסטרטגיית הגנת המידע והסייבר.
ב. קיומו של סעיף תקציבי ייחודי להגנת מידע וסייבר, אשר מספק מענה הולם ליישום תוכנית העבודה ולהתמודדות עם הסיכונים הרלוונטים.
ג. קבלת דיווחים מממונה הגנת המידע והסייבר בארגון.
ד. נחיצות ביטוח הסייבר והאחריות המקצועית (וכדומה) של הארגון והתאמתו לצרכיו.
3. הארגון וידא כי הדירקטוריון ביצע דיון תקופתי ומעקב אחר פערים משמעותיים לפחות פעמיים בשנה.
</t>
  </si>
  <si>
    <t xml:space="preserve">4. הארגון וידא כי הדירקטוריון נעזר בגורם מייעץ מקצועי, פנימי או חיצוני, בתחום הגנת המידע והסייבר. 
5. הארגון וידא כי ועדת דירקטוריון, שהוסמכה לכך, קיבלה אחת לרבעון סקירה על תוכנית ההגנה בסייבר וההמשכיות העסקית, וכי חברי הוועדה וידאו כי נסגרו פערי האבטחה בהתאם לתוכנית העבודה המאושרת.
6. הארגון וידא כי מבקר הפנים או גורם אחר מטעמו ביצע סקרים (Audit) תקופתיים לשם בחינת רמת הכשירות ומוכנות הארגון, וזאת בהתאם לפרופיל הסיכון (Risk Profile).
</t>
  </si>
  <si>
    <t>7. הארגון וידא כי לחבר דירקטוריון אחד לפחות יש ידע מעמיק בתחום הגנת המידע והסייבר. 
8. הארגון וידא כי במסגרת הדו"חות הכספיים דיווח הדירקטוריון לבעלי המניות על פעילויות הגנת מידע וסייבר משמעותיות שנוקט הארגון.
9. הארגון וידא כי חברי הדירקטוריון השתתפו באופן תקופתי (לפחות פעם בשנה) בסימולציות התקפת סייבר על הארגון הקשורות לרציפות עסקית ולתקשורת פנימית וחיצונית.</t>
  </si>
  <si>
    <t>מתודולוג</t>
  </si>
  <si>
    <t>RA-1</t>
  </si>
  <si>
    <t xml:space="preserve">A.5.1.1, A.5.1.2, A.6.1.1,
A.12.7.1, </t>
  </si>
  <si>
    <t>ניהול סיכונים</t>
  </si>
  <si>
    <t>הארגון אישר אחת לתקופה את פרופיל הסיכונים הארגוני</t>
  </si>
  <si>
    <t xml:space="preserve">1. הארגון וידא כי ההנהלה אישרה אחת לשנה לכל הפחות את הנושאים הבאים:
א. פרופיל הסיכונים הארגוני (Risk Profile) והגדרת תיאבון הסיכון.
ב. תוכנית העבודה להפחתת סיכוני הגנת מידע וסייבר.
ג. קיומו של סעיף תקציב ייעודי ונאות לעמידה בדרישות הגנת המידע והסייבר בהתאם לתוכנית העבודה, וזאת בהתאם לפרופיל הסיכון והתיאבון לסיכון.
ד. מדיניות הגנת המידע וסייבר.
</t>
  </si>
  <si>
    <t xml:space="preserve">A.5.1.1, A.5.1.2, A.6.1.1, </t>
  </si>
  <si>
    <t>הארגון זיהה את דרישות החקיקה, הרגולציה, הדרישות החוזיות והצרכים העסקיים שהוא נדרש לעמוד בהם</t>
  </si>
  <si>
    <t>A.6.1.3, A.6.1.4, A.18.1.1,A.18.1.2,A.18.1.3,A.18.1.4,A.18.1.5,</t>
  </si>
  <si>
    <t>ההנהלה מינתה פונקציה ארגונית המרכזת את תחום הגנת המידע והסייבר</t>
  </si>
  <si>
    <t>הנהלת הארגון מינתה פונקציה ארגונית אשר משמשת כ"ממונה על הגנת המידע והסייבר"</t>
  </si>
  <si>
    <t xml:space="preserve">1. יש לוודא כי הממונה על הגנת מידע וסייבר מכיר את עולם הגנת המידע והסייבר, לצד העולם העסקי.
2. יש לוודא כי הממונה על הגנת מידע וסייבר מדווח ישירות ובאופן תקופתי למנכ"ל הארגון ולדירקטוריון על מצב הגנת המידע והסייבר, וזאת תוך מתן דגש לאירועים המתרחשים בארגון וסקטור הפעילות ודרכי ההתמודדות עמם.
3. יש לעיין בתקנות הגנת הפרטיות (אבטחת מידע).
</t>
  </si>
  <si>
    <t>1. ודאו כי לממונה על הגנת המידע והסייבר יש כתב מינוי המאושר על ידי הנהלת החברה.
2. ודאו כי רמת הידע של הממונה על הגנת המידע והסייבר עונה על הדרישות בפועל. ניתן לעשות זאת, למשל, באמצעות בחינת הסמכות מקצועיות, ניסיון תעסוקתי או תשאול.
3. ודאו כי מצבת כוח האדם של גוף הגנת המידע והסייבר עונה על צרכים בפועל.
4. ודאו כי תקציב הגנת המידע והסייבר עונה לפרופיל הסיכונים של הארגון.
5. ודאו כי לממונה הגנת המידע והסייבר תקציב ייעודי למילוי תפקידו.
6. ודאו כי ברשות הממונה על הגנת המידע והסייבר תוכנית עבודה סדורה ומאושרת.</t>
  </si>
  <si>
    <t>1. הארגון וידא כי ההנהלה מינתה נושא משרה בעל ניסיון מקצועי וכישורים מתאימים לטובת ביצוע התפקיד. בכלל זה, יש לוודא כי לגורם הממונה יש מחליף המסוגל לתפוס את מקומו במקרה של היעדרות.
2. הארגון וידא כי ברשות ממונה הגנת המידע והסייבר תוכנית עבודה סדורה ומאושרת.</t>
  </si>
  <si>
    <t xml:space="preserve">3. הארגון וידא כי ממונה הגנת המידע והסייבר משולב בתהליכים העסקיים ובצמתים הנדרשים בתהליכים השונים, כגון ועדות היגוי, אבטחה פיזית, תהליכי רכש ותהליכי מחשוב.
</t>
  </si>
  <si>
    <t xml:space="preserve">4. הארגון וידא כי ממונה הגנת המידע והסייבר אינו עוסק בתחומים נוספים על תפקידו.
</t>
  </si>
  <si>
    <t xml:space="preserve">5 הארגון וידא כי ממונה הגנת המידע והסייבר הוא חבר הנהלה ומהווה יחידה עצמאית לקבלת החלטות תפעוליות ותקציביות בתחום אחריותו.
6. הארגון וידא כי ממונה הגנת המידע והסייבר כפוף ישירות למנכ"ל.
</t>
  </si>
  <si>
    <t>RA-3</t>
  </si>
  <si>
    <t xml:space="preserve">A.5.1.1, A.5.1.2, A.6.1.1,
A.6.1.2,
A.6.1.5, </t>
  </si>
  <si>
    <t>תקין</t>
  </si>
  <si>
    <t>ניהול סיכונים והערכת סיכונים</t>
  </si>
  <si>
    <t>מיפוי יעדי ההגנה וקביעת רמת הסיכון של כל יעד ההגנה</t>
  </si>
  <si>
    <t>הארגון מבצע מיפוי של יעדי ההגנה, וקובע את רמת הסיכון של כל אחד מהם</t>
  </si>
  <si>
    <t>RA-2</t>
  </si>
  <si>
    <t>A.8.1.1, A.8.1.2, A.8.1.3, A.8.1.4</t>
  </si>
  <si>
    <t>V</t>
  </si>
  <si>
    <t>שיטות ונוהלי עבודה בהגנת מידע וסייבר</t>
  </si>
  <si>
    <t>הארגון וידא כי יישם תהליך לפיתוח שיטות עבודה וכתיבת נוהלי עבודה במסגרת תהליכי הגנת מידע וסייבר</t>
  </si>
  <si>
    <t>1. ודאו קיום נוהלי עבודה בהתאם לנדרש בפרופיל הסיכון של הארגון.
2. ודאו את עדכניות נוהלי העבודה - שנה לאחור לכל היותר, וכי גורם מורשה אישר את תכולתם.
3. ודאו שילוב של נוהלי עבודה בתהליכי הציות וארגון השיטות של הארגון.
4. ודאו קיומו של בעל תפקיד האחראי לעדכון כל נוהל.
5. ודאו קיום סקר פנימי/חיצוני להערכת מידת ההתאמה של נוהלי העבודה להשגת המטרות, וכי ההמלצות ליישום בוצעו בהתאם לסד הזמנים המאושר.
6. ודאו כי נוהלי העבודה מבוססים על מתודות מקובלות ועדכניות בתחום.
7. ודאו כי נוהלי העבודה העדכניים נגישים למשתמשים באמצעות מערכת טכנולוגית (דוגמת פורטל ארגוני), וכי העתק מודפס של הנהלים זמין למקרה הצורך.
8. ודאו כי נוהלי העבודה העדכניים כוללים התייחסות לכללי התנהגות מצופים (Acceptable Use Policies) מבעלי העניין השונים (Stakeholders).
9. ודאו באופן מדגמי את תאימות נוהלי העבודה למדיניות הגנת המידע והסייבר העדכנית.</t>
  </si>
  <si>
    <t xml:space="preserve">1. הארגון וידא כי הוא כתב נוהלי עבודה בנושא הגנת מידע וסייבר.
2. הארגון וידא כי מתבצעת בחינה תקופתית של עדכניות נוהלי העבודה בנושא הגנת מידע וסייבר.
3. הארגון וידא כי הגדיר והטמיע שגרות אבטחה לבחינת אפקטיביות ויעילות אמצעי האבטחה. 
4. הארגון וידא כי נוהלי העבודה העדכניים נגישים למשתמשים באמצעות מערכת טכנולוגית (דוגמת פורטל ארגוני), וכי העתק מודפס של הנהלים זמין למקרה הצורך.
5. הארגון וידא כי הנהלים ושיטות העבודה שהוא קבע לצורך התחזוקה של יעדי ההגנה הם בהתאם להמלצות היצרנים.
</t>
  </si>
  <si>
    <t xml:space="preserve">6. הארגון וידא כי גורם ניהולי מאשר את נוהלי העבודה בנושא הגנת מידע וסייבר.
7. הארגון וידא כי הוא מינה בעל תפקיד האחראי לעדכניות כל נוהל עבודה בנושא הגנת מידע וסייבר.
</t>
  </si>
  <si>
    <t>כן</t>
  </si>
  <si>
    <t>A.8.1.3, A.9.3.1, A.12.1.1,A.18.1.4,A.18.2.2,</t>
  </si>
  <si>
    <t>ביטוח סייבר</t>
  </si>
  <si>
    <t xml:space="preserve">הנהלת הארגון בוחנת שימוש בביטוח סייבר כבקרה מפצה (Composite Control)
</t>
  </si>
  <si>
    <t>1. בתהליך ניהול הסיכונים אין להסתמך על ביטוח סייבר כמענה שלם לפיצוי/שיפוי במקרה של אירוע הגנת מידע וסייבר, מפני שהפיצוי/השיפוי מותנה בקבלת אישור מחברת הביטוח או גורם אחר מוסמך.
2. בקרה זו אינה מהווה ייעוץ ביטוחי, ובאחריות הארגון להתייעץ עם יועץ מתאים בעל רישיון תקף לפני קבלת החלטות בנושא ביטוח סייבר.
3. יש לתת את הדעת על כך שבניהול הסיכונים קשה להעריך מראש את הנזקים שאינם כספיים (דוגמת מוניטין), ולפיכך הנזק במקרה של אירוע סייבר יכול להיות שונה משמעותית מהכיסוי שמציעה פוליסת הביטוח כברירת מחדל.
4. סביר להניח כי ארגוני SMB ומעלה יידרשו לביטוח סייבר Tailor Made. 
5. בעת בחינת הפוליסה, יש לבדוק אם תכולת הביטוח כוללת התייחסות לנושאים הבאים, לכל הפחות:
א. Incident Response Costs
ב. Data Privacy Liability
ג. Data Recovery Costs
ד. Business Interruption Loss
ה. Regulatory Defense
ו. Cyber Extortion
ז. Multimedia Liability
ח. Reputational Damage
ט. Network Liability
י. Contingent Business Interruption Loss
יא. Technology Errors &amp; Omissions Liability
יב. Financial Theft and Fraud</t>
  </si>
  <si>
    <t>1. ודאו כי ברשות הארגון פוליסת ביטוח תקפה, אשר מחודשת באופן אוטומטי.
2.ודאו כי תנאי הפוליסה עונים לדרישות הארגון. יש להיעזר ביועץ ביטוח מורשה ולתשאל את בעלי התפקיד הרלוונטים בארגון.
3. ודאו כי ההנהלה והדירקטוריון מודעים למגבלות הקיימות בפוליסה.
4. ודאו באמצעות תרגולת כי איכות המענה מצד חברת הביטוח עומדת בדרישות הארגון.
5. ודאו כי הארגון עומד בדרישות החיתום/חידוש חיתום של הפוליסה.</t>
  </si>
  <si>
    <t xml:space="preserve">1. הארגון וידא כי בחן באמצעות יועץ ביטוחי את הצורך בפוליסת סייבר.  
2. הארגון וידא כי נבחנה עדכניות הפוליסה בהתאם לחידושים בעולם הביטוח, וכי ניתנו המלצות להפעלת הפוליסה במסגרת אירוע סייבר בכל עת.
</t>
  </si>
  <si>
    <r>
      <rPr>
        <sz val="12"/>
        <color theme="1"/>
        <rFont val="Calibri"/>
      </rPr>
      <t xml:space="preserve">3. הארגון וידא כי תכולת הביטוח כוללת התייחסות לנושאים הבאים, לכל הפחות:
</t>
    </r>
    <r>
      <rPr>
        <b/>
        <u/>
        <sz val="12"/>
        <color theme="1"/>
        <rFont val="Calibri"/>
      </rPr>
      <t xml:space="preserve">א. כיסוי נזקים של העסק עצמו </t>
    </r>
    <r>
      <rPr>
        <sz val="12"/>
        <color theme="1"/>
        <rFont val="Calibri"/>
      </rPr>
      <t xml:space="preserve">
1. כל אירוע סייבר בתשתית התקשוב שגרם באופן ישיר או עקיף לנזק ממוני ולא ממוני לארגון (דוגמת פגיעה בתפקוד עסקי, הפרת הסכם, שיבוש הליכי מכירה, פגיעה בתזרים המזומנים, שיבוש הליכים חשבונאיים, פגיעה במוניטין, ירידה בערך מניה, השמצה, הוצאת דיבה או הפרת זכויות יוצרים), בין אם בשל אירוע חיצוני או אירוע פנימי, במזיד או בשוגג.
2. תשלום קנסות או עיצומים בני ביטוח. 
3. הוצאות משפטיות בגין התגוננות בערכאות משפטיות, או בקרב גורמי אכיפה ורגולציה.
4. הוצאות בגין ביצוע פעולות איתור והסרת מידע ארגוני ממקורות מידע מקובלים, דוגמת האינטרנט וה-Darknet.
5. עלויות שחזור מידע וחזרה למצב עבודה תקין, וזאת בהתאם למדדים שהארגון וידא כי הגדיר (ראו בקרות Recovery בנדון), כולל תשלומים למומחים ויועצים רלוונטיים, רכש חומרה ותוכנה, שכירת מתקן עבודה חלופי, הובלה, יבוא וכו'.
6. תשלום הוצאות דיווח ללקוחות / נפגעי זליגת המידע - במקרה של אירוע סייבר המחייב יידוע נשואי המידע.
7. כיסוי לסחיטה – שיפוי בגין כספים ששולמו או שנדרש לשלם בעקבות סחיטת סייבר ונזקים הנלווים לה, לרבות תשלום כופר בין אם בשל אירוע חיצוני או אירוע פנימי במזיד.
</t>
    </r>
    <r>
      <rPr>
        <b/>
        <u/>
        <sz val="12"/>
        <color theme="1"/>
        <rFont val="Calibri"/>
      </rPr>
      <t xml:space="preserve">ב. חבות לנזקי צד ג'
</t>
    </r>
    <r>
      <rPr>
        <sz val="12"/>
        <color theme="1"/>
        <rFont val="Calibri"/>
      </rPr>
      <t xml:space="preserve">1. בגין אירוע סייבר בתשתית התקשוב שגרם באופן ישיר או עקיף לנזק ממוני ולא ממוני לצד ג' (דוגמת פגיעה בתפקוד עסקי, הפרת הסכם, שיבוש הליכי מכירה, פגיעה בתזרים המזומנים, שיבוש הליכים חשבונאיים, פגיעה במוניטין, ירידה בערך מניה, השמצה, הוצאת דיבה או הפרת זכויות יוצרים), בין אם בשל אירוע חיצוני או אירוע פנימי, במזיד או בשוגג.
</t>
    </r>
    <r>
      <rPr>
        <b/>
        <u/>
        <sz val="12"/>
        <color theme="1"/>
        <rFont val="Calibri"/>
      </rPr>
      <t xml:space="preserve">ג. שירותי ניהול אירוע הגנת מידע וסייבר 
</t>
    </r>
    <r>
      <rPr>
        <sz val="12"/>
        <color theme="1"/>
        <rFont val="Calibri"/>
      </rPr>
      <t xml:space="preserve">1. תשלום הוצאות מומחי סייבר – דוגמת IRT (Incident Response Team).
2. תשלום הוצאות בגין ניהול משבר – דוגמת יועץ ניהול משברים, יועץ משפטי, דוברות, מעצבי דעה או פרסום.
3. הארגון בוחן באופן תקופתי את רמת המוכנות והכשירות של ספקי שירותי ניהול האירוע.
</t>
    </r>
  </si>
  <si>
    <r>
      <rPr>
        <sz val="12"/>
        <color theme="1"/>
        <rFont val="Calibri"/>
      </rPr>
      <t xml:space="preserve">4. תכולת הביטוח כוללת התייחסות לנושאים הבאים, לכל הפחות:
</t>
    </r>
    <r>
      <rPr>
        <b/>
        <u/>
        <sz val="12"/>
        <color theme="1"/>
        <rFont val="Calibri"/>
      </rPr>
      <t xml:space="preserve">א. כיסוי נזקים של העסק עצמו </t>
    </r>
    <r>
      <rPr>
        <sz val="12"/>
        <color theme="1"/>
        <rFont val="Calibri"/>
      </rPr>
      <t xml:space="preserve">– הארגון בחן את ההתאמה לצרכיו בעת רכישת פוליסת ביטוח אחריות מקצועית משולבת בפוליסה לכיסוי נזקי סייבר. כמו כן, הארגון חוזר על בדיקה זו באופן תקופתי.
</t>
    </r>
    <r>
      <rPr>
        <b/>
        <u/>
        <sz val="12"/>
        <color theme="1"/>
        <rFont val="Calibri"/>
      </rPr>
      <t xml:space="preserve">ב. חבות לנזקי צד ג' </t>
    </r>
    <r>
      <rPr>
        <sz val="12"/>
        <color theme="1"/>
        <rFont val="Calibri"/>
      </rPr>
      <t xml:space="preserve">– שיפוי לסחיטה של צד ג' הנובעת מפעילות עובד של הארגון. 
</t>
    </r>
    <r>
      <rPr>
        <b/>
        <u/>
        <sz val="12"/>
        <color theme="1"/>
        <rFont val="Calibri"/>
      </rPr>
      <t>ג. שירותי ניהול אירוע הגנת מידע וסייבר</t>
    </r>
    <r>
      <rPr>
        <sz val="12"/>
        <color theme="1"/>
        <rFont val="Calibri"/>
      </rPr>
      <t xml:space="preserve"> – תשלום שכר שמאי סייבר צד-שלישי, אשר מסייע לארגון להעריך את הנזק שנגרם לו.</t>
    </r>
  </si>
  <si>
    <r>
      <rPr>
        <sz val="12"/>
        <color theme="1"/>
        <rFont val="Calibri"/>
      </rPr>
      <t xml:space="preserve">5. הארגון וידא כי תכולת הביטוח כוללת התייחסות לנושאים הבאים, לכל הפחות:
</t>
    </r>
    <r>
      <rPr>
        <b/>
        <u/>
        <sz val="12"/>
        <color theme="1"/>
        <rFont val="Calibri"/>
      </rPr>
      <t>א. כיסוי נזקים של העסק עצמו</t>
    </r>
    <r>
      <rPr>
        <sz val="12"/>
        <color theme="1"/>
        <rFont val="Calibri"/>
      </rPr>
      <t xml:space="preserve"> – כל אירוע סייבר בתשתית התקשוב אשר גרם באופן ישיר או עקיף לפגיעה בנפש בארגון, לרבות פציעה ונכות, בין אם בשל אירוע חיצוני או אירוע פנימי, במזיד או בשוגג.
</t>
    </r>
    <r>
      <rPr>
        <b/>
        <u/>
        <sz val="12"/>
        <color theme="1"/>
        <rFont val="Calibri"/>
      </rPr>
      <t>ב. חבות לנזקי צד ג'</t>
    </r>
    <r>
      <rPr>
        <sz val="12"/>
        <color theme="1"/>
        <rFont val="Calibri"/>
      </rPr>
      <t xml:space="preserve"> – כל אירוע סייבר בתשתית התקשוב אשר גרם באופן ישיר או עקיף לפגיעה בנפש של צד ג', לרבות פציעה ונכות, בין אם בשל אירוע חיצוני או אירוע פנימי, במזיד או בשוגג.
</t>
    </r>
    <r>
      <rPr>
        <b/>
        <u/>
        <sz val="12"/>
        <color theme="1"/>
        <rFont val="Calibri"/>
      </rPr>
      <t xml:space="preserve">ג. שירותי ניהול אירוע הגנת מידע וסייבר </t>
    </r>
    <r>
      <rPr>
        <sz val="12"/>
        <color theme="1"/>
        <rFont val="Calibri"/>
      </rPr>
      <t xml:space="preserve">
1. הפוליסה מקנה לארגון חופש פעולה מלא בבחירת ספקי השירות שיופעלו על-ידו בעת הצורך (דוגמת ספק IRT).
2.  הפוליסה אינה כוללת החרגות, דוגמת מקרה של כוח עליון (Force Majeure); פגיעה בגובה הכיסוי עקב תקלה/טעות אנוש/רשלנות/ביצוע פעולה בשוויון נפש או פעולה בזדון מצד כל גורם (לרבות אירוע סייבר הנובע ממצב לחימה/טרור); או מגבלות זמן ומקום.</t>
    </r>
  </si>
  <si>
    <t>A.18.1.1, A.18.1.2</t>
  </si>
  <si>
    <t>PROTECT</t>
  </si>
  <si>
    <t>בקרת גישה</t>
  </si>
  <si>
    <t>3.1</t>
  </si>
  <si>
    <t xml:space="preserve">מדיניות ונוהלי בקרת גישה ליעדי ההגנה </t>
  </si>
  <si>
    <t xml:space="preserve">הארגון וידא כי קבע מדיניות ונוהלי עבודה המגדירים את אופן הגישה ליעדי ההגנה </t>
  </si>
  <si>
    <t>1. הארגון וידא כי הגדיר מדיניות גישה ליעדי ההגנה השונים תוך התייחסות למישור הפיזי והלוגי.
2. הארגון וידא כי אחת לשנה, לכל הפחות, נסקרת רשימת המשתמשים האנושיים והתפקידים שהם ממלאים, ומתבצע תיקוף של הצורך בקיומם.
3. הארגון וידא כי אחת לשנה, לכל הפחות, נסקרת רשימת חשבונות משתמשים אפליקטיביים (לרבות חשבונות מחשב), ומתבצע תיקוף של הצורך בקיומם.
4. הארגון וידא כי לכל משתמש מוקצה חשבון אישי, וכי אסור לו לחלוק את פרטי האימות עם משתמשים אחרים בארגון.
5. הארגון וידא כי תהליך הגישה מתבצע בהתאם לעיקרון "מתן גישה נמוכה" (Least Access Privilege).
6. הארגון וידא כי תהליך מתן ההרשאות מתבצע בהתאם לעיקרון "מתן הרשאות נמוכות" (Least Privilege).
7. הארגון וידא כי תהליך מתן ההרשאות מתבצע בהתאם לעיקרון "הצורך לדעת" (Need to know).
8. הארגון וידא כי הרשאות גישה ניתנות למשתמשים בעלי רמת מהימנות (Security Clearance) ההולמת את מדרג הסיכון.
9. הארגון וידא כי הגדיר תהליך לניהול מחזור החיים של חשבונות משתמש אנושי/אפליקטיבי (לרבות חשבון מחשב).
10. הארגון וידא כי הגדיר תהליך לצמצום מידע הנחשף בתהליך האימות וניהול ההרשאות למשתמש עצמו, ולגורמי צד-שלישי.
11. הארגון וידא כי ביצע אחת לשנה לפחות בדיקת חשבונות משתמשים אנושיים/אפליקטיביים (לרבות חשבון מחשב) ביחס לצרכים בפועל (Access Review).
12. הארגון וידא כי ביצע אחת לשנה לפחות בדיקת הרשאות של המשתמשים ביחס לצרכים בפועל (Access Review).
13. הארגון וידא כי כברירת מחדל לא ניתן לגשת ליעדי ההגנה ללא השלמת אימות מוצלח.
14. הארגון וידא כי כברירת מחדל הרשאת הגישה היא מניעה (Deny-All).
15. הארגון וידא כי הגביל את זמני הפעילות של חשבון המשתמש האנושי/האפליקטיבי (לרבות חשבון מחשב) בהתאם לצורך.
16. הארגון וידא כי הטמיע שיטות הגנה מקובלות ועדכניות להגנה על פעילות (Session) משתמש אנושי/אפליקטיבי (לרבות חשבון מחשב).
17. הארגון וידא כי שיטת האימות של המשתמשים עומדת בדרישות הרב"א (LOA – Level of Assurance). ראו גם בקרת "אמצעי הזדהות, אימות ואכיפת מדיניות ארגונית".
18. הארגון וידא הוחלה מדיניות סיסמאות בהתאם לסטנדרטים מקובלים ועדכניים. ראו גם בקרת "מדיניות סיסמאות".</t>
  </si>
  <si>
    <t>AC-2</t>
  </si>
  <si>
    <t>A.5.1.1, A.5.1.2, A.6.1.2
A.9.2.1,
A.9.2.2, A.9.2.3, A.9.2.4, A.9.2.5, A.9.2.6, A.9.1.1
A.9.1.2, A.9.4.1,
A.18.2.2,</t>
  </si>
  <si>
    <t>3.2</t>
  </si>
  <si>
    <t>הגדרת מודל ליישום בקרת גישה</t>
  </si>
  <si>
    <t>1. הארגון וידא כי הוא משתמש בבקרת גישה מסוג "רשימת בקרת גישה" (ACL – Access Control List). לפי גישה זו, הרשאות המשתמש נקבעות מראש באמצעות הגדרתן ברשימה סגורה.</t>
  </si>
  <si>
    <t>2. הארגון וידא כי הוא משתמש בבקרת גישה מסוג "גישה מבוססת תפקידים" (RBAC - Role-Based Access Control). לפי גישה זו, המשתמשים משויכים לתפקידים במערכת, ואילו ההרשאות ניתנות לתפקידים - כך שהמשתמשים מקבלים את ההרשאות בהתאם לתפקידם.</t>
  </si>
  <si>
    <t>3. הארגון וידא כי הוא משתמש בבקרת גישה מסוג "גישה מבוססת תכונות" (ABAC - Attribute-Based Access Control). לפי גישה זו, הרשאות המשתמש נקבעות בזמן הריצה בהתאם לתכונות שונות, לרבות התפקיד ומסגרת זמן נתונה, למשל. לעתים מודל זה מכונה גם Fine-Grained Authorization או PBAC (Policy-Based Access Control). בסביבת ענן המימוש השכיח למודל זה הוא Conditional Access.</t>
  </si>
  <si>
    <t>4. הארגון וידא כי הוא משתמש בבקרת גישה מסוג "גישה מבוססת סיכון מסתגל" (RAdAC - Risk Adaptive-Based Access Control). על פי גישה זו, מתבצעת הרחבה למודל גישה מבוססת תכונה (ABAC), כך שהרשאות המשתמש נקבעות בזמן הריצה בהתאם לתכונות שונות ותוך התחשבות ברמת הסיכון. בסביבת ענן המימוש השכיח למודל זה הוא Risk-Based Conditional Access.</t>
  </si>
  <si>
    <t>מתודולוג + טכנולוג + מיישם</t>
  </si>
  <si>
    <t>AC-2(3), AC-2(11), AC-3, AC-6, AC-7, AC-10, AC-11, AC-2 (12)</t>
  </si>
  <si>
    <t>A.9.1.2, A.9.4.1, A.9.4.2</t>
  </si>
  <si>
    <t>3.3</t>
  </si>
  <si>
    <t>אמצעי רישום, אימות ואכיפת מדיניות ארגונית</t>
  </si>
  <si>
    <t>1. יש לפנות לבקרת "הגדרת מודל ליישום בקרת גישה".
2. יש להסתיר פרטי זיהוי בעת הזנתם (דוגמת שדה סיסמה).
3. יש לוודא כי שם המשתמש אינו מוצג כאשר יעד ההגנה נעול (Lock).
4. יש לוודא כי אין זהות מלאה בין פריטי אימות המשמשים לגישה מרחוק, לאלו המשתמשים לגישה לרשת הארגון.
5. יש לבדוק אם פתרון ה-IAM שהארגון עושה בו שימוש מאפשר אכיפה של מגבלת כמות פעילויות (Sessions) בזמן נתון (1 כברירת מחדל). ואם לא, יש לממש בקרה מפצה.
6. ככלל, אין לאפשר שימוש בחשבונות משתמשים מקומיים ביעדי ההגנה.
7. באחריות נותני השירותים להגדיר מהי הרגישות (או הסיכון) שבמתן השירות, ולקבוע בהתאם את רמת הבטחת האימות הנדרשת עבורו.
8. בעת שימוש בטכנולוגיה ביומטרית יש לוודא כי קיימת יכולת פעילה לבדיקת "חיות" (Liveness). ככלל, אין לאפשר שימוש בפתרונות ביומטריים אם אין יכולת פעילה ואפקטיבית כזו.
9. יש לוודא כי תהליך האימות כולל התייחסות למיקום הפיזי/הלוגי (דוגמת GPS או כתובת IP) של יעד ההגנה/המשתמש, וכי בהתאם לסיכון מוחלת רמת אמון מתאימה, וכן הגבלת גישה/שימוש במקרה הצורך.
10. יש להתייחס לבקרת "ארכיטקטורת אפס אמון" (Zero-Trust Architecture).
11. יש לשקול עבודה עם אימות מבוזר (Distributed Authentication) - עבודה ללא מערכת ניהול מרכזי:
ארגון המחליט לעבוד עם אימות מבוזר מיישם מבנה התמודדות ייעודית עם תרחישי איום שיוגדרו על ידו, לרבות מצבי קיצון (דוגמת 51% Attack, Double Spending בסביבת Blockchain).
12. בעת התחברות מרחוק יש לעשות שימוש ברב"א 3 ומעלה (MFA).
13. להלן סקירה של פריטי אימות שכיחים בעת חיבור יעד הגנה לרשת ארגונית:
א. כתובת MAC
ב. חברות ב-Domain/Realm
ג. מזהה ייחודי במערכת הקבצים או ה-Registry
ד. תעודה דיגיטלית (Digital Certificate)
ה. אימות הדדי (Mutual Authentication) בין יעד ההגנה לשרת האימות על בסיס תעודות דיגיטליות (mTLS).
ו. IME\MEIDI
ז. Device Fingerprinting\Profiling
ח. Geo-Location \ Geo-Fencing
14. להלן סקירה של פריטי אימות שכיחים ברמת משתמש:
א. שם משתמש + סיסמה
ב. OTP
ג. כרטיס חכם (Smart Card)
ד. כרטיס חכם (Smart Card) מבוסס תקן FIDO
ה. ביומטריה
15. להלן סקירה של פריטי אימות מקדים (Pre-Authentication) שכיחים:
א. Port Knocking
ב. SPA (Single Packet Authorization)
ג. Electric Knocking
16. מומלץ כי משתמשים חזקים יעשו שימוש כרטיס חכם (Smart Card) מבוסס תקן FIDO.
17. הוגדרו ארבע רמות הבטחת אימות - רב"א (Assurance of Levels): 
א. רמה 1: רמת ביטחון נמוכה/מעטה/חלשה, או ללא ביטחון כלל בזהות הנטענת (סיכון נמוך).
ב. רמה 2: רמת ביטחון בינונית/מסוימת בזהות הנטענת (סיכון בינוני).
ג. רמה 3: רמת ביטחון גבוהה בזהות הנטענת (סיכון גבוה).
ד. רמה 4: רמת ביטחון גבוהה מאוד בזהות הנטענת (סיכון גבוה מאוד).
להרחבה ראו מסמכי מערך הסייבר הלאומי בנושא "הזדהות בטוחה".
18. יש לוודא כי ברשות הארגון מערכת ניהול מרכזית להרשאות ולהזדהות.</t>
  </si>
  <si>
    <t>1. ודאו כי הוחלו הגדרות תצורה בהתאם לנדרש, וזאת באמצעות ביצוע בדיקות מדגמיות ביעדי ההגנה.
2. ודאו כי שיטת האימות שבה משתמש הארגון מספקת מענה נגד תקיפות סייבר דוגמת Account Takeover.
3. ודאו כי קיימת הפרדה פיזית/לוגית בין יעדי הגנה המשרתים עובדי מיקור חוץ ועובדים רגילים. 
4. ודאו באופן מדגמי כי לא ניתן לחבר לרשת הארגון יעדי הגנה לא מורשים.
5. ודאו כי ברשות הארגון פתרון NAC\SASE או פתרון אחר לניהול מרכזי של תהליך האימות של חשבונות המחשבים.
6. ודאו כי ברשות הארגון פתרון IAM\AD או פתרון אחר לניהול מרכזי של תהליך האימות של המשתמשים.
7. ודאו כי לא ניתן לחבר לרשת הארגון יעדי הגנה שאינם עומדים בדרישות היגיינת סייבר טכנולוגית.
8. ודאו כי נעשה שימוש בפרוטוקולים מאובטחים לניהול הרשאות והזדהות.
9. ודאו כי משתמש/יעד הגנה אינו יכול לפתוח יותר מפעילות (Session) אחת בזמן נתון.
10. ודאו כי המשתמשים עושים שימוש ב-MFA.
11. ודאו כי ממשק ה-Login אינו מציג את פרטי המשתמש האחרון שניגש ליעד ההגנה.
12. ודאו כי לא ניתן לראות את הסיסמה בעת הקלדתה.
13. ודאו את קיומם של אמצעים טכנולוגיים מתאימים למימוש דרישות הבקרה בהתאם לעומק היישום.
14. ודאו כי הופעלה אכיפה באמצעות תקן 802.1x במערך תקשורת הנתונים.
15. ודאו כי ברשות הארגון תהליך סדור לנושא Know Your Customer (KYC).
16. ודאו באופן מדגמי כי למשתמשים ביעדי ההגנה אין הרשאות עודפות (לרבות חשבונות Guest\Anonymous וכד').
17. ודאו באופן מדגמי כי לא נעשה שימוש בחשבונות משתמש אנושי/אפליקטיבי (לרבות חשבון מחשב) גנריים או שמות מחשב המסגירים את התפקיד או עושים שימוש במידע אישי.
18. ודאו באופן מדגמי כי מומשו מנגנוני הגנה על פעילות (Session)  המשתמשים.
19. ודאו באופן מדגמי כי משתמשי הארגון אינם נחשפים לסיסמת חשבונות אפליקטיביים, וכי תהליך החלפת הסיסמה מתבצע ללא מעורבות יד-אדם.
20. ודאו כי נעשה שימוש בשיטות אימות מקובלות למחשבים ומשתמשים, כמו MFA ו-802.1x.
21. ודאו כי ברשות הארגון תיעוד עדכני של חשבונות המשתמשים האנושיים, האפליקטיביים וחשבונות מכונה (חשבון מחשב), וכן רמת ההרשאות שלהם.
22. ודאו כי ברשות הארגון מיפוי עדכני של קבוצות ומשתמשים רגישים (דוגמת VIP).
23. ודאו כי ברשות הארגון פרטי קשר עדכניים של המשתמשים.
24. ודאו כי כאשר למשתמש/יעד ההגנה ישנו מדרג סיכון חריג, המערכת מגבילה את ההרשאות, כך שבמקרה של אירוע סייבר הנזק שייגרם יהיה מצומצם יותר.
25. ודאו באופן מדגמי כי קיים תיעוד לפעילות בלוג או בהקלטת פעילות (בהתאם לעומק היישום הנדרש).</t>
  </si>
  <si>
    <t>טכנולוג + מיישם</t>
  </si>
  <si>
    <t xml:space="preserve">A.9.2.2,
A.9.2.4,
A.9.4.2,
A.18.2.2, </t>
  </si>
  <si>
    <t>3.4</t>
  </si>
  <si>
    <t>הגנה על יישום/נתון ביומטרי</t>
  </si>
  <si>
    <t>הארגון וידא כי הטמיע מערך הגנה על יישומים/נתונים ביומטריים ומנהל מעקב אחר רמת האבטחה ואמצעי ההגנה באופן שוטף</t>
  </si>
  <si>
    <t>1. יש לפנות לבקרת "מהימנות עובדים/בדיקות רקע".
2. בעת תכנון ומימוש של היישום הביומטרי יש לתת את הדעת על נושאי שמירה על הפרטיות, כבוד האדם ואוכלוסיות מיוחדות, וזאת במשך כל מחזור החיים של היישום. 
3. יש להכיר את נספח הקווים המנחים של המדיניות הלאומית ליישומים ביומטריים, כדי לחשב את רמת הסיכון הנובעת מהיישום הספציפי באמצעות ה"מחשבון" שבאתר מערך הסייבר הלאומי. בנוסף, יש להבין את מכלול הבקרות שחלות עליו במספר תחומים - ולא רק בהיבטי הגנת מידע וסייבר.
4. המחשבון מסווג את היישומים לשלוש רמות של סיכון: ירוק לסיכון נמוך, צהוב לבינוני ואדום לגבוה. 
5. אם רמת הסיכון היא צהוב או אדום מומלץ לעדכן את היחידה להזדהות וליישומים ביומטריים במערך הסייבר הלאומי.
6. יש לוודא כי מונה בעל תפקיד לנושא המאגר הביומטרי, כמצוין בפרק זיהוי (Identify).
7. הוכחת בקרה באמצעות שימוש במחשבון:
א. הוכחת בקרה באמצעות מחשבון "הזדהות בטוחה".
ב. הוכחת בקרה באמצעות מחשבון "יישומים ביומטריים".
8. במקרה של סתירה בין האמור בבקרה זו לבקרות אחרות, יש לאמץ את הדרישה המחמירה מבין החלופות.
9. יש לעיין בתקנות הגנת הפרטיות (אבטחת מידע) תשע"ז-2017, ולפעול בהתאם.
10. יש לתת את הדעת על כך שאחסון מידע ביומטרי מחוץ לתחומי מדינת ישראל עלול להיות אסור בהתאם לדרישות חוק ורגולציה.
11. מומלץ להתייעץ עם הממונה על היישומים הביומטריים במערך הסייבר הלאומי בשלבים השונים של מחזור החיים - הייזום, ההקמה, התחזוקה והגריטה.
12. בעת עבודה עם ספק חיצוני (לרבות מיקור חוץ) יש לתת את הדעת על כך שהדבר אינו מסיר את האחריות מצד הארגון.
13. בעת עבודה עם ספק חיצוני (לרבות מיקור חוץ) חשוב לזכור כי יש לעגן את דרישות האבטחה בהסכם ההתקשרות עם הספק, לרבות קיומם של מנגנונים אפקטיביים של בקרה ואכיפה.
14. ראוי לציין כי עמידה בתקנים (דוגמת ISO 27001) או בתקנות אינה מבטיחה כי הארגון עונה באופן מלא לדרישות ההגנה על יישום/נתון ביומטרי, ולפיכך יש לוודא כי הארגון עומד בדרישות המדיניות המלאה והעדכנית מטעם מערך הסייבר הלאומי.
15. יש לפנות לבקרה "הגנה על יעדי ההגנה העושים שימוש בבינה מלאכותית (Artificial Intelligence)".</t>
  </si>
  <si>
    <t>1. ודאו כי קיימת תשתית נדרשת לניהול אבטחת יישומים ביומטריים, וזאת בכפוף לסיווג שיינתן לאותו יישום.
2. ודאו כי כבר בשלב הייזום הייתה מעורבות של ממונה הגנת מידע וסייבר.
3. ודאו כי מתבצעות בדיקות חוסן לרמת האבטחה על ידי גורם שאינו נמנה עם גורמי התחזוקה והתפעול של היישומים הביומטריים.
4. ודאו כי יש פיקוח רציף של הממונה על הגנת מידע וסייבר.
5. ודאו כי נעשה שימוש בהצפנה לשם הגנה על מידע ביומטרי.
6. ודאו כי ממצאי גורם מומחה צד-שלישי מעידים כי מערך האבטחה שהוטמע אפקטיבי, ועונה לדרישות ולפרופיל הסיכון.
7. ודאו כי בוצעו בשנה האחרונה בדיקות שוטפות של הגנת מידע וסייבר באמצעות צד שלישי.
8. ודאו כי יש אישור משפטי מהשנה האחרונה המתיר הפעלת היישום הביומטרי, תוך התוויית תנאי שימוש ודרכי בקרה ואכיפה.
9. ודאו כי דרישות האבטחה עוגנו בהסכם ההתקשרות עם ספק חיצוני (לרבות מיקור חוץ), וכי קיימים מנגוני בקרה ואכיפה אפקטיביים.
10. ודאו כי בשנה האחרונה בוצעו הדרכות מודעות ותרגילים רלוונטיים לקהלי יעד שעושים שימוש בביומטריה.
11. ודאו כי רמת המהימנות של המשתמשים שיש להם נגישות ליישום/נתון ביומטרי עומדת בפרופיל הסיכון.
12. ודאו כי הארגון עשה שימוש במחשבונים רלוונטיים, ומימש את ההמלצות הנגזרות.
13. ודאו את התאימות של הציוד הביומטרי וכי בוצעו בדיקות למדדים שהוגדרו.</t>
  </si>
  <si>
    <t xml:space="preserve">6. הארגון וידא כי הטמיע מערך הגנה בכל שלבי מחזור החיים של היישום הביומטרי, החל משלב הייזום ועד לשלב הגריטה והפסקת השימוש ביעד ההגנה.
7. הארגון וידא כי בהסכמים הנערכים עם ספקים חיצוניים של השירותים הביומטריים נכללים, בין היתר, הנושאים הבאים: הגדרת תפקידי הספק והשירותים שילספק במשך מחזור החיים של המערכת; מיקום שמירת המידע; פורמט הנתונים (כתמונה או כתבנית מאפיינים); משך זמן השמירה; והאמצעים לשמירה ולהגנה על המידע הביומטרי, לרבות בקרת גישה אליו.
8. הארגון וידא כי מונה גורם אחראי לכל יישום ביומטרי, ובפרט לכל מאגר ביומטרי, שידווח להנהלת הגוף באופן סדור בכל הקשור לניהול היישום.
9. הארגון וידא כי בעת תכנון היישום הביומטרי נבחנה יכולת ההפרדה של המידע הביומטרי מהמידע הביוגרפי, לרבות הקישור ביניהם, במשך חיי המערכת. אם הוחלט שלא לבצע את ההפרדה, יש לתעד את ההחלטה ואת הסיבות שהובילו אליה.
10. הארגון וידא כי קיימת תוכנית להגנה על הפרטיות וכבוד האדם בהקשר ליישומים הביומטריים ומאגרי המידע הביומטריים שברשותו. עליו לפקח על יישומה ועל מימושה, לרבות קביעת מדיניות ברורה בנושא הגנת הפרטיות ופירוט הכלים הטכנולוגיים שישמשו במסגרת זו.
11. הארגון וידא כי בעת התכנון של היישום הביומטרי נבחן השימוש בהצפנה מתאימה, בהתאם להערכת הסיכונים ביישום הספציפי. ההצפנה צריכה לעשות שימוש באלגוריתם מוכר ובמפתח מתאים (בהיבטי אורך מפתח, אופן חילול אקראי, שמירה עליו וכו') ויש להקפיד על מימוש נכון שלה. אם הוחלט שלא לעשות שימוש בהצפנה, יש לתעד את ההחלטה ואת הסיבות שהובילו אליה. 
12. הארגון וידא כי בתום הקמת היישום הביומטרי בחן מומחה מוסמך ואובייקטיבי את תקינות תפקוד אמצעי האבטחה שהוגדרו ליישום. בדיקות אלו יכללו את תקינות המענה לתרחישי פגיעה שונים ביישום - הן פגיעה בתשתית הטכנולוגית והן פגיעה בתהליך - וישלבו בדיקות חוסן. יש לחזור על הבדיקה במקרה של שינוי פונקציונלי משמעותי או חשיפת קיומה של חולשה מהותית, וכן באופן תקופתי שלא יעלה על שנה.
</t>
  </si>
  <si>
    <t>13. הארגון וידא כי יושמו תבניות הקשחת מערכות הפעלה בציוד תקשורת אקטיבית, בשרתי אחסון מידע, בשרתי יישומים ובציוד אבטחה ובתחנות עבודה - לפחות לפי הנחיות היצרן.
14. הארגון וידא כי הוטמעו מוצרי אבטחה צד ג' להגנה מפני תקיפת קוד עוין, למניעת גישת בלתי מורשים לתשתיות וליישומים עצמם, לבקרת תצורת מערכת ולבקרת הוצאת/הכנסת מידע.
15. הארגון וידא כי קיים מסמך המכיל כללים למתן גישה לצדדים שלישיים למידע הנכלל במסגרת היישום, וכי קיימים גם מנגנוני טיפול בבקשות גישה - כאמור בנושא הגישה לצדדים שלישיים. 
16. הארגון וידא כי קיימות בארגון (או אצל הספק) מערכות חקירה ובדיקה הכוללות דרכים לאיתור ליקויים ביישום הביומטרי ותיקונם.
17. הארגון וידא כי הוא עשה שימוש ברכיבים ביומטריים הכוללים מנגנונים למניעת חבלה (Tampering Resistance) וחשיפת חבלה (Tamper-Evident), ההולמים את פרופיל הסיכון.</t>
  </si>
  <si>
    <t>18. הארגון וידא כי בוצעו בדיקות חוסן תקופתיות לאישוש רמת האבטחה על ידי גורם צד-שלישי.
19. הארגון וידא כי הותקן והוטמע יישום מרכז ניהול אבטחה נתמך מוצר טכנולוגי תחת קטגוריית מוצרי CSOC - Cyber Security Operations Center/SIEM. היישום צריך להיות בעל יכולות ניטור מידע ותעבורת מידע לצורך התרעה, גילוי חריגים וניתוחם לשם הפקת משמעויות ביטחוניות; הפקת התרעות לגורמים ממונים; המלצה/ייצור תגובה מונעת/מתקנת; ותיעוד.
20. הארגון וידא כי הרכיבים הביומטרים עושים שימוש בשיטות מקובלות ועדכניות להתמודדות עם תקיפות סייבר ממוקדות ביומטריה, דוגמת:  PAD (Presentation Attack DeteCIon) ו-Deepfake.</t>
  </si>
  <si>
    <t>מתודולוג + טכנולוג</t>
  </si>
  <si>
    <t>3.5</t>
  </si>
  <si>
    <t xml:space="preserve">"ארכיטקטורת אפס אמון" 
(ZTA - Zero-Trust Architecture)
(הרחבה ודגשים)
</t>
  </si>
  <si>
    <t>הארגון וידא את קיומה של ארכיטקטורת "אפס אמון" (ZTA - Zero-Trust Architecture) ברשתות שלו</t>
  </si>
  <si>
    <t>1. בשוק קיימים אמצעים רבים לאבטחה בסייבר שמציעים יישום לארכיטקטורת "אפס אמון" (Zero-Trust Architecture). בפועל, מימוש המודל כהלכה מחייב שילוב של תהליכים ארגוניים תומכים עם שימוש במספר אמצעי אבטחה בסייבר ומערך ניטור מתקדם משולב מודיעין סייבר.
2. יש לוודא כי תשתית הארגון עונה לעקרונות המותווים בסדרת המסמכים NIST SP 800-160.
3. הארגון נדרש להגדיר מדדים כמותיים ואיכותיים לשם איתור חריגות, ולאחר מכן לבצע באופן רציף מעקב אחר ערכים אלו.
4. בסביבת ענן ציבורי חלק מפתרונות SASE/SDP מציעים מענה לחלק מדרישות בקרה זו.
5. הארגון נדרש לשלב את הדרישות שבבקרה זו עם בקרות פרק DETECT, וזאת לשם קבלת תמונת מצב עדכנית מכוונת סיכון.
6. מומלץ לעיין בתיעוד הרשמי של ספקי הענן הציבורי כדי להבין טוב יותר כיצד הם מממשים את הארכיטקטורה הזאת.
7. יש להגביל גישה לכלים מובנים בסביבת העבודה שאפשר לנצלם לשימוש כפול (Dual Use) – כלי ניהול תקני מובנה וכלי אשר תוקף יוכלו לנצלו למטרות זדוניות (In the wild Cyber Attacks).
8. בעת עבודה עם ענן ציבורי יש לבחון בחיוב שימוש ב-Bastion Hosts כחלופה לגישה ישירה מהעולם.
9. בעת עבודה עם ענן ציבורי יש לעיין בהמלצות הספק למימוש ארכיטקטורת "אפס אמון" (ZTA - Zero-Trust Architecture ), ולפעול בהתאם לכולן.
10. ודאו כי ברשות הארגון יכולת תגובה ממוכנת במקרה של איתור חריגה.
11. ודאו הטמעה של עקרונות מקובלים להגנה לעומק (DiD - Defense-in Depth).</t>
  </si>
  <si>
    <t>1. ודאו כי רק יעדי הגנה החולקים את אותה רמת סיכון ופונקציונליות עסקית חולקים את אותו קיטוע רשתי (Network Segmentation/Network Isolation).
2. ודאו כי נעשה שימוש ב-Microsegmentation או Nanosegmentation, בדגש על סביבה וירטואלית.
3. ודאו כי ברשות הארגון מפת ארכיטקטורה המתעדכנת ב"זמן אמת", תוך התייחסות למדרג סיכון ביחס לכל יעד הגנה, היקף משטח התקיפה של כל יעד הגנה, ושקלול משטח התקיפה של כל יעדי ההגנה.
5. ודאו כי חריגה מעמידה בדרישות הבקרה מחייבת עדכון של צוות ההגנה תוך שניות ספורות מהופעת החריגה.
5. ודאו כי ברשות הארגון Playbooks עדכניים, הכוללים מענה לתרחישים בעת הופעת חריגה.
6. ודאו באמצעות מומחי תוכן רלוונטיים כי הארכיטקטורה הקיימת מספקת מענה אפקטיבי ויעיל לפרופיל הסיכון הארגוני.
7. ודאו כי ברשות הארגון יכולת אפקטיבית לנתק אוטומטית יעד הגנה מרשת הארגון במקרה של חריגה תוך שניות מהופעתה.
8. ודאו כי ברשות הארגון יכולת אפקטיבית לבצע תיקון (Remediation) של ליקויים בסביבת הסגר (Quarantine), וזאת תוך צמצום ההשפעה על הפעילות העסקית. 
9. ודאו כי הארגון ביצע השבתה יזומה של אמצעי אבטחה אקראיים, ובחן את יכולת מערך ההגנה לספק מענה אפקטיבי ויעיל בהיעדרם של אמצעי אבטחה אלה.
10. ודאו כי כחלק משגרת ההגנה בוחן הארגון את תקינות הפעילות של אמצעי ההגנה, לרבות יכולתם לגלות, לזהות ולחסום קבצים המדמים נוזקות (דוגמת EICAR אשר נערך על ידי הארגון, כך שערך ה-Hash אינו מוכר על ידי חתימות אמצעי אבטחה).
11. ודאו כי ארכיטקטורת מערך התקשוב והאבטחה עומדת בעקרונות מקובלים, דוגמת NIST SP 800-160.
12. ודאו כי מערך התקשוב לא מאפשר פעילות ללא קיומו של ניטור פעיל ואפקטיבי.
13. ודאו כי בעת עבודה עם ענן ציבורי הארגון יישם ארכיטקטורת "אפס אמון" (ZTA - Zero-Trust Architecture ) בהתאם להמלצות הספק.
14. ודאו כי מערך האבטחה כולל התייחסות לסיכונים הנובעים מממדים שונים, דוגמת:
א. Identities
ב. Devices
ג. Applications
ד. Data
ה. Infrastructure
ו. Networks</t>
  </si>
  <si>
    <t>1. הארגון וידא כי הגישה הפנימית והחיצונית לנתונים רגישים, אפליקציות ומכשירים מתבצעת על בסיס עיקרון הצורך לדעת ("Need-to-Know"), הנאכף על ידי מערכת ניהול מרכזית. בנוסף, על ההרשאות לאפשר נגישות ליעדי ההגנה הרלוונטיים בהתאם לתפקיד של בעליהן.
2. הארגון וידא כי  הגישה הפנימית והחיצונית לנתונים רגישים, אפליקציות ומכשירים מתבצעת על בסיס עיקרון מתן הרשאות נמוכות ("Least Principle"), הנאכף על ידי מערכת ניהול מרכזית.
3. הארגון וידא כי מימש עקרונות מקובלים להגנה לעומק (DiD - Defense-in Depth).
4. הארגון וידע כי בדיקת זהות המשתמש ובדיקת הרשאות הגישה נאכפת על כל בקשה (Pre Request), ולא רק ברמת הפעילות (Session).</t>
  </si>
  <si>
    <t>5. הארגון וידא כי ללא קיום ניטור פעיל אי אפשר לבצע פעולות ביעדי ההגנה.
6. הארגון וידא כי לפני מתן גישה לשירות חדש ביעד הגנה מתבצע הליך אימות חדש, גם אם המשתמש נמצא בפעילות קיימת (Session).</t>
  </si>
  <si>
    <t xml:space="preserve"> </t>
  </si>
  <si>
    <t xml:space="preserve">A.9.1.1, A.9.1.2, A.13.1.1,A.13.1.2,A.13.1.3, </t>
  </si>
  <si>
    <t>3.6</t>
  </si>
  <si>
    <t>בדיקת היגיינה טכנולוגית של יעד הגנה (Technology Hygiene) בעבודה מול רשת הארגון</t>
  </si>
  <si>
    <t>בדיקת היגיינה טכנולוגית של יעד הגנה (Technology Hygiene) בעבודה מול רשת הארגון בשלבי מחזור החיים השונים - למשל, לפני ביצוע ה-Login, לאחר ביצוע ה-Login ובעת עבודה שוטפת של המשתמש.</t>
  </si>
  <si>
    <t>1. ודאו באופן מדגמי את יישום דרישות הבקרה על יעדי ההגנה.
2. ודאו באמצעות צוות סגול תוקף כי אי אפשר לבטל או להפר את דרישות הבקרה ללא חשיפת פעילותו.
3. ודאו את עמידת האמצעים הטכנולוגיים בהמלצות עדכניות (Best Practices) מקובלים ועדכניים. יש להביא בחשבון כי  ייתכן שהארגון יצטרך להחליף אמצעים טכנולוגיים ישנים בהתאם.
4. ודאו כי לא ניתן לחבר יעד הגנה לא מורשה לרשת הארגון.
5. ודאו באופן מדגמי כי יעד הגנה שאינו עומד בדרישות הבקרה מועבר אוטומטית לסביבת הסגר (Quarantine) דוגמת VLAN ייעודי,  וכי בסביבה זו מתבצעות פעולות תיקון (Remediation) נדרשות.
6. ודאו כי הארגון עושה שימוש במנגנונים מקובלים להוכחת מהימנות יעד ההגנה, דוגמת Device Health Attestation, Secure Boot, Verify Boot.</t>
  </si>
  <si>
    <t>A.9.1.2, A.12.4.1</t>
  </si>
  <si>
    <t>3.7</t>
  </si>
  <si>
    <t>חיבור ליעדי ההגנה מרשת אלחוטית</t>
  </si>
  <si>
    <t xml:space="preserve">1. ודאו כי נוהלי ההתחברות לרשת האלחוטית נאכפים ומתבצעים בהתאם למדיניות הארגון.
2. ודאו כי הליך אימות זהותם של המשתמשים והמכשירים מתבצע כראוי לפני מתן גישה לרשת האלחוטית.
3. ודאו כי נאכפים הגבלת עוצמת השידור, כיוון האנטנות כלפי פנים מתחם העבודה, שימוש בדגם/טכנולוגיית אנטנה המתאים לצמצום אלומת השידור ומיסוך התקשורת מחוץ למתחם.
4. ודאו כי בשנה האחרונה בוצע באתר סקר אלחוט על ידי גורם מומחה וצוות סגול, וכי ההמלצות של הסקר יושמו.
5. ודאו באמצעות בדיקות חוסן כי מערך האלחוט אינו מהווה נתיב חדירה לארגון.
6. ודאו כי הארגון אינו משתמש בפרוטוקולים אלחוטיים בעלי חולשות ידועות.
7. ודאו כי יש הפרדה מלאה בין רשת אורחים לרשת משתמשים.
8. ודאו יישום WIPS במערך ההגנה.
9. ודאו באמצעות בדיקות מדגמיות כי לא ניתן לחבר יעד הגנה לא מורשה.
10. ודאו באמצעות בדיקות מדגמיות כי לא ניתן לחבר יעד הגנה אשר אינו עומד בדרישות היגיינה טכנולוגית של יעד הגנה (Technology Hygiene).
11. ודאו כי נעשה שימוש במערכת ניהול מרכזית.
</t>
  </si>
  <si>
    <t>10. הארגון וידא כי יעד הגנה אינו מסוגל להעביר לרשת האלחוט תעבורה שמקורה ברשת הקווית (Split Tunneling) - ולהפך.
11. הארגון וידא כי לא ניתן לבצע שנמוך גרסה לפרוטוקולים שבהם נעשה שימוש (Downgrade Attack).
12. הארגון וידא כי לא ניתן לבצע/ליזום שינוי הגדרות תצורה (Configuration Settings) מיעדי הגנה אשר עושים שימוש בתשתית אלחוטית.
13. הארגון וידא כי בוטלה היכולת לניהול מקומי של נקודות הגישה (Access Points). קרי, יש לעשות שימוש במערכת ניהול מרכזית.</t>
  </si>
  <si>
    <t>AC-18(1), AC-18(5), AC-19(3)</t>
  </si>
  <si>
    <t>A.9.1.2,
A.13.1.1,A.13.1.2</t>
  </si>
  <si>
    <t>3.8</t>
  </si>
  <si>
    <t>מדיניות ונוהלי בקרת גישה בעת התחברות מכשירים ניידים לרשת הארגון</t>
  </si>
  <si>
    <t>1. ודאו כי נאכף נוהל עבודה לגבי אופן השימוש במכשירים ניידים וחיבורם ליעדי ההגנה בארגון.
2. ודאו כי הנוהל אושר לפני שנה לכל היותר.
3. ודאו כי הנוהל ממצה באופן מיטבי יכולות הגנה מתקדמות הזמינות בשוק, וזאת באמצעות השוואה רוחבית עם חלופות הזמינות בארץ ובחו"ל.
4. ודאו כי הנוהל כולל דרישה לשימוש במערכת ניהול מרכזית.
5. ודאו כי הנוהל דורש בדיקה רציפה של מצב ההיגיינה הטכנולוגית של יעד ההגנה (Technology Hygiene).</t>
  </si>
  <si>
    <t>1. הארגון וידא כי הוטמעו נוהלי עבודה הכוללים כללי התנהגות ושימוש במכשירים ניידים במתחמי העבודה, וכללי עבודה מול יעדי ההגנה. על נוהלי העבודה להתייחס  לפרופילים שונים של שימוש, דוגמת מכשירים של הארגון, מכשירים פרטיים של העובדים ומכשירים של לקוחות וספקים. 
2. הארגון וידא כי יכולות ההגנה המובנות במכשירים הניידים מופעלות (דוגמת דרישה לסיסמה אישית בעת גישה מקומית, נעילת מסך לאחר 5 דקות ללא פעילות והצפנת מידע במצב מנוחה כברירת מחדל).
3. הארגון וידא כי מערכות ההפעלה של המכשירים הניידים עדכניות, לא פרוצות (דוגמת Jail Break או Rooting) ונתמכות על ידי היצרן באופן מלא.
4. הארגון וידא כי במכשירים הניידים הוטמע אמצעי לגילוי, זיהוי והסרת נוזקות (Malware).
5. הארגון מחייב שימוש בשכבת הצפנה אחת לפחות (In Transit) בעת גישה של מכשירים ניידים ליעדי הגנה.
6. הארגון וידא כי ביכולתו לאתר מכשיר נייד בעת הצורך, למשל אם הוא אבד או נגנב.
7. הארגון וידא כי הוחלו מנגנונים מקובלים לשם רישום, אימות ומידור גישה בין יעדי ההגנה למשתמשים.</t>
  </si>
  <si>
    <t>11.  הארגון וידא כי הטמיע מערכת ניהול מרכזית לשם החלת הגבלות שימוש והקשחה למכשירים הניידים, וזאת בהתאם לפרופילי עבודה מוגדרים.
12.  הארגון וידא כי הטמיע מערכת ניהול מרכזית לשם גילוי, זיהוי וסיכול ניסיונות חיבור רשתיים לא מורשים (דוגמת Personal Firewall).
13.  הארגון וידא כי הטמיע מערכת ניהול מרכזית לשם גילוי, זיהוי והסרת נוזקות (Malware).
14.  הארגון וידא כי ביכולתו לבצע מחיקה מרחוק של מידע במקרה הצורך, למשל אם מכשיר נייד נגנב או אבד.
15.  הארגון וידא את ההיגיינה הטכנולוגית של המכשיר הנייד לפני ההתחברות, במהלכה ואחריה.
16.  הארגון וידא כי בחיבור יעדי הגנה לרשת הארגון באמצעות מכשיר נייד נעשה שימוש בשתי שכבות הצפנה בלתי תלויות (In Transit).
17.  הארגון וידא כי לפני כניסת ספק/אורח למתחם העבודה מודבקת על המכשיר הנייד שלו מדבקה בעלת מספר ייחודי, שניתן לאתר ניסיון להסרתה (דוגמת מדבקה הולוגרפית). בשלב היציאה נדרש הספק/האורח לאמת עם נציג הביטחון של הארגון כי המדבקה לא נפגמה.
18. הארגון וידא כי כאשר משתמש מתרחק מהמכשיר הנייד הוא ננעל אוטומטית ללא שיהוי (Timer).</t>
  </si>
  <si>
    <t>19. הארגון וידא כי מערך הניטור מקבל בזמן אמת התרעות לגבי פעולות ומצבים שונים, כגון החלפת סים, קיומה של נוזקה או יציאה ממתחם גיאוגרפי מוגדר. לפני ההפעלה יש לקבל מהיועץ המשפטי בארגון הנחיות פרטניות בעניין. 
20. הארגון מונע הכנסת מכשירים ניידים לאזורים שהוא הגדיר כרגישים, כגון חדר ישיבות הדירקטוריון.
21. הארגון מונע הכנסת מכשירים ניידים ליעדי הגנה בעלי רמת רגישות/קריטיות גבוהה. את המכשירים יש לאחסן בארון עם נעילה אישית, המונע אפשרות לאיסוף/שליחת מידע, דוגמת שמע ושדרים אלחוטיים.
22. הארגון וידא כי הטמיע מערכת ניהול מרכזית לצורך חסימה של הפעלת סנסורים (מצלמה, מיקרופון, רמקול וכו') בעת כניסה למתחמי עבודה רגישים/קריטיים.</t>
  </si>
  <si>
    <t>AC-19, AC-19(5), AC-19(4)</t>
  </si>
  <si>
    <t>A.5.1.1, A.5.1.2, A.6.2.1, A.6.2.2, A.11.2.6,A.13.2.1,A.18.2.2,</t>
  </si>
  <si>
    <t>3.9</t>
  </si>
  <si>
    <t>מדיניות סיסמאות</t>
  </si>
  <si>
    <t>הארגון אוכף מדיניות סיסמאות באמצעות שימוש באמצעים טכנולוגיים</t>
  </si>
  <si>
    <t>IA-4</t>
  </si>
  <si>
    <t>A.5.1.1, A.5.1.2, A.9.2.4, A.9.4.3,
A.18.2.2,</t>
  </si>
  <si>
    <t xml:space="preserve">הגנה על המידע </t>
  </si>
  <si>
    <t>4.1</t>
  </si>
  <si>
    <t xml:space="preserve">מתודולוג + טכנולוג </t>
  </si>
  <si>
    <t>RA-2
PS-1</t>
  </si>
  <si>
    <t>A.8.2.1, A.8.2.2, A.8.2.3</t>
  </si>
  <si>
    <t>הגנה על המידע</t>
  </si>
  <si>
    <t>4.2</t>
  </si>
  <si>
    <t>התמודדות עם איומי דלף מידע ומניעת דלף</t>
  </si>
  <si>
    <t xml:space="preserve">הארגון וידא כי הטמיע מנגנונים טכנולוגיים ואחרים לשם התמודדות עם דליפת מידע (Data Loss/Leak Prevention) מיעדי ההגנה </t>
  </si>
  <si>
    <t>SC-8
SC-4</t>
  </si>
  <si>
    <t>A.8.2.3, A.13.1.1,A.13.2.1,A.13.2.3,A.14.1.1,A.14.1.2,A.14.1.3,A.18.1.3,A.18.1.4</t>
  </si>
  <si>
    <t>4.3</t>
  </si>
  <si>
    <t>1. ודאו כי כל הרשומות הפיזיות ו/או מצעי האחסון השונים מועברים למתקני האיסוף הייעודיים.
2. ודאו כי מתקני הגריסה באזורים הציבוריים נעולים, וכי לא ניתן לעקוף את המנעול/החסימה לשם קבלת גישה.
3. ודאו כי מרוקנים את מתקני הגריסה לפני שהם מתמלאים, כדי למנוע גישה אל החומר מבחוץ.
4. ודאו כי הארגון עושה שימוש בשקים (Sacks) בעלי צבע ייחודי, התואם את רמת הסיווג.
5. ודאו כי רשומות פיזיות ומצעי אחסון שנאספו אינם חשופים לגורמים שאינם מורשים וכי לא מתבצעת דליפת מידע.
6. ודאו באופן מדגמי בחברה האחראית להשמדת מצעי האחסון כי כל החומרים שנלקחו אכן הושמדו, וזאת בהתאם לרשומות הנמצאות בארגון.
7. ודאו באופן מדגמי כי לא ניתן לשחזר מידע מרשומות דיגיטליות ופיזיות (ישנם פרויקטים המציגים יכולת שחזור של רשומות פיזיות באמצעות שילוב של OCR ולמידת מכונה).
8. ודאו כי האמצעים לגריסה וגריטה עומדים בתקינה מקובלת, דוגמת תקן ISO/IEC 21964.
9. ודאו כי תהליכי הגריטה והגריסה מתבצעים בהתאם לרמת ה-DIN הנגזרת מסיווג המידע הקיים.</t>
  </si>
  <si>
    <t>5. הארגון וידא כי הוא נוקט פעולות מקובלות לשם השמדת רשומות דיגיטליות רגישות/חסויות:
א. הארגון וידא כי תהליך השמדת הרשומות הדיגיטליות מתבצע על ידי שני גורמים מורשים בארגון (Dual Control).
6. הארגון וידא כי הוא נוקט פעולות מקובלות לשם השמדת רשומות פיזיות רגישות/חסויות:
א. הארגון וידא כי חדר האחסון אינו מכיל חלונות.
ב. הארגון וידא כי לשם בקרת כניסה, נעשה שימוש במצלמות במעגל סגור כבקרה מפצה.
ג. הארגון וידא כי מתקן האיסוף מעוגן לקיר גבס/בלוקים.
7. הארגון וידא כי הוא נוקט פעולות מקובלות לשם השמדת מצעי אחסון אשר הכילו/מכילים מידע רגיש/חסוי:
א. הארגון וידא כי חדר האחסון אינו מכיל חלונות.
ב. הארגון וידא כי לשם בקרת כניסה לחדר האחסון, נעשה שימוש במצלמות במעגל סגור כבקרה מפצה.
ג. הארגון וידא כי לשם בקרת גישה למתקני האיסוף, נעשה שימוש במצלמות במעגל סגור כבקרה מפצה.
ד. הארגון וידא כי מתקן האיסוף מעוגן לקיר גבס/בלוקים.
ה. הארגון וידא בחוזה ההתקשרות עם ספקיו כי מצעי אחסון תקולים אינם מוחזרים במסגרת אחריות/תמיכת המוצר, וכי הארגון מבצע את פעולות ההשמדה באופן עצמאי.</t>
  </si>
  <si>
    <t>8. כללי: 
א. הארגון וידא כי מינה פונקציונליות ארגונית שאחראית לנושא השמדת מידע במצעי אחסון, רשומות פיזיות ורשומות דיגיטליות.
9. הארגון וידא כי הוא נוקט פעולות מקובלות לשם השמדת רשומות פיזיות רגישות/חסויות:
א. הארגון וידא כי מתקן האיסוף מעוגן לקיר בלוקים/בטון. 
ב. הארגון וידא כי חדר האיסוף בנוי מקיר בלוקים/בטון.
ג. הארגון וידא כי חדר האיסוף מוגן באמצעות אזעקה המצוידת בשלושה סנסורים מבוססי טכנולוגיה בלתי תלויה, כאשר במקרה של חריגה נשלחת התרעה לגורם מוסמך.
ד. הארגון וידא כי השווה את משקלן של הרשומות הפיזיות שהועברו לחברת שירותי הגריסה למשקל הרשום אצלו.
ה. הארגון וידא כי נציג מטעמו מלווה באופן צמוד את תהליך ההשמדה.
10. הארגון וידא כי הוא נוקט פעולות מקובלות לשם השמדת מצעי אחסון אשר הכילו/מכילים מידע רגיש/חסוי:
א. הארגון וידא כי חדר האיסוף בנוי מבלוקים/בטון.
ב. הארגון וידא כי חדר האיסוף מוגן באמצעות אזעקה המצוידת בשלושה סנסורים מבוססי טכנולוגיה בלתי תלויה, כאשר במקרה של חריגה נשלחת התרעה לגורם מוסמך.
ג. הארגון וידא כי השווה את משקלם של מצעי האחסון שהועברו לחברת שירותי הגריטה למשקל הרשום אצלו.
ד. הארגון וידא כי נציג מטעמו מלווה באופן צמוד את תהליך ההשמדה.
11. ביקורת:
א. הארגון וידא כי ביצע בדיקות פתע אצל ספק שירותי הגריסה/הגריטה לשם תיקוף תקינות ואפקטיביות.</t>
  </si>
  <si>
    <t xml:space="preserve">12. הארגון וידא כי הוא נוקט פעולות מקובלות לשם השמדת רשומות פיזיות רגישות/חסויות:
א. הארגון וידא כי מתקן האיסוף מעוגן לקיר בטון. 
ב. הארגון וידא כי חדר האיסוף בנוי מבטון.
ג. הארגון וידא כי במקרה של כניסה לא מורשית לחדר האיסוף, נציג צוות הביטחון מגיע למקום תוך 5 דקות.
ד. הארגון וידא כי הוא מבצע את פעולות ההשמדה באופן עצמאי, ולאחר מכן מעביר את השאריות לחברת שירותי גריסה. 
13. הארגון וידא כי הוא נוקט פעולות מקובלות לשם השמדת מצעי אחסון שהכילו/מכילים מידע רגיש/חסוי:
א. הארגון וידא כי חדר האיסוף בנוי מבטון.
ב. הארגון וידא כי במקרה של כניסה לא מורשית לחדר האיסוף, נציג צוות הביטחון מגיע למקום תוך 5 דקות.
ג. הארגון וידא כי הוא מבצע את פעולות ההשמדה באופן עצמאי, ולאחר מכן מעביר את השאריות לחברת שירותי גריטה. </t>
  </si>
  <si>
    <t>A.8.3.1, A.8.3.2, A.8.3.3, A.11.2.7,</t>
  </si>
  <si>
    <t>4.4</t>
  </si>
  <si>
    <t>אנונימיזציה/התממה (Anonymization) של מידע</t>
  </si>
  <si>
    <t>1. ודאו כי קיימת הגדרה מדויקת של תרחישי חשיפה שאותם יש לצמצם למינימום.
2. ודאו כי בסוף תהליך ההתממה מתבצעת הערכה של רמת הסיכון השיורי, ושל כמות המידע שאבד כתוצאה מפעולת ההתממה.
3. ודאו כי קיימות שתי חוות דעת עדכניות של מומחים בעולם ההתממה, המגובות בחוות דעת משפטית תומכת, כי שיטת ההתממה היא עדכנית ועונה למתאר האיום באופן מיטבי.
4. בצעו באמצעות צוות סגול ניסיון לקשר בין המידע המותמם למזהה של אדם או גורם רלוונטי אחר. יצוין כי לעתים ניתן לבצע צפייה פשוטה ולזהות כשלים במימוש.
5. ודאו כי נעשה שימוש באמצעים טכנולוגיים בעלי הסמכה מתאימה (דוגמת PCI במקרה של כרטיס אשראי).
6. ודאו כי ברשות הארגון ממצאי מבחנים מקובלים להוכחת איכות ההתתמה.
7. ודאו כי במקרה הצורך נעשה שימוש בפתרון העומד בעקרונות  Privacy-Enhancing Cryptography (PEC).</t>
  </si>
  <si>
    <t>4. הארגון וידא כי הוא נעזר במבחנים סטטיסטיים בינלאומיים מקובלים לשם בחינת איכות פעולת ההתממה.</t>
  </si>
  <si>
    <t>5. הארגון וידא כי קיימת התאמה גבוהה בין ערך תוצאת החיזוי (Prediction) לאיכות פעולת ההתממה לפני הביצוע בפועל לבין לערך ההתממה בפועל.</t>
  </si>
  <si>
    <t>6. הארגון וידא כי הוא נעזר בגורמי צד שלישי לשם תיקוף איכות תהליך ההתתמה.
7. הארגון וידא כי הוא עושה שימוש בעקרונות רשת אדברסרית גנרטיבית (GAN - Generative Adversarial Networks) לשם תיקוף איכות תהליך ההתתמה.</t>
  </si>
  <si>
    <t>A.13.1.2,A.13.2.3,A.18.1.3,A.14.1.3</t>
  </si>
  <si>
    <t>4.5</t>
  </si>
  <si>
    <t>מערך הלבנה (סריקה וניקוי מנוזקות/איומי קוד עוין)
הרחבה לבקרה מניעה והתמודדות עם קוד זדוני/נוזקות (Malware)</t>
  </si>
  <si>
    <t>הארגון וידא כי הוא משתמש במערך הלבנה ייעודי לשם זיכוי מידע (הסרת נוזקות/קוד עוין) לפני הכנסת המידע לרשת בעלת רמת אמון גבוהה (Trust Level) מזו של רשת המקור.</t>
  </si>
  <si>
    <t>1. ודאו כי הארגון הקצה עמדה ייעודית למערך ההלבנה.
2. ודאו כי מערך ההלבנה עומד בכל דרישות ההקשחה.
3. ודאו באמצעות צוות סגול כי לא ניתן לעקוף את ממשק ההזדהות ופרופיל העבודה.
4. ודאו באופן מדגמי כי מתבצע ניהול הרשאות וחשבונות משתמשים באופן תקין, התואם את מדיניות הארגון.
5.  ודאו כי למערך ההלבנה מערך תקשורת נתונים ייעודי.
6. ודאו באמצעות בדיקות אקראיות כי תהליך ההלבנה פועל בהתאם למצופה, וכי במקרה של כשל או חריגה נשלחת התרעה בזמן אמת לצוות האבטחה.
7. ודאו כי למנועי האנטי-וירוס יש חתימות עדכניות.
8. ודאו כי מתבצע כיול של מערכת ההלבנה ב-IOC/IOA/IOE.
9. ודאו כי לא ניתן לעקוף את מערך ההלבנה באמצעות שימוש בקבצים המתחזים ללגיטימיים.
10. ודאו כי מערך ההלבנה עושה שימוש בבדיקות דינמיות (דוגמת Sandbox) לבחינת תקינות הקובץ.
11. ודאו כי קבצים שעברו הלבנה נשמרים באופן מוצפן ומבודל, כך שתקיפה מוצלחת של מערך ההלבנה לא תאפשר הדלפת מידע.
12. ודאו כי בכל ערוץ כניסת מידע לארגון מתבצעים תהליכי הלבנה.
13.  ודאו כי כל התהליכים התפעוליים מתקיימים ועומדים בצורכי הארגון.
14. ודאו באמצעות בדיקות חוסן כי לא ניתן להחדיר לארגון קובץ Zero-Day ו-First Day.
15. ודאו כי רכיבי מערך ההלבנה אינם מכילים חולשות ידועות.
16. ודאו כי יכולות האבטחה של המוצר מובילות ביחס לחלופות הקיימות בארץ ובעולם.
17. ודאו כי מערך ההלבנה מקושר למערך ניטור מרכזי.
18. ודאו כי מערך ההלבנה מסוגל לגלות, לזהות ולסכל 100% מהנוזקות הידועות באותו יום.
19. ודאו כי מערך ההלבנה מסוגל לגלות, לזהות ולסכל לפחות 95% מהנוזקות הלא הידועות באותו יום.
20. ודאו באופן מדגמי כי אמצעי האבטחה פועלים כהלכה על יעדי הגנה חדשים שהוטמעו בארגון.</t>
  </si>
  <si>
    <t>MP-6 (3)</t>
  </si>
  <si>
    <t xml:space="preserve">A.12.2.1
</t>
  </si>
  <si>
    <t>4.6</t>
  </si>
  <si>
    <t>מערך השחרה (סריקה וניקוי של תכנים לא מורשים בעת הוצאת קבצים מהארגון) 
(Cleansing System\File Redaction System)
(הרחבה לבקרת "התמודדות עם דלף מידע")</t>
  </si>
  <si>
    <t>הארגון וידא כי הוא עושה שימוש במערך השחרה ייעודי לשם הסרת תכנים שאינם מורשים, וזאת לפני הוצאת המידע לרשת בעלת רמת אמון הנמוכה (Trust Level) מזו של רשת המקור
(הרחבה לבקרת התמודדות עם דלף מידע)</t>
  </si>
  <si>
    <t xml:space="preserve">1. ודאו כי הארגון הקצה עמדה ייעודית למערך ההשחרה.
2. ודאו כי מערך ההשחרה עומד בכל דרישות ההקשחה.
3. ודאו באמצעות צוות סגול שלא ניתן לעקוף את ממשק ההזדהות ואת פרופיל העבודה.
4. ודאו באופן מדגמי כי ניהול ההרשאות וחשבונות המשתמשים מתבצע בצורה תקינה, התואמת את מדיניות הארגון.
5. ודאו באמצעות בדיקות אקראיות כי תהליך ההשחרה פועל בהתאם למצופה, וכי במקרה של כשל או חריגה נשלחת התרעה בזמן אמת לצוות האבטחה.
6. ודאו כי רכיבי מערך ההשחרה אינם מכילים חולשות ידועות.
7. ודאו כי לפני הוצאת קבצים מהארגון המידע עובר את כל האישורים הרלוונטיים, וכי משתמש אינו מסוגל לעקוף את תהליך האישורים.
8. ודאו כי המדיה מועתקת ליעד שהוגדר בנוהלי הארגון, וכי היא אינה מכילה "תוספות" מידע לא מאושרות.
9. ודאו כי ברשות הארגון תיעוד מהשנה האחרונה של כל הקבצים והתכנים שיצאו מחצרותיו.
10. ודאו כי הקבצים שהושחרו נשמרים לזמן הנדרש ובאופן מוצפן.
11. ודאו כי מערך ההשחרה מספק תמיכה מלאה לקבצים הכוללים תכנים משפות שכיחות.
12. ודאו באופן מדגמי כי הקבצים שעברו השחרה עומדים בכל דרישות פרופיל העבודה.
13. ודאו באמצעות צוות סגול כי לא ניתן להדליף מידע באמצעות מערך ההשחרה.
14. ודאו כי יכולות האבטחה של המוצר מובילות ביחס לחלופות הקיימות בארץ ובעולם.
15. ודאו כי מערך ההשחרה מקושר למערך ניטור מרכזי.
16. ודאו כי מערך ההשחרה מסוגל לגלות, לזהות ולסכל הוצאת 100% מהקבצים הגולמיים (קרי, עם תכנים שלא עברו עריכה או שינוי פורמט) שהארגון אוסר להוציאם מהרשת שלו.
17. ודאו כי מערך ההשחרה מסוגל לגלות, לזהות ולסכל הוצאת 95% מהקבצים הלא הגולמיים (קרי, תכנים שעברו עריכה או שינוי פורמט) שהארגון אוסר להוציאם מהרשת שלו.
</t>
  </si>
  <si>
    <t>20. הארגון וידא כי קובץ שעבר תהליך השחרה נחתם דיגיטלית (Digital Signature) בהתאם לדרישות חוק חתימה אלקטרונית תשס"א-2001, וזאת לשם מניעת שינוי תוכנו ללא ידיעת המשתמש או התכחשות מצד מבצע ההשחרה (Non-Repudiation).
21. הארגון וידא כי לקובץ שעבר תהליך השחרה מוסף "סימן מים" (Watermark) סמוי מהמשתמש וייחודי, וכי הסימן עובר בעת ביצוע צילום/סריקה למידע מודפס ודיגיטלי. יש לוודא כי "סימן המים" אינו כולל פרטים אודות הארגון.
22. הארגון וידא כי הוא שומר העתק של מידע אשר עבר השחרה באופן מוגן ולתקופה של שנה לפחות, וזאת כדי לאפשר תחקור בדיעבד.</t>
  </si>
  <si>
    <t>MP-6 (1),MP- 6 (2)</t>
  </si>
  <si>
    <t>מחשוב ענן ציבורי</t>
  </si>
  <si>
    <t>5.1</t>
  </si>
  <si>
    <t>מדיניות ענן
(הרחבה למדיניות הגנת המידע והסייבר בארגון)</t>
  </si>
  <si>
    <t>הנהלת החברה אישרה את המדיניות הארגונית ואת נוהלי העבודה לשימוש בענן
(הרחבה למדיניות הגנת המידע והסייבר)</t>
  </si>
  <si>
    <t xml:space="preserve">1. ודאו כי חוזה ההתקשרות עם ספק הענן משקף את חלוקת האחריות בינו לבין הארגון, כי נושאי המשרה בארגון מבינים את המשמעות הנגזרת מכך, וכי הדבר משתקף גם במסמך המדיניות.
2.ודאו כי מדיניות השימוש וההגנה בשירותי ענן היא עדכנית ותואמת את החידושים הטכנולוגיים, וכי הנהלת הארגון אישרה אותה בשנה האחרונה.
3.ודאו באופן מדגמי כי מידע שהעביר הארגון לשימוש בשירותי הענן אכן מותר בהתאם לדרישות החוק, הרגולציה, דרישות חוזיות וצרכים עסקיים.
4. ודאו כי קיימת חוות דעת תומכת של היועץ המשפטי לעבודה בענן.
5. ודאו כי תוכנית ההמשכיות העסקית של החברה כוללת מענה הולם לתרחישי ענן ייחודים, דוגמת התייחסות למצב שבו אי אפשר לגשת לשירותי הענן עקב תקלה או אירוע סייבר.
6. ודאו כי ברשות הארגון רשימה עדכנית של ממשקים מ/אל שירותי הענן.
7. ודאו כי מסמך המדיניות עושה שימוש בטרמינולוגיה מקובלת לסביבת ענן, דוגמת Blueprint.
8. ודאו כי מסמך המדיניות עומד בהמלצות מקובלות, דוגמת מסמכי מערך הסייבר הלאומי ומסמכי ארגון CSA (Cloud Security Alliance).
9. ודאו כי מודל ההרשאות, ההיררכיה וניהול המשאבים (Resources) מתאים להמלצות ספק הענן.
10. ודאו כי רישוי הענן כולל את יכולות האבטחה הנדרשות למימוש.
</t>
  </si>
  <si>
    <t>AC-20</t>
  </si>
  <si>
    <t>A.5.1.1, A.5.1.2, A.6.1.1, A.13.2.1,A.13.2.2,A.13.2.3,A.13.2.4,A.18.2.2,</t>
  </si>
  <si>
    <t>5.2</t>
  </si>
  <si>
    <t>התקשרות עם ספק ענן</t>
  </si>
  <si>
    <t>התקשרות הארגון עם ספק הענן מעוגנת בחוזה משפטי, המאגד את דרישות הגנת המידע והסייבר תוך הגדרת תחומי אחריות ברורים של הצדדים</t>
  </si>
  <si>
    <t>1.ודאו כי לפחות אחת לשנה בוחן הארגון את עמידת הספק בדרישות החוק, הרגולציה, הדרישות החוזיות והצרכים החוזיים של הארגון.
2.ודאו כי ממצאי דו"חות הביקורת של ספק הענן מועברים להנהלות של הארגון ושל הספק ומטופלים בהתאם.
3. ודאו כי חוזה ההתקשרות מכיל מדדים מקובלים ומנגנוני אכיפה בהתאם לצורכי הארגון.
4. ודאו כי חוזה ההתקשרות מכיל תחומי אחריות ברורים של הספק והארגון.
5. ודאו כי דרישות ההמשכיות העסקית של הארגון באות לידי ביטוי אפקטיבי בהסכם ההתקשרות.
6. ודאו כי במקרה של כשל או אירוע סייבר אצל הספק, יש מנגנון פיצוי מובנה בהסכם ההתקשרות.
7. ודאו כי רמת המחויבות של הספק לסייע לארגון במקרה של אירוע סייבר או אירוע אחר ברורה, ועונה לצורכי הארגון.
8. ודאו כי הארגון מבצע בחינה תקופתית של רמת עמידת הספק בתרחישים שכיחים, דוגמת זמן התגובה (SLA) ואיכות המענה בפועל במתן סיוע מקצועי דוגמת חקירת אירוע סייבר.</t>
  </si>
  <si>
    <t>PS-7</t>
  </si>
  <si>
    <t xml:space="preserve">A.15.1.1,A.15.1.2,A.15.1.3,A.15.2.1,A.15.2.2,A.15.2.3, </t>
  </si>
  <si>
    <t>5.3</t>
  </si>
  <si>
    <t>רציפות תפקודית והמשכיות עסקית בעת עבודה עם ספק ענן</t>
  </si>
  <si>
    <t>1.  ודאו כי תוכנית ה-BIA כוללת התייחסות לעבודה בענן וליתרונות/חסרונות בעבודה בתצורה זו.
2.ודאו כי הסכם ההתקשרות מכיל חובת הודעה מראש לפני סיום ההתקשרות בין הצדדים, וכי הארגון/ספק יכולים לעמוד בלוחות הזמנים ללא פגיעה בהמשכיות העסקית של הארגון.
3.ודאו כי קיים מנגנון להעברת מידע מאוחסן ו/או שירות מספק ענן פלוני לספק ענן אלמוני או לניהול מקומי (On-Premises), וכי בשנה האחרונה בוצע תרגיל אופרטיבי מוצלח לביצוע המעבר.
4. ודאו כי בהסכם ההתקשרות נקבעו תנאים ונוסחי הצהרה בדבר מחיקת הנתונים אצל ספק הענן.
5. ודאו כי תהליך מחיקת המידע כולל שימוש בעקרונות מקובלים בענן, דוגמת Encryption Shredding.
6. ודאו את חסינות סביבת הענן בפני תקיפות מניעת שירות מבוזרות.
7. ודאו כי ממשקי הגישה של הארגון לספק הענן חסינים מפני תקיפות מניעת שירות מבוזרות.
8. ודאו כי קיימים חשבונות ניהול לחירום (Breaking Glass Accounts) אשר ניתן להפעילם בעת הצורך.
9. ודאו כי סביבת הענן מנוטרת 24/7.
10. ודאו כי לארגון רמת שירות מועדפת ביחס ללקוחות אחרים שעושים שימוש בענן.
11. ודאו כי לארגון יכולת אפקטיבית להקים מאפס סביבת תקשוב בספק ענן חלופי / Region נפרד, וזאת תוך עמידה במדדים שהוגדרו בתוכנית ההמשכיות העסקית לתהליכים העסקיים (בדגש על תהליכים קריטיים).
12. ודאו כי יש לארגון גיבוי למידע מחוץ לסביבת הענן המשרתת את סביבת הייצור.</t>
  </si>
  <si>
    <t xml:space="preserve">1. הארגון וידא כי תוכנית ההמשכיות כוללת (בשינויים מחייבים) התייחסות לשירותים בענן.
2. הארגון וידא כי הוא מסוגל להמשיך בפעילות עסקית (בהתאם למדדים מקובלים) לאחר כשל מקומי בחוות השרתים של ספק הענן.
3. הארגון וידא כי תנאי ההתקשרות עם ספק הענן כוללים מדדי המשכיות עסקית שאישרה ההנהלה.
</t>
  </si>
  <si>
    <t xml:space="preserve">4. הארגון וידא כי גם במקרה של אי תשלום, ספק הענן אינו מבצע השבתה של השירותים ללא בחינה של הנושא עם נציגי הארגון המוסמכים.
5. הארגון וידא כי הוא מסוגל להמשיך בפעילות עסקית (בהתאם למדדים מקובלים) לאחר כשל כללי בחוות שרתים ספציפית של ספק הענן.
6. הארגון וידא כי תשתית תקשורת הנתונים והמערכות המשיקות שמאפשרות קישוריות לספק הענן כוללות יתירות (Redundancy) העונה לדרישות הארגון. 
7. הארגון וידא כי מימש בענן מנגנונים מקובלים ליתירות (Redundancy), תוך הבטחה לעמידה במדדים שאישרה ההנהלה. </t>
  </si>
  <si>
    <t>8. הארגון וידא כי הוא מסוגל להמשיך בפעילות עסקית (בהתאם למדדים מקובלים) לאחר כשל כללי של ספק הענן.
9. הארגון וידא כי הוא מסוגל להגדיל בזמן קצר את קיבולת תשתית ההתקשרות עם ספק הענן.</t>
  </si>
  <si>
    <t>A.17.1.1,A.17.1.2,A17.1.3,A.17.2.1</t>
  </si>
  <si>
    <t>5.4</t>
  </si>
  <si>
    <t>ניהול שינויים ותצורה בענן
(הרחבה לבקרות רוחביות)</t>
  </si>
  <si>
    <t>הארגון וידא כי הטמיע תהליכי ניהול שינויים ותצורה ביעדי ההגנה הקיימים בענן הציבורי</t>
  </si>
  <si>
    <t>6. הארגון וידא כי הוא הפעיל את הלוגים שעליהם ממליץ ספק הענן, כך שהוא יוכל לעקוב אחר שינויים המבוצעים בסביבת העבודה ולתחקר אותם.
7. הארגון וידא את תאימות כלי ניהול התצורה (Configuration Management) שברשותו לעבודה עם ספק הענן.
8. הארגון וידא את תאימות כלי ניהול יעדי הגנה (Asset Management) שברשותו לעבודה עם ספק הענן.
9. הארגון וידא כי נעל (Lock) הגדרות תצורה ואובייקטים רלוונטיים, כך שהם לא יימחקו/ישונו עקב טעות אנוש.
10. הארגון וידא כי הוא עושה שימוש ב-Blueprint לשם הטמעה של משאבים חדשים או שינוי מאפיינים של משאבים (Resources) קיימים. ככלל, אין לאפשר ביצוע שינויים בסביבה בדרך חלופית.</t>
  </si>
  <si>
    <t>11. הארגון וידא כי קיבע את הגדרות התצורה של המשאבים בענן (Lock cloud Resources), כך שכדי לבצע שינויים יהיה צורך לעבור את תהליך ניהול השינויים הארגוני בהצלחה, וזאת תוך שימוש במערכת ממוכנת מרכזית לניהול זרימת העבודה (Workflow).</t>
  </si>
  <si>
    <t>A.12.1.1,
A.12.1.2,
A.12.1.3,</t>
  </si>
  <si>
    <t>5.5</t>
  </si>
  <si>
    <t>ענן היברידי (Hybrid Cloud)</t>
  </si>
  <si>
    <t>הארגון מיישם דרישות הגנה מקובלות בעת עבודה בתצורת ענן היברידי (Hybrid Cloud)</t>
  </si>
  <si>
    <t>1. הארגון וידא כי אמצעי ההגנה שברשותו תומכים בעבודה בסביבת ענן היברידית (Hybrid Cloud).
2. הארגון וידא כי חשבונות משתמשים וחשבונות אפליקטיביים שאינם זקוקים לשימוש בשירותי הענן אינם מסונכרנים לספרייה אצל ספק הענן (Directory Synchronization).
3. הארגון וידא כי סיסמאות חשבונות משתמשים וחשבונות אפליקטיביים אינן מסונכרנות כ-Cleartext לספרייה אצל ספק הענן (Directory Synchronization).
4. הארגון וידא כי משתמשים רגילים אינם מסוגלים להוסיף חשבונות משתמשים וחשבונות אפליקטיביים חדשים לתשתית ה-Directory בענן (ראוי לציין כי חלק מספקי הענן מאפשרים כברירת מחדל הוספת חשבונות מחשב באמצעות משתמש רגיל).
5. הארגון וידא כי יעדי ההגנה האחראים לסנכרון חשבונות משתמשים וחשבונות אפליקטיביים מרשת הארגון לספרייה אצל ספק הענן (Directory Synchronization) מופרדים לוגית מיעדי ההגנה האחרים בארגון.
6. הארגון וידא כי הגדיר מכסות (Quota) וספים (Threshold) לנפחי אחסון וקיבולת התעבורה.
7. הארגון וידא כי אין חפיפה (Overlap) בין כתובות ה-IP המשרתות את תשתית הענן לאלו אשר משרתות את הארגון באופן מקומי (On-Premises).
8. הארגון וידא כי רשומות ה-DNS אצל ספק הענן אינן מכילות תיעוד של יעדי הגנה אשר אינם נדרשים לפעילות שוטפת.</t>
  </si>
  <si>
    <t>A.13.1.1,A.13.1.2,A.13.2.3,</t>
  </si>
  <si>
    <t>5.6</t>
  </si>
  <si>
    <t xml:space="preserve">הגנה על המידע המאוחסן בענן </t>
  </si>
  <si>
    <t>הארגון מיישם דרישות הגנה מקובלות במטרה להגן על המידע הארגוני המאוחסן בענן ציבורי</t>
  </si>
  <si>
    <t>AC-1</t>
  </si>
  <si>
    <t xml:space="preserve">A.13.1.1,A.13.1.2,A.13.2.3,A.14.1.2,A.14.1.3, </t>
  </si>
  <si>
    <t>5.7</t>
  </si>
  <si>
    <t>היערכות ארגונית להתמודדות עם אירועי הגנת מידע וסייבר בעת עבודה עם ספק ענן ציבורי</t>
  </si>
  <si>
    <t>הארגון וידא כי הגדיר יחד עם ספק הענן הציבורי תהליך התמודדות עם אירועי הגנת מידע וסייבר/תהליך תגובה, תוך חלוקת תחומי אחריות, סמכויות ומסגרת SLA.
(בקרה זו מהווה הרחבה לפרק RESPONSE)</t>
  </si>
  <si>
    <t>1. יש לוודא כי מודיעין הסייבר כולל התייחסות לאיומים ואירועים בסביבת הענן.
2. יש לוודא כי הארגון מודע למגבלות משפטיות בעת ביצוע פעולות חקירה פורנזיות, דוגמת מגבלות הנובעות מכך שהמידע מאוחסן/מעובד בשטחה של מדינה זרה.
3. יש לוודא החלה של בקרות פרק "איתור וזיהוי (Detect &amp; Identify)".
4. יש לוודא כי הארגון עומד בכל הבקרות הרלוונטיות בפרק "טיפול באירועי סייבר".
5. יש לוודא כי כי לתשתית ספק הענן יש יכולות מובנות לביצוע חקירה פורנזית, וכי ברשות הארגון יכולת וידע להפעילן.
6. יש לוודא כי במסגרת חקירה פורנזית לא נחשף בפני הספק או לקוח אחר מידע ארגוני רגיש/חסוי.
7. יש לתת את הדעת על כך שביצוע פעולות התאוששות עלול להשמיד ראיות, ולפיכך יש לבצע פעולות שכאלה רק לאחר סיום איסוף הראיות.</t>
  </si>
  <si>
    <t>1. הארגון וידא כי תוכנית התגובה שברשותו כוללת התייחסות לתרחישים רלוונטיים לסביבת הענן, לרבות Playbooks מותאמים.
2. הארגון וידא כי הוא מכיר את מודל חלוקת האחריות (Shared Responsibility Model) בסביבות הענן השונות (Service Domain, Infrastructure Domain, Application Domain).
3. הארגון וידא כי הוא מכיר את תהליכי התגובה לאירועים ותהליכי החקירה הפורנזיים (DFIR – Digital Forensic &amp; Incident Response) העדכניים והמומלצים על ידי ספק הענן במקרה של אירוע או חשד לאירוע.
4. הארגון וידא כי כלי החקירה הפורנזיים שברשותו מתאימים לביצוע חקירה בסביבות הענן השונות (Service Domain, Infrastructure Domain, Application Domain).
5. הארגון וידא הפעלת לוגים ביעדי ההגנה השונים, בהתאם להמלצות ספק הענן.
6. הארגון וידא כי הלוגים שהופקו מיעדי ההגנה בענן מועתקים לסביבה מופרדת לוגית, וכי הם נשמרים ללא שינוי/מחיקה לתקופה העונה לדרישות חוקיות, רגולטוריות, חוזיות ועסקיות.</t>
  </si>
  <si>
    <t>12. הארגון וידא כי מרבית פעולות התגובה בענן, לרבות חקירה פורנזית,  מתבצעות באופן ממוכן ותוך צמצום למינימום של מעורבות יד אדם.</t>
  </si>
  <si>
    <t>מתודולוג + טכנולוג + חוקר סייבר</t>
  </si>
  <si>
    <t>SA-9, IR-5</t>
  </si>
  <si>
    <t>A.16.1.1,A.16.1.2,A.16.1.3,A.16.1.4,A.16.1.5,A.16.1.6,A.16.1.7,</t>
  </si>
  <si>
    <t>5.8</t>
  </si>
  <si>
    <t xml:space="preserve">הגנה על ארכיטקטורה ללא שרת (Serverless Architecture) </t>
  </si>
  <si>
    <t>הארגון וידא כי הטמיע תהליך הגנה לארכיטקטורה ללא שרת (Serverless Architecture). שם חלופי - FaaS (Function as a Service).</t>
  </si>
  <si>
    <t>1. ודאו כי תהליך הענקת הרשאות לקוד/Function/משאבים/תשתית ה-Serverless מנוהל בצורה נאותה וכי רשימת המשתמשים נסקרת ומאושרת אחת לשנה לכל הפחות.
2. ודאו כי בכל פעם שמבוצע שינוי בהרשאות, נשלחת התרעה במייל לגורמים הרלוונטיים.
3.ודאו כי ברשות הארגון אסמכתאות המעידות כי ספק הענן אימץ עקרונות מקובלים לפיתוח מאובטח, לרבות אבטחת קוד פתוח.
4. ודאו כי ברשות הארגון ראיה המעידה שלא ניתן לבצע Debug בסביבת הייצור.
5. ודאו כי הסודות (Secrets) ומפתחות ההצפנה אינם מאוחסנים בקובצי קוד/קונפיגורציה.
6. ודאו כי תהליך החלפת הסודות (Secrets) ומפתחות ההצפנה מתבצע ללא מעורבות יד אדם.
7. ודאו קישור של סביבת ה-Serverless למערך ניטור מרכזי.
8. ודאו כי ברשות הארגון מיפוי עדכני של ה-Features and Behaviors של כל Function, וכי המשמעות האבטחתית נותחה ופערים אבטחתיים טופלו.
9. ודאו כי ברשות הארגון אמצעים מקובלים לגילוי וזיהוי של בעיות הקשורות לעלויות, אבטחה, ביצועים, עמידות בפני תקלות, מגבלות בשירותים ועוד.
10. ודאו כי הארגון יכול לגלות ולזהות בזמן אמת/בזמן ריצה (Runtime) התנהגות חריגה של Function, וכי הוא גיבש תהליך תגובה מתאים.</t>
  </si>
  <si>
    <t>18. הארגון וידא כי הוא עושה שימוש באמצעי אבטחה מקובל ועדכני של צד שלישי לשם הגנה על ארכיטקטורת Serverless.
19. הארגון וידא כי מעדיף שימוש ב-Schemes מוכרים המתאימים לארכיטקטורת Serverless, וזאת כחלופה לפיתוח עצמי.
20. הארגון וידא כי לכל Function הוגדרו פרטי אימות ייעודים, בהתאם לתצורת העבודה (Private/Public).
21. הארגון וידא כי הוא מגלה ומזהה כל אמצעי אחסון חדש (דוגמת buckets), ומוודא כי הגישה אליו מותנית באימות מוצלח וכי קיימת הרשאה תקפה.  
22. הארגון וידא כי הוא הקנה ל-FunCIons הרשאות גישה למשאבים (Files, Functions, Storage Buckets, Database Tables) בהתאם לעקרונות מקובלים (דוגמת RBAC, Least Privilege, SoD).
23. הארגון וידא כי הוא מבצע ניטור רציף של ההרשאות המוקנות ברמת קוד ה-Function וה-IAM, בהתאם ל-Baseline מוגדר.
24. הארגון וידא כי לכל בקשה (Request) נוצר FunCIon Instances חדש וייעודי, אשר נמחק בסיום המשימה. יש לוודא כי ניתן מענה לסוגיית Cold Start, כך שיישום דרישה זו לא יפגע בביצועי ה-Function.</t>
  </si>
  <si>
    <t>25. הארגון וידא כי כל הפעולות (דוגמת Resource Access) מתועדות בלוג חיצוני. 
26. הארגון וידא כי הגדיר נקודות ביקורת (Gates) בתהליך ה-CI/CD Pipeline, כדי לוודא שרכיבי צד שלישי אינם מכילים חולשות ו/או הגדרות תצורה שאינן עומדות בדרישות מדיניות הגנת המידע והסייבר של הארגון.
27. הארגון וידא כי הוא מאחסן את ה-Secrets מחוץ לקוד/קובצי קונפיגורציה, ומספק אותם רק בשלב ה-Runtime באמצעות Secure API שמציע ספק שירותי הענן או פתרון צד שלישי מקובל ועדכני. יש להעדיף שימוש במודול התומך בתקן FIPS 140-3 Level 2 ומעלה.
28. הארגון וידא כי ה-Functions פותחו בהתאם לעקרונות מקובלים, ולצורך ביצוע משימות ממוקדות ועצמאיות/ממוקדות. כמו כן יש לוודא באופן שוטף כי  אין חריגה של ה-Functions מהתיחום אשר הוגדר להן.
29. הארגון וידא כי הוחלו הגבלות בהתאם לפרמטרים הבאים:
א. Timeout Limits לפעילות Function.
ב. מגבלת דיסק (Quota) לשימוש של כל Function.
ג. API Request Throttling.
30. הארגון וידא כי הוא מגלה, מזהה ומסיר באופן ממוכן ואוטומטי Obsolete serverless assets, cloud resources, IAM roles and any unknown serverless code.
31. הארגון וידא כי בסיום כל פעולת Function מתבצע הליך מחיקה של מידע שאוחסן באופן זמני בדיסק הקשיח/בזיכרון הנדיף (RAM), כך שתוקף פוטנציאלי לא יוכל לאחזר מידע היסטורי.</t>
  </si>
  <si>
    <t>32. הארגון וידא כי ברשותו מיפוי עדכני של הקוד החל מנקודת הכניסה (Entrypoint\Exitpoint), וזאת לשם מיפוי ה-code path וה-Resources הנדרשים להפעלה בכל שלב בתהליך - וכי כל ניסיון לחרוג ממתאר הפעילות נחסם ב"זמן אמת" (Real Time).
33. הארגון וידא כי ברשותו מיפוי עדכני של ה-Features and Behaviors של כל Function (כדוגמת אילו טריגרים מופעלים ומתי, או מהו סוג הקלט/פלט), וכי ניסיון לחרוג ממתאר הפעילות נחסם ב"זמן אמת" (Real Time).
34. הארגון וידא כי האפליקציה תוכננה מראש כדי להתמודד עם מצב שבו גורם צד שלישי מנסה להשפיע על התהליך הלוגי שהוגדר (דוגמת קריאה ל-Function לפני הזמן, מילוי מדיית האחסון במידע סתמי או יצירת עיכוב בהגעת Event).
35. הארגון וידא כי הוא מיישם שכבת הגנה נפרדת ובלתי תלויה בקוד של כל Function.</t>
  </si>
  <si>
    <t xml:space="preserve">הגנה על יעדי ההגנה </t>
  </si>
  <si>
    <t>6.1</t>
  </si>
  <si>
    <t>תוכנית פנים ארגונית לטיפול בתהליכי רכש ואבטחת שרשרת האספקה</t>
  </si>
  <si>
    <t>7. הארגון וידא כי הוא קבע מדיניות הערכת סיכונים בשרשרת האספקה (SCRM – Supply Chain Risk Management). על המדיניות לכלול התייחסות לנושאים מקובלים, לרבות:
א. שימוש במתודת אבטחת שרשרת האספקה של מערך הסייבר הלאומי או מתודה אחרת.
ב. מהימנות עובדים וספקים.
ג. חוסן כלכלי של הספקים.
ד. שינויים בסוג ההתקשרות עם הספק ובמבנה הארגוני/טכנולוגי של הספק.
ה. תרגילי הגנת מידע וסייבר הכוללים ספקים וצד ג' של ספקים.
ו. טיפול במחלוקות, בדגש על מניעת פגיעה ברמת הגנת המידע והסייבר של הארגון (דוגמת מניעת חשיפה של מידע רגיש/חסוי אודות מערך ההגנה או לקוחות במסגרת הליך משפטי פומבי).
ז. שיטת בדיקת ההצהרה של הספק (Assertion) - תצהיר משפטי, תצהיר משפטי נתמך בראיות, ביצוע סקר ספק תקופתי על ידי נציגי הארגון, שימוש באמצעים טכנולוגיים לשיקוף מצב האבטחה.
8. הארגון וידא כי עובדי הרכש עוברים הדרכות תקופתיות המותאמות להתמודדות מיטבית עם איומים הנובעים מפעילות שרשרת האספקה.
9. הארגון וידא כי ברשותו מפת חום (Heat Map) עדכנית של הספקים ביחס לסיכונים נגזרים.
10. הארגון וידא כי הוא מבצע רכש מספקים מהימנים.
11. הארגון וידא כי הוא מקבל תמיכה מספקים מהימנים.
12. הארגון וידא כי יעדי ההגנה כוללים את הפונקציונליות האבטחתית הנדרשת, וכי קיימת ברשותו יכולת להפעילם באופן אפקטיבי.</t>
  </si>
  <si>
    <t xml:space="preserve">A.6.1.5,
A.15.1.1,A.15.1.2,A.15.1.3,A.15.2.1,A.15.2.2, </t>
  </si>
  <si>
    <t>ניהול שינויים (Change Management) והעברה לייצור</t>
  </si>
  <si>
    <t>6.2</t>
  </si>
  <si>
    <t>ניהול שינויים (Change Management)</t>
  </si>
  <si>
    <t>הארגון מיישם תהליך ניהול שינויים (Change Management) הכולל התייחסות להיבטי הגנת מידע וסייבר</t>
  </si>
  <si>
    <t>1. הארגון וידא את קיומו של נוהל עבודה סדור בנושא ניהול שינויים (Change Management) הכולל התייחסות לסוגיות מקובלות, דוגמת:
א. מיפוי יעדי ההגנה.
ב. הערכת סיכונים מקדימה.
ג. האישורים הנדרשים לפני ביצוע שינויים בסביבת הייצור.
ד. רשימת בעלי תפקיד.
ה. הגדרות תצורה מאושרות.
ו. בדיקות קבלה/תקינות לאחר ביצוע השינוי.
ז. ביצוע שינוי בתהליך מקוצר עקב אילוץ ארגוני/דחיפות.
ח. תהליך תיעוד השינויים והגדרות התצורה.
ט. מדדים מקובלים.
י. אינטגרציה עם תהליך ההמשכיות העסקית.
יא. בחינת השפעות על משטח התקיפה (Attack Surface).
יב. ביצוע בדיקות לאחר השינוי, כדי להבטיח שהפונקציונלית האבטחתית פועלת בהתאם לנדרש.
2. הארגון וידא כי לכל יעד הגנה הוקצו הגדרות תצורה (Configuration Management) ייעודיות (Baseline), וכי הוא בוחן באופן תקופתי את עדכניות ורלוונטיות הגדרות התצורה ביחס לצרכיו.
3. הארגון וידא כי ברשותו העתק הגדרות תצורה (Configuration Management) של כל יעד הגנה, כך שניתן יהיה להשתמש בהן לצורך שחזור/התקנה מאפס של יעד ההגנה (Rollback). יש לוודא כי קיים העתק של לפחות חמש גרסאות לאחור, אשר מאוחסן מחוץ ליעד ההגנה תוך מניעת אפשרות ביצוע שינויים לא מורשים/גישה לא מורשית.
4. הארגון וידא באופן תקופתי כי ביכולתו לחזור להגדרות תצורה קודמות (System Configuration Rollback), וכי קובצי הגדרות התצורה תקינים.
5. הארגון וידא כי רק סביבת הייצור מחזיקה מידע אמת.
6. הארגון וידא כי כלי ניהול התצורה (Configuration Management) שברשותו מתאימים לעבודה עם יעדי ההגנה אשר ברשותו.
7. הארגון וידא כי ברשותו מיפוי עדכני של יעדי ההגנה.</t>
  </si>
  <si>
    <t xml:space="preserve">8. הארגון וידא כי ביכולתו לגלות ולזהות הגדרות תצורה (System Configuration) החורגות מה-Baseline המאושר.
9. הארגון וידא כי קיימת תחזית תקופתית לצריכת משאבים (Management Capacity), כך שהוא יוכל להקצות משאבים נדרשים ללא פגיעה תפעולית.
10. הארגון וידא כי קובצי קונפיגורציה (דוגמת Templates) אינם מכילים "Secrets" (דוגמת: API Management keys, Storage keys, Passwords, SSH keys, Cryptographic keys, Access tokens).
11. הארגון ביצע תהליך של ניתוח השינויים ביעדי ההגנה (Impact Analysis) לצורך קביעת השפעות פוטנציאליות לפני הטמעת השינוי בסביבת הייצור. </t>
  </si>
  <si>
    <t>16. הארגון וידא כי הוא עושה שימוש ברשת ייעודית לצורך ביצוע פעולות ניהול (OOB).
17. הארגון וידא כי הוא מצמצם למינימום האפשרי את השימוש ביד אדם לשם ביצוע שינויים.</t>
  </si>
  <si>
    <t>AC-6,CM-2, CM-2 (1), CM-2 (2), CM-2 (3), CM-3, CM-3 (1), CM-4, CM-4 (1)</t>
  </si>
  <si>
    <t>A.12.1.1,A.12.1.2,A.12.1.3,A.12.1.4,</t>
  </si>
  <si>
    <t>6.3</t>
  </si>
  <si>
    <t>הגדרת שימוש בקונטיינרים (Containers)</t>
  </si>
  <si>
    <t>הארגון משלב בקרות הגנה בעת השימוש בקונטיינרים (Containers)</t>
  </si>
  <si>
    <t xml:space="preserve">1. ודאו כי ברשות הארגון מיפוי עדכני של ספריות הקוד, יחסי התלות והאפליקציות המנוהלות על גבי קונטיינרים.
2. ודאו כי הארגון עושה שימוש ב-Images בעלי רמת אמון גבוהה.
3. ודאו כי הארגון עושה שימוש בספריות קוד בעלות רמת אמון גבוהה.
4.ודאו כי תהליך פיתוח מאובטח כולל התייחסות לנושאים מקובלים לאבטחת הקונטיינרים.
5. ודאו כי הארגון מגלה, מזהה ומטפל בחולשות ברמת האפליקציה/הקוד וב-Base Image. 
6. ודאו כי הארגון עושה שימוש ב-Base Image המממש את עקרון הפונקציונליות הנמוכה (Least FunctIonality).
7. ודאו כי ברשות הארגון ניטור רציף המוודא את עמידתו של ה-Image בדרישות ההגנה בסייבר, ומונע אפשרות להפעלת/הרצת Image שאינו עומד בדרישות ההגנה בסייבר של הארגון.
8. ודאו כי הארגון מסוגל לגלות, לזהות ולסכל הורדת Image זדוני העושה שימוש בשם דומה ל-Image לגיטימי.
9. ודאו כי הארגון מסוגל לגלות, לזהות ולסכל הורדת ספריית קוד זדונית העושה שימוש בשם דומה לספרייה לגיטימית.
10. ודאו כי ה-Image עומד בדרישות הקשחה מקובלות.
11. ודאו כי הגישה ל-Container Registry\Repository מוגבלת למורשים בלבד, וכי ניסיונות גישה לא מורשים מתועדים ומטופלים. 
12. ודאו כי ברשות הארגון יכולת לגלות ולזהות בזמן אמת/בזמן ריצה (Runtime) התנהגות חריגה של קונטיינר, וכי לארגון תהליך תגובה מתאים.
</t>
  </si>
  <si>
    <t>6.4</t>
  </si>
  <si>
    <t>הפרדת סביבות</t>
  </si>
  <si>
    <t>הארגון וידא כי הגדיר עבור כל יעד הגנה סביבות נפרדות לצורך פיתוח, בדיקות, קדם ייצור וייצור</t>
  </si>
  <si>
    <t>1. יש לפנות לבקרת ״אנונימיזציה/התממה״.
2. יש לוודא כי נוהל העבודה כולל הגדרה של סוגי הסביבות שאותן להפריד ושל רמת ההפרדה הנדרשת (לוגית/פיזית). הפרדה לוגית: גידור רשתי (Network Segregation) וקיטוע רשתי (Network Segmentation/Network Isolation). הפרדה פיזית: Air-Gap.
3. כדי להגביל את השימוש בנתוני ייצור בסביבות פיתוח ובדיקות אפשר להשתמש בתהליכי אנונימיזציה (דוגמת השמטה או ערבול של נתונים מזהים) או בנתוני טסט סינתטיים לצורך סביבות פיתוח ובדיקות.
4. יש לוודא כי העברת רכיבי תוכנה מסביבות פיתוח ובדיקות מתבצעת בכפוף לאישור של "ועדת עלייה לייצור", המרכזת שינויים בסביבת הייצור ובוחנת אותם לפני ביצוע המעבר.
5. יש לוודא כי כל הסביבות זהות זו לזו, לרבות אמצעי ההגנה. הדבר חיוני לצורך בחינת אפקטיביות ויעילות מערך ההגנה, תוך צמצום האפשרות לפגיעה בפעילות ארגונית אם יופעלו בסביבת הייצור אמצעי אבטחה שאינם זמינים בסביבות אחרות.
6. יש לוודא כי לפני החלת שינויים בסביבת הייצור, השינויים נבדקים בסביבת בדיקה בלתי תלויה.</t>
  </si>
  <si>
    <t xml:space="preserve">1. ודאו כי המדיניות הארגונית להפרדת סביבות מעודכנת ומתוקפת לפחות אחת לשנה.
2. ודאו כי סביבות נמוכות אינן מכילות "מידע אמת".
3. ודאו כי רשימת המורשים לבצע שינויים בסביבת הייצור ובעלי הגישה אליה נסקרה ואושרה בשנה האחרונה.
4. ודאו כי תהליך העברת נתונים מסביבת הייצור לסביבות אחרות נעשה באופן מאובטח, ומגובה באישורים מתאימים שניתנו לפני ההעברה בפועל.
5. ודאו כי תהליך העברת רכיבי תוכנה מסביבות הפיתוח והבדיקות בסביבת הייצור נעשה לאחר קבלת האישורים המתאימים, וכי התהליך מתועד במלואו בצורה נאותה.
6. ודאו כי אמצעי האבטחה שבהם נעשה שימוש בסביבת הייצור קיימים גם בסביבות הנמוכות.
7. ודאו כי לא קיימת תלות בין הסביבות השונות.
8. ודאו כי הגישה לסביבת היצור מתבצעת דרך שרת מתווך  (Jump Server).
</t>
  </si>
  <si>
    <t>5. הארגון וידא כי נעשה שימוש במזהים ארגוניים שונים (דוגמת שמות חשבונות וסיסמאות) בכל סביבה.
6. הארגון וידא כי ברשותו לפחות שתי סביבות בלתי תלויות, אשר הארכיטקטורה ואמצעי האבטחה שלהן זהים לסביבת הייצור: סביבת ייצור, וסביבת פיתוח ובדיקות.</t>
  </si>
  <si>
    <t>7. הארגון וידא כי הגישה לסביבת הייצור מתבצעת דרך שרת מתווך (Jump Box) וכי קיימות בקרות הגנת תומכות. להרחבה ראו פרק ״בקרת גישה״.
8. הארגון וידא כי ברשותו לפחות שלוש סביבות בלתי תלויות, אשר הארכיטקטורה ואמצעי האבטחה שלהן זהים לסביבת הייצור: סביבת פיתוח, סביבת בדיקות וסביבת ייצור.
9. הארגון וידא כי אין תלות בין הסביבות השונות.</t>
  </si>
  <si>
    <t>10. הארגון וידא כי ברשותו לפחות ארבע סביבות בלתי תלויות, אשר הארכיטקטורה ואמצעי האבטחה שלהן זהים לסביבת הייצור: סביבת פיתוח, סביבת בדיקות, סביבת קדם-ייצור וסביבת ייצור.</t>
  </si>
  <si>
    <t>SC-7(21),SC-7(22), SC-32</t>
  </si>
  <si>
    <t>A.12.1.4,A.14.3.1,</t>
  </si>
  <si>
    <t>6.5</t>
  </si>
  <si>
    <t xml:space="preserve">בדיקות של יעד הגנה לפני עלייה ליצור </t>
  </si>
  <si>
    <t>הארגון ביצע בדיקות אבטחה וטיפל בחשיפות שהתגלו בהן לפני העלייה ליצור (יעד הגנה חדש או יעד הגנה קיים שעבר שינויים)</t>
  </si>
  <si>
    <t>1. יש לפנות לבקרת ״מדיניות ונוהלי עבודה לרכש ופיתוח״.
2. יש לפנות לבקרת ״מניעת דלף מידע (DLP)״, וזאת לאור העובדה כי הקוד עשוי להכיל מזהים ארגוניים או מידע רגיש/חסוי.
3. יש לוודא מימוש מקובל לעקרונות הנדסת מערכת (System Engineering).
4. יש לוודא את אפקטיביות אמצעי האבטחה המגינים על יעד ההגנה.
5. יש לוודא כי יעד ההגנה נכלל במערך בקרה מתמשכת ורציפה.
6. יש להעדיף שימוש בגורם צד שלישי לשם ביצוע בדיקות חוסן.
7. יש לוודא כי הארגון הגדיר תרחישי סיכון לסביבת הפיתוח והבדיקות ואמצעי התמודדות איתם, לרבות קיומו של גורם פנימי הפועל ברשלנות, בשוויון נפש או במזיד.
8. במקרה של יעד הגנה ברמה 3 ומעלה, יש לעשות שימוש בגורם צד שלישי לביצוע בדיקות חוסן, לרבות ניסיונות חדירה מבוקרים.</t>
  </si>
  <si>
    <t>1. ודאו כי ברשות הארגון תיעוד של בדיקות אבטחת המידע שבוצעו לפני הטמעת יעדי ההגנה והשירותים.
2. ודאו כי לאחר גילוי חולשות/חשיפות בוצע תהליך תיקון והפקת לקחים, וכי רמת הסיכון מיעד ההגנה עומדת במדדים אשר הגדירה הנהלת הארגון.
3. ודאו כי לפני הפעלת יעד ההגנה בסביבת הייצור אמצעי האבטחה פועלים כמצופה.
4. ודאו כי לפני הפעלת יעד ההגנה בסביבת הייצור גורם ניהולי אישר זאת.
5. ודאו כי נעשה שימוש בגורמי צד שלישי לבחינת רמת הסיכון ובדיקות חוסן ליעד ההגנה, וזאת לפני הפעלה בסביבת הייצור.
6. ודאו כי יעד ההגנה שולב בתהליכים רוחביים/שגרות הגנה, דוגמת גיבוי, סריקת חולשות/פגיעויות, והטמעת עדכוני אבטחה.
7. ודאו כי בוצע סקר סיכונים ליעד ההגנה לפני הפעלתו. במקרה של יעד הגנה ברמה 3 ומעלה, יש לוודא כי את סקר הסיכונים ביצע גורם צד שלישי.
8. ודאו כי בוצעה בדיקת חוסן ליעד הגנה בטרם הפעלתו. במקרה של יעד הגנה ברמה 3 ומעלה, יש לוודא כי את בדיקת החוסן ביצע גורם צד שלישי.
9. ודאו באופן מדגמי את החלתה של הקשחה ליעד ההגנה, וזאת בהתאם למדיניות הארגון.
10. ודאו באופן מדגמי כי יעד ההגנה שולב בתהליכים רוחביים, דוגמת גיבויים, הקשחה, המשכיות עסקית וניטור סייבר.</t>
  </si>
  <si>
    <t>22. הארגון וידא כי יעד ההגנה משולב באופן רציף בתהליכי בחינת תקינות, דוגמת הנדסת כאוס (Chaos Engineering).</t>
  </si>
  <si>
    <t>SA-11, SA-11 (2), SA-11 (3), SA-11(8)</t>
  </si>
  <si>
    <t xml:space="preserve">A.8.1.1, A.12.1.3,A.14.2.7,A.14.2.2,A.14.2.3,A.14.2.8A.14.2.9,A.18.2.1,A.18.2.2,A.18.2.3, 
</t>
  </si>
  <si>
    <t>6.6</t>
  </si>
  <si>
    <t>מניעה והתמודדות עם קוד זדוני/נוזקות (Malware)</t>
  </si>
  <si>
    <t>הארגון וידא כי הטמיע אמצעים לגילוי, זיהוי וסיכול הפעלת נוזקה/ קוד זדוני (Malware) ולהסרתה, אשר מבצעים פעילות הגנה אקטיבית ובאופן שוטף</t>
  </si>
  <si>
    <t>6.7</t>
  </si>
  <si>
    <t>הגנה על יעדי הגנה העושים שימוש בבינה מלאכותית (Artificial Intelligence)</t>
  </si>
  <si>
    <t>הארגון מאבטח יעדי הגנה העושים שימוש באלגוריתמים של בינה מלאכותית (Artificial Intelligence) דוגמת ML - Machine Learning</t>
  </si>
  <si>
    <t xml:space="preserve">1. ודאו כי ברשות הארגון מודל איומים (Threat Model) עדכני למודל/אלגוריתם, וכי בקרות ההגנה שהוחלו מספקות מענה אפקטיבי ויעיל לפרופיל הסיכון.
2. ודאו כי קיימת חוות דעת מקצועית משני גורמים התומכת בסעיף שלעיל.
3. בחנו את ממצאי בדיקות החוסן למודל/אלגוריתם, לרבות שימוש ב-Dataset חדש לשם תיקוף המודל.
4. ודאו תוך שימוש בתיעוד מקובל ועדכני כי חולשות ידועות זכו למענה הולם, וכי יש תהליך לטיפול בחולשות לא ידועות.
5. ודאו כי קיים מסמך אתיקה לשימוש בבינה מלאכותית שאושר על ידי הנהלת הארגון בשנה האחרונה, וכי הוא מכיל התייחסות לנושאים מקובלים בתחום.
6. ודאו כי בעת פריצה של תוקף לקובצי ספריית הקוד של האלגוריתם, מנגנוני הגנה בלתי תלויים ימנעו בצורה נאותה ואפקטיבית את חילוץ הלוגיקה העסקית שמאחוריו.
</t>
  </si>
  <si>
    <t>1. הארגון וידא כי הוא בוחן עם הגורם העסקי/הלקוח (דוגמת מנהל פיתוח ומנהל השיווק) אם יעד ההגנה/המוצר יעשה שימוש באלגוריתם בינה מלאכותית - ואם כן, מהו מקור האלגוריתם (פיתוח עצמי, קוד פתוח, רכישה וכו').
2. הארגון וידא כי הוא מתייחס לאלגוריתם בינה מלאכותית כמידע חסוי, ונוקט צעדים נדרשים לשם הגנה על סודיות, שלמות, מהימנות וזמינות האלגוריתם.</t>
  </si>
  <si>
    <t xml:space="preserve">4. הארגון וידא כי אלגוריתם הבינה המלאכותית שבו הוא משתמש מסוגל לספק חסינות אפקטיבית בפני טעויות או חוסר עקביות, וזאת בכל שלבי מחזור החיים של יעד ההגנה/המוצר.
</t>
  </si>
  <si>
    <t xml:space="preserve">A.14.1.2,A.14.1.3,A.14.2.5, </t>
  </si>
  <si>
    <t>6.8</t>
  </si>
  <si>
    <t>אבטחת יעדי הגנה המסתמכים על יכולות ניווט, מיקום וקביעת זמן (PNT)</t>
  </si>
  <si>
    <t>הארגון מאבטח את יעדי ההגנה המסתמכים על יכולות ניווט, מיקום וקביעת זמן (PNT)</t>
  </si>
  <si>
    <r>
      <rPr>
        <sz val="12"/>
        <color theme="1"/>
        <rFont val="Calibri"/>
      </rPr>
      <t xml:space="preserve">1. הארגון וידא כי ברשותו מיפוי עדכני של יעדי הגנה הכוללים יכולות ניווט, מיקום וקביעת זמן (PNT).
2. הארגון וידא כי ברשותו מיפוי עדכני של יעדי הגנה אשר לשם פעולה תקינה מסתמכים על מידע המתקבל ממערכות ניווט, מיקום וקביעת זמן (PNT).
</t>
    </r>
    <r>
      <rPr>
        <b/>
        <sz val="12"/>
        <color theme="1"/>
        <rFont val="Calibri"/>
      </rPr>
      <t xml:space="preserve">אבטחת שעון זמן פנים ארגוני:
</t>
    </r>
    <r>
      <rPr>
        <sz val="12"/>
        <color theme="1"/>
        <rFont val="Calibri"/>
      </rPr>
      <t>3. הארגון וידא כי בהתאם לדרישות החוקיות, הרגולטוריות (דוגמת MiFID II), החוזיות והעסקיות הוא קבע את הפרמטרים הבאים:
א. רמת השוני המותרת בערך השעון של יעדי ההגנה ברשת הארגון (Offset).
ב. רמת השוני המותרת בין ערך השעון של יעדי ההגנה ברשת הארגון, לערך השעון המקובל בעולם (לרבות שותפים עסקיים).
ג. השיהוי המותר בקבלת ערך שעון (Delay) ממקור פנימי/חיצוני מוסמך (Round Trip).
ד. משך הזמן שבו הארגון יוכל לפעול באופן תקין ללא סנכרון עם שעון זמן עולמי מוסמך.
4. הארגון וידא כי הגדיר ארכיטקטורת סנכרון שעון זמן הכוללת:
א. יעד ההגנה מסתנכרן ישירות מול שעון זמן עולמי מוסמך.</t>
    </r>
  </si>
  <si>
    <r>
      <rPr>
        <sz val="12"/>
        <color theme="1"/>
        <rFont val="Calibri"/>
      </rPr>
      <t xml:space="preserve">5. הארגון וידא כי קיים מודל איומים (Threat Model) עדכני ומתוקף לתלות של יעדי ההגנה בתקינות תהליכי הניווט, המיקום וקביעת הזמן (PNT), וכי הנהלת הארגון אישרה את פרופיל הסיכון (Risk Profile).
</t>
    </r>
    <r>
      <rPr>
        <b/>
        <sz val="12"/>
        <color theme="1"/>
        <rFont val="Calibri"/>
      </rPr>
      <t xml:space="preserve">אבטחת שעון זמן פנים ארגוני:
</t>
    </r>
    <r>
      <rPr>
        <sz val="12"/>
        <color theme="1"/>
        <rFont val="Calibri"/>
      </rPr>
      <t xml:space="preserve">6. הארגון וידא כי הוא מסוגל לעבוד באופן תקין במשך תקופה שהוגדרה מראש ללא סנכרון זמן עם העולם. 
7. הארגון וידא כי ברשותו ארכיטקטורת סנכרון זמן המבוססת על השכבות הבאות:
א. שעון זמן מקומי מוסמך המשרת את יעדי ההגנה בארגון (דוגמת PDC Emulator).
ב. שעון זמן מקומי מוסמך המסנכרן את השעון שלו עם שעון זמן עולמי מוסמך.
</t>
    </r>
    <r>
      <rPr>
        <b/>
        <sz val="12"/>
        <color theme="1"/>
        <rFont val="Calibri"/>
      </rPr>
      <t xml:space="preserve">הגנה על יעדי הגנה הכוללים/המסתמכים על יכולות ניווט/מיקום:
</t>
    </r>
    <r>
      <rPr>
        <sz val="12"/>
        <color theme="1"/>
        <rFont val="Calibri"/>
      </rPr>
      <t xml:space="preserve">8. הארגון וידא כי בהתאם לדרישות החוקיות, הרגולטוריות, החוזיות והעסקיות (דוגמת מהי רמת הסטייה לאיתור פריט במחסן) הוא קבע את הפרמטרים הבאים:
א. המרחק בין המיקום של הפריט/יעד האמיתי לבין המיקום שהתקבל ממערכת הניווט.
ב. הסטייה המותרת בעת תנועה, ביחס למרחק והמיקום האמיתיים של פריט/יעד.
9. הארגון וידא כי ברשותו אמצעי ניווט/מיקום חלופי ובלתי תלוי, העושה שימוש בטכנולוגיה שונה - כך שניתן יהיה להשתמש בו אם האמצעי הראשי ישובש או יפסיק לפעול עקב אירוע הגנת מידע וסייבר או סיבה אחרת. </t>
    </r>
  </si>
  <si>
    <t>A.12.4.4</t>
  </si>
  <si>
    <t>6.9</t>
  </si>
  <si>
    <t>הקשחה של יעדי ההגנה (System Hardening)</t>
  </si>
  <si>
    <t>הארגון וידא כי הגדיר תהליך להקשחת יעדי ההגנה השונים</t>
  </si>
  <si>
    <t>CM-6</t>
  </si>
  <si>
    <t>A.14.1.1,A.14.1.2,A.14.1.3,</t>
  </si>
  <si>
    <t>6.10</t>
  </si>
  <si>
    <t>הטמעת עדכוני אבטחה (פאצ'ים) ביעדי ההגנה</t>
  </si>
  <si>
    <t>הארגון וידא כי הוא הגדיר תהליך להטמעת עדכוני אבטחה (פאצ'ים) ביעדי ההגנה המשרתים אותו</t>
  </si>
  <si>
    <t>1. הארגון וידא כי הפעיל ביעדי ההגנה את המנגנון המובנה להטמעת עדכוני אבטחה, וזאת תוך הפנייה למקור מהימן (Trustworthy) המאחסן את העדכונים.
2. הארגון וידא כי ברשותו הסכם שירות עם יצרן יעדי ההגנה, המחייב המצאת עדכוני אבטחה (פאצ'ים) בסד זמנים מוגדר ועונה לדרישות מדיניות הארגון/פרופיל הסיכון (Risk Profile).
3. הארגון וידא כי הוא משלים את הטמעת עדכוני האבטחה (פאצ'ים) בהתאם לסד הזמנים המומלץ על ידי היצרן.
4. הארגון וידא כי מתוך כל יעדי ההגנה הוא עדכן לכל הפחות את עמדות העבודה, השרתים וכל ציוד שמשרת ממשקים/ערוצים המקושרים לרשת ציבורית.</t>
  </si>
  <si>
    <t xml:space="preserve">5. הארגון וידא כי ברשותו מערכת שליטה ובקרה מרכזית להטמעת עדכוני אבטחה (פאצ'ים).
6. הארגון וידא כי הוא עושה שימוש בפאצ'ים וירטואליים (Virtual Patches) כבקרה מפצה, רק עד לשחרור העדכון מהיצרן.
7. הארגון וידא כי הוא בוחן את תקינות עדכוני האבטחה בסביבת בדיקות מייצגת לפני הטמעתם בפועל.
</t>
  </si>
  <si>
    <t>6.11</t>
  </si>
  <si>
    <t>שליטה, אכיפה וניטור של מחזור החיים של תוכנות בארגון</t>
  </si>
  <si>
    <t>הארגון וידא כי הוא אכף מדיניות שליטה, אכיפה וניטור של מחזור החיים של תוכנות בארגון</t>
  </si>
  <si>
    <t>1. יש לפנות לבקרת "מניעה והונאה".
2. יש לפנות לבקרת "ארכיטקטורת 'אפס אמון' (Zero-Trust Architecture)".
3. יש לפנות לבקרת "בדיקת היגיינה טכנולוגית של יעד ההגנה".
4. יש לפנות לבקרת "הלבנה".
5. יש לפנות לבקרת "מניעת נוזקות/קוד זדוני".
6. יש לפנות לבקרת "יישום ואימות הגדרות תצורה".
7. יש לפנות לבקרת "הקשחה".
8. יש לוודא כי המשתמש אינו פועל בהרשאה גבוהה (דוגמת Local Administrator/Root).
9. יש לוודא כי הארגון עושה שימוש באמצעי מסוג Application Control. לעתים אמצעי זה הוא אחד מהמודולים של פתרון ה-Endpoint Security.
10. יש לוודא כי האמצעי Application Control מספק מענה למקרים שבהם המשתמש מנסה להשתמש בתוכנות שאינן מחייבות התקנה (דוגמת Portable Software או סקריפטים).
11. ניתן להקים Market Place פנימי בארגון, כך שיעדי ההגנה יוכלו למשוך תוכנות מורשות ממקום מרכזי ומנוהל.
12. יש לוודא כי המשתמש אינו מסוגל להתקין/להפעיל כלים המשמשים לתקיפות מסוג Living off the Land (LotL).
13. יש לוודא כי פקודות ב-Cmd\PowerShell וכד' מתועדות ללוג חיצוני, והלוג עובר למערך ה-SIEM.
14. יש לוודא כי אין למשתמשים גישה לקובצי התקנות של רכיבי תוכנה, בין אם מהאינטרנט או ממקור אחר.</t>
  </si>
  <si>
    <t>1. ודאו כי קיים תהליך ניהול מחזור לחיי תוכנה בארגון.
2. ודאו באופן מדגמי כי יעדי ההגנה אינם מכילים רכיבי תוכנה אסורים בשימוש.
3. ודאו באופן מדגמי כי לא ניתן להפעיל ביעדי ההגנה רכיבי תוכנה אסורים בשימוש.
4. ודאו באופן מדגמי כי יעדי ההגנה אינם מכילים רכיבי תוכנה EOL\EOS.
5. ודאו כי קיים בארגון תהליך לשדרוג והסרה של רכיבי תוכנה לא חיוניים.
6. ודאו כי לא ניתן להפעיל פקודות לא מאושרות ב-Cmd\PowerShell וכד', וזאת בהתאם לפרופיל/הרשאת המשתמש.
7. ודאו כי קיימים מנגנוני אבטחה פעילים, דוגמת Adaptive Application Controls (AAC).
8. ודאו כי ברשות הארגון מערכות שו"ב מרכזית לניהול מחזור החיים של התוכנה בארגון.
9. ודאו כי משתמשים אינם יכולים לגשת לקובצי התקנות של רכיבי תוכנה, בין אם מהאינטרנט או ממקור אחר.
10. ודאו כי ברשות הארגון מיפוי עדכני של רכיבי התוכנה בכל יעד הגנה. 
11. ודאו באופן מדגמי כי משתמשים רגילים אינם מסוגלים להפעיל כלי ניהול ביעדי ההגנה.
12. ודאו באופן מדגמי כי משתמשים אינם מסוגלים לעקוף את רמת ההגנה המאושרת.
13. ודאו באופן מדגמי כי יעדי ההגנה אינם מכילים קבצים זמניים (Temp Files).</t>
  </si>
  <si>
    <t>CM-11
CM-7</t>
  </si>
  <si>
    <t xml:space="preserve">A.9.4.4, A.12.5.1,A.12.6.2,A.18.1.2, </t>
  </si>
  <si>
    <t>6.12</t>
  </si>
  <si>
    <t>אבטחת תשתית בלוקצ'יין (Blockchain)</t>
  </si>
  <si>
    <t>הארגון וידא כי החיל בקרות לאבטחת תשתית בלוקצ'יין (Blockchain)</t>
  </si>
  <si>
    <t>1. ודאו כי קיים מודל איומים (Threat Modeling) עדכני לתשתית הבלוקצ'יין.
2. ודאו כי קיימות הוכחות אבטחה מקובלות לטכנולוגיה התשתיתית שעליה מבוססת המערכת.
3. ודאו כי קיים פרוטוקול בקרות על ארכיטקטורת התשתית ואופן הפריסה שלה.
4. ודאו כי קיים תהליך בקרה על חוזים חכמים חדשים (Audit) הנוצרים בתשתית.
5. ודאו כי קיים תהליך בקרה על כל המידע שיישלח אל הרשת, לרבות וידוא כי כולו מתאים לצפייה על ידי כל אחד מהגורמים ברשת, וכי לכל גורם מותר להעביר אותו לגוף שלישי.
6. ודאו כין אין יכולת לשתף את תשתית רשת הבלוקצ'יין עם רשתות נוספות או אפליקציות בעלות רמת רגישות שונה מזו של הרשת.
7. ודאו כי קיים תהליך בקרה על כל השותפים ברשת (כל הגורמים שיריצו node או יצרכו מידע מהרשת).
8. ודאו באמצעות בדיקות מדגמיות את יציבות הרשת וחסינותה לתקיפות מקובלות.
9. ודאו כי קיים תהליך סדור להטמעה של עדכוני אבטחה ברמת התשתית וברמת האלגוריתמים השונים.</t>
  </si>
  <si>
    <t>1. הארגון וידא כי הוא משתמש בתשתית נפרדות לשרתי הבלוקצ'יין (node) ולאפליקציות הפועלות מול הרשת (Application Servers). 
2. הארגון וידא כי הוא משתמש בתשתית ייעודית להגנה על מפתחות החשבונות (KMS).
3. הארגון וידא כי הוא משתמש במפתחות שונים לצורך ניהול המערכת ולצורך תפעול המערכת.
4. הארגון וידא כי הוא משתמש באמצעי טכנולוגי מקובל לגילוי וזיהוי כשלים/טעויות במימוש "חוזים חכמים" (Smart Contacts) ומימושים אחרים, וזאת לפני המעבר לסביבת הייצור.
5. הארגון וידא כי הוא נמנע משיתוף תשתית רשת הבלוקצ'יין עם רשתות נוספות או אפליקציות בעלות רמת רגישות שונה מזו של הרשת.
6. הארגון וידא כי הוא לא מאחסן בתשתית קבצים גדולים. כחלופה ניתן לבצע הפניה למיקום שבו הקובץ הגדול מאוחסן.
7. הארגון וידא כי ברשותו יכולת אפקטיבית להסרת שחקנים עוינים מהתשתית.
8. הארגון וידא כי הוא הגדיר חוקים עסקיים המיושמים ברמת התשתית.</t>
  </si>
  <si>
    <t>9. הארגון וידא כי הוא הגדיר חשבונות נפרדים לכל סוג פעולה ברשת הבלוקצ'יין.
10. הארגון וידא כי כל התעבורה בין שרתי האפליקציה (Application Servers) לבין שרתי הרשת (nodes) מתבצעת על גבי רשת מחוץ לתהליך (OOB).
11. הארגון וידא כי אימץ את עקרונות ה-CI\CD להטמעת שינויים בחוזים חכמים, כך שלא ניתן לבצע שינויים בסביבת הייצור באופן ידני.
12. הארגון וידא כי אם התשתית אינה מספקת הצפנה כברירת מחדל, הוא מחייב להצפין את המידע שנשמר על הרשת (בחוזים החכמים).</t>
  </si>
  <si>
    <t>13. הארגון וידא כי הוא לא מאפשר פעילות בתשתית ללא ניטור מלא של כל הפעולות (Audit).
14. הארגון וידא כי ביכולתו לעצור בזמן אמת טרנזקציות חריגות (Transaction Anomaly).
15. הארגון וידא כי הוא מתרגל באופן תקופתי את רמת האפקטיביות של תהליך הטמעת העדכונים/תיקונים בקוד החוזים החכמים.
16. הארגון וידא כי הטמיע מנגנונים מקובלים לשם גילוי, זיהוי וסיכול ניסיונות לביצוע שינוי של מידע על גבי השרתים באופן ישיר (Node data tampering detection).</t>
  </si>
  <si>
    <t>17. הארגון וידא כי הוא הגדיר תהליך בקרה ייעודי על תהליך עדכון הגרסאות, לרבות אישור של עדכון חוזה חכם על ידי שני גורמים בלתי תלויים (Dual Control).
18. הארגון וידא כי הגדיר תהליך לאישור מקדים של כל כתובת הפועלת מול חוזה חכם (Address Allowlist).</t>
  </si>
  <si>
    <t>הגנה על תחנות עבודה ושרתים</t>
  </si>
  <si>
    <t>7.1</t>
  </si>
  <si>
    <t xml:space="preserve">ניהול מרוכז של יישום ואימות הגדרות התצורה של המערכת (System Configuration) </t>
  </si>
  <si>
    <r>
      <rPr>
        <sz val="12"/>
        <color theme="1"/>
        <rFont val="Calibri"/>
      </rPr>
      <t xml:space="preserve">11. הארגון וידא כי ברשותו מערכת שליטה ובקרה מרכזית לניהול מחזור החיים של הגדרות התצורה (System Configuration) ביעדי ההגנה.
12. הארגון וידא כי מערכת הניהול המרכזית לניהול מחזור החיים של הגדרות התצורה ביעדי ההגנה עושה שימוש בפרוטוקולים פתוחים, המאפשרים שיתוף מידע נוח בין מערכות שליטה ובקרה (דוגמת CMDB\SCM).
13. הארגון וידא כי ביכולתו לגלות, לזהות ולחסום ביצוע שינויים לא מבוקרים ברמת החומרה/תוכנה ב"זמן אמת" (Real Time) או לכל הפחות "קרוב לזמן אמת" (Near Real Time).
</t>
    </r>
    <r>
      <rPr>
        <b/>
        <sz val="12"/>
        <color theme="1"/>
        <rFont val="Calibri"/>
      </rPr>
      <t xml:space="preserve">היסטוריית השינויים בהגדרות התצורה של יעדי ההגנה ויכולת חזרה לאחור:
</t>
    </r>
    <r>
      <rPr>
        <sz val="12"/>
        <color theme="1"/>
        <rFont val="Calibri"/>
      </rPr>
      <t>14. הארגון וידא כי ביכולתו להחזיר את הגדרות התצורה המאושרות ב"זמן אמת" או לכל הפחות "קרוב לזמן אמת".
15. הארגון וידא כי ביכולתו לראות את היסטוריית השינויים בהגדרות התצורה של יעדי ההגנה, וזאת לתקופה של שנה לאחור.
16. הארגון וידא כי יש לו יכולת חזרה לאחור (Rollback) של עד חמישים גרסאות לאחור או שנה לאחור (הדרישה המחמירה מבין השתיים).</t>
    </r>
  </si>
  <si>
    <t>SA-9(1), SA-4(1), SA-9</t>
  </si>
  <si>
    <t>A.12.1.2</t>
  </si>
  <si>
    <t>7.2</t>
  </si>
  <si>
    <t>הגנה על דפדפנים (Browsers Protection)</t>
  </si>
  <si>
    <t xml:space="preserve">הארגון מאבטח את הדפדפנים אשר נעשה בהם שימוש  </t>
  </si>
  <si>
    <t xml:space="preserve">1. ודאו כי הארגון יכול לבצע שדרוג מהיר של כל הדפדפנים שבחצרותיו באמצעות שימוש במערכת שו"ב מרכזית.
2. ודאו כי הרשאות לדפדפנים ניתנות בהתאם לעיקרון הצורך לדעת בלבד, וכי ההרשאות נסקרות ומאושרות אחת לשנה על ידי הגורם הרלוונטי בארגון.
3. ודאו כי קיימים בדפדפן מנגנוני אבטחה פעילים.
4. ודאו כי יכולתו האפקטיבית של הארגון להחלפת הדפדפן במקרה של חולשות נבדקה ונמצאה תקינה.
5. ודאו כי הארגון עושה שימוש בדפדפן בגרסה עדכנית.
6. ודאו כי הדפדפן אינו חושף מידע אישי או רגיש/חסוי לגורמי חוץ.
</t>
  </si>
  <si>
    <t xml:space="preserve">1. הארגון וידא כי כברירת מחדל אין אפשרות גישה ליעד הגנה העושה שימוש בתעודה דיגיטלית פגת תוקף ו/או ממקור לא מהימן (Trustworthy), וכי המשתמש מקבל התרעה (Alert) בעת ניסיון גישה מסוג זה.
2. הארגון וידא כי הדפדפן פועל תחת הרשאות נמוכות (Least Privilege), גם אם למשתמש יש הרשאות גבוהות יותר.
3. הארגון וידא כי ביכולתו להתקין עדכוני אבטחה (פאצ'ים) ושדרוגי גרסה - הן לדפדפן עצמו והן להרחבות/פלאגינים (Plugins). בכלל זה, יש לוודא תמיכה ביכולת הפצה מרחוק.
4. הארגון וידא כי הוא אינו מאפשר למשתמשים התקנה/הפעלה של דפדפנים (לרבות Portable) ופלאגינים (Plugins) שאינם מורשים.
</t>
  </si>
  <si>
    <t>SA-9(1), SA-4(1), SA-10</t>
  </si>
  <si>
    <t>A.12.5.1,A.12.6.2,</t>
  </si>
  <si>
    <t>7.3</t>
  </si>
  <si>
    <t>מניעת חיבור התקנים (דוגמת DOK) ליעד ההגנה</t>
  </si>
  <si>
    <t>הארגון מיישם אמצעי אבטחה לוגיים ופיזיים למניעת חיבור התקנים לא מורשים ליעד ההגנה</t>
  </si>
  <si>
    <t>1. ודאו באמצעות בדיקה מדגמית כי מותקנים חסמים פיזיים בממשקים הקיימים ביעדי ההגנה.
2. ודאו באמצעות בדיקה מדגמית כי פועלים חסמים לוגיים בממשקים הקיימים ביעדי ההגנה.
3. ודאו כי בעת חיבור התקן חיצוני לא מורשה, החיבור נחסם לפני יצירת קשר עם מערכת הקבצים וה-DMA של יעדי ההגנה, וכי מערך הניטור מגלה ומזהה את החיבור ומשתמש ב-Playbook מתאים.
4.  ודאו כי בעת חיבור התקן חיצוני המתחזה ללגיטימי, החיבור נחסם לפני יצירת קשר עם מערכת הקבצים וה-DMA של יעדי ההגנה, וכי מערך הניטור מגלה ומזהה את החיבור ומשתמש ב-Playbook מתאים.
5. ודאו כי  כי יעד הגנה שחובר אליו התקן לא מורשה מנותק מידית מרשת התקשוב, וזאת לשם הקטנת הסיכון להפצת נוזקה.
6. ודאו כי הארגון בוחן באופן תקופתי כי קיימת התאמה בין רשימת ההתקנים שאושרו במקור לבין רשימת ההתקנים שחוברו בפועל, תוך בחינה של זהות המשתמשים והעמידה בדרישות הארגון.</t>
  </si>
  <si>
    <t>2. הארגון וידא כי הוא חסם לוגית אפשרות לחיבור התקנים (דוגמת DOK) לא מורשים לממשקי תקשוב שכיחים של יעד ההגנה, וזאת על ידי שימוש בחסמים לוגיים (דוגמת Device Control).</t>
  </si>
  <si>
    <t>3. הארגון וידא כי הוא חסם לוגית אפשרות לחיבור התקנים (דוגמת DOK) לא מורשים לממשקי תקשוב שכיחים של יעד ההגנה, וזאת על ידי שימוש בחסמים לוגיים (דוגמת Device Control) המספקים גם יכולת לגלות, לזהות ולחסום חיבור התקנים המתחזים ללגיטימיים (דוגמת התקן המתחזה למקלדת HID הקיימת בארגון, אך למעשה מדובר ב-DOK המפעיל סקריפט זדוני).</t>
  </si>
  <si>
    <t>A.8.2.3, A.8.3.1,</t>
  </si>
  <si>
    <t>פיתוח מאובטח</t>
  </si>
  <si>
    <t>8.1</t>
  </si>
  <si>
    <t>דרישות פיתוח מאובטח (SSDLC - Secure Software Development Lifecycle)</t>
  </si>
  <si>
    <t>הארגון וידא כי הוא הטמיע תהליך לפיתוח מאובטח (SSDLC - Secure Software Development Lifecycle)</t>
  </si>
  <si>
    <t xml:space="preserve">1. ודאו כי אפיון מערכת המידע/המוצר כולל התייחסות לעקרונות מקובלים למימוש ארכיטקטורה מאובטחת.
2.ודאו כי שולב תהליך פיתוח מאובטח בתהליכים משיקים, דוגמת ניהול שינויים ורכש.
3.ודאו כי אימות פלטים וסינון קלטים בלתי צפויים נאכפים בצורה נאותה על ידי יעדי ההגנה.
4. ודאו כי ברשות הארגון מיפוי מלא של ספריות הקוד ויחסי התלות (SBOM).
5. ודאו כי צוות הפיתוח עושה שימוש בכלי פיתוח עדכניים, הכוללים מימוש עקרונות אבטחה מקובלים.
6. ודאו כי ברשות הארגון מתודולוגיית SSDLC עדכנית, העונה לדרישות המקובלות בתחום.
7. ודאו כי ממצאי ה-SSDLC משקפים את הנעשה בפועל, וזאת על ידי שימוש במדדים אובייקטיביים.
8. ודאו כי ברשות הארגון Threat Modeling עדכני למוצר, וכי הוטמעו בקרות מפצות בהתאם.
9. ודאו באמצעות בדיקות חוסן כי אין במוצר/רכיבי התוכנה חולשות שאינן ידועות.
10. ודאו באמצעות צפייה כי גורמי הפיתוח ושותפיהם מממשים את שיטת העבודה המוגדרת.
11. ודאו את איכות כלי האבטחה בעולם הפיתוח המאובטח שבהם משתמש הספק, וכן את יכולת הספק לעמוד בדרישות הארגון (לרבות צמצום הסיכון לערך קביל).
12. ודאו כי קיים תהליך מנוהל לבחינת תקינות תהליכי הכנסה/הוצאה של ספריות קוד, לרבות ספריות קוד מצד שלישי.
13. ודאו את שילוב המלצות יצרן שפת הפיתוח/Framework במוצר.
14. ודאו כי מיושמים במוצר עקרונות "הנדסת כאוס" (Chaos Engineering) ו"הנדסה מכוונת איומים" (CIE -Cyber-Informed Engineering).
15. ודאו באופן מדגמי כי סביבות נמוכות (פיתוח, בדיקות, קדם ייצור) אינן מכילות "מידע אמת".
16. ודאו כי רשימת החשבונות המורשים והרשאות הגישה לקוד עומדות בעקרונות מקובלים, דוגמת מתן הרשאות נמוכות (Least Privilage) והצורך לדעת (Need to Know). </t>
  </si>
  <si>
    <t>26. הארגון וידא כי יושמה תוכנית "ציד חולשות" (Bug Bounty Program), המאפשרת לגורמים פנים ארגוניים לאתר חולשות במוצרים ולדווח עליהן.
27. הארגון וידא כי הוא העביר ללקוחותיו קוד התנהגות רשמי (Code of Conduct), הכולל התייחסות למחויבות הארגונית להחיל עקרונות מקובלים להגנת מידע וסייבר.
28. הארגון וידא כי הוא משלב תהליכי הגנת מידע וסייבר בתהליך ב-CI/CD, תוך צמצום הצורך במעורבות יד אדם למינימום האפשרי.
29. הארגון וידא כי המוצרים שהוא מפתח כוללים כברירת מחדל התייחסות לדרישות הבאות:
א. מניעת חבלה ( Tamper Resistance) וחשיפת חבלה (Tamper Evident) ברכיבי המערכת.
ב. חתימה דיגיטלית על קובצי הקוד (Code Signing), כך שהלקוח יוכל להבטיח את אותנטיות (Authenticity) הרכיבים.
ג. יכולת גדילה (Scalability)  ללא צורך בהשבתה תפעולית.
30. הארגון וידא את יישום בדיקות הגנת המידע והסייבר הבאות:
א. בדיקות סטטיות לקוד /  SAST (Static Application Security Testing).
ב. Static Binary and Bytecode Analysis (Code Genealogy/Software Lineage)
ג. בדיקות חוסן שביצע גורם צד שלישי.
ד. מניעת הכנסה של רכיבי מערכת מזויפים.</t>
  </si>
  <si>
    <t>A.9.4.5, A.14.2.1,A.14.2.2,A.14.2.3,A.14.2.4,A.14.2.5,A.14.2.6,A.14.2.7,A.14.2.8,A.14.2.9,</t>
  </si>
  <si>
    <t>8.2</t>
  </si>
  <si>
    <t>אבטחת קוד פתוח (Open Source)</t>
  </si>
  <si>
    <t>1. יש לוודא כי המדיניות הארגונית כוללת התייחסות לסיכונים הקשורים לעבודה עם קוד פתוח, ולצעדים הנדרשים לצמצום  הסיכון. בכלל זה, יש לוודא כי המדיניות כוללת התייחסות לתקינה מקובלות, דוגמת ISO/IEC 5230 - OpenChain Specification.
2. יש להעדיף שימוש בספרייה הכוללת תמיכה בשימוש בפרוטוקולים פתוחים ומוכרים (דוגמת XML, YAML, JSON). שימוש בפרוטוקול שאינו שכיח יעלה את הסבירות לכך שאפקטיביות אמצעי האבטחה תהיה נמוכה או לא קיימת כלל.
3. יש לכלול את הספרייה בתהליך ה-Threat Modelling, לרבות מיפוי וקטורי תקיפה אפשריים ביחס לחולשות קיימות ופוטנציאליות.
4. יש לבחון עם היועץ המשפטי של הארגון את רישיון ספריית הקוד, כדי למנוע חשיפה אבטחתית ו/או משפטית ו/או אחרת.
5. יש לוודא כי ברשות הארגון מענה למקרים שבהם חולשות אבטחה לא תוקנו תוך זמן סביר על ידי צוות הפרויקט. במענה יש לכלול התייחסות להחלפת ספריית הקוד בספריה אחרת.
6. יש לוודא כי הארגון עוקב לאורך זמן אחר רמת השימוש בפרויקט/ספריית הקוד בעולם, וזאת כדי לוודא כי הם זוכים לתחזוקה ועדכונים שוטפים.
7. יש לוודא כי הארגון עושה שימוש באחת משתי הגרסאות האחרונות של ספריית הקוד הפתוח.
8. יש לוודא כי בתהליך ה-Build לא מתבצעת משיכה של גרסת ספרייה מהאינטרנט. קרי, יש לוודא כי כל תהליך ה-Build והפיתוח מתבצע באמצעות Repository מקומי.
9. יש לבצע בדיקות אבטחה לספריית הקוד מאפס, מאחר שחולשות מהותיות בספריות קוד פתוח הן שכיחות.</t>
  </si>
  <si>
    <t>1. ודאו כי ברשות הארגון מדיניות עדכנית לרכש ופיתוח מאובטחים, הכוללת התייחסות להיבטי שימוש בקוד פתוח.
2. ודאו כי הארגון אינו עושה שימוש בספריות קוד בעלות חולשות ידועות או שאינן מתוחזקות.
3. ודאו כי ספריית הקוד הפתוח מתעדכנת באופן שוטף.
4. ודאו כי מספר בעלי ההרשאה להכנסת הספרייה לארגון ולהוספתה לתהליכי הפיתוח הוא מינימלי, וכי ההנהלה בוחנת את הרשימה מדי שנה.
5. ודאו כי היועץ המשפטי של הארגון אישר את הרישוי של ספריות הקוד הפתוח שבהן הארגון משתמש.
7. ודאו כי מיפוי/תיעוד הבאגים הארגוני מכיל את כל החולשות שהתגלו בספרייה. 
8. ודאו כי בשנה האחרונה בוצע תרגול לבחינת הספרייה החלופית למקרה של חולשה שאותרה ואינה מתוקנת תוך זמן סביר.
9. ודאו כי הארגון מסוגל לגלות ולזהות מקטעי קוד הקיימים במוצר/בקוד המאוחד ומקורם בקוד פתוח, לרבות התחקות אחר המקור.
10. ודאו כי הארגון מסוגל לגלות, לזהות ולסכל הורדת ספריית קוד פתוח זדונית, העושה שימוש בשם דומה לספרייה לגיטימית.
11. ודאו כי ברשות הארגון פתרון SCA (Software Composition Analysis) המתעדכן באופן קבוע.</t>
  </si>
  <si>
    <t>7. הארגון וידא כי בעת אימוץ ספריות קוד פתוח יש התייחסות לשיקולים הבאים:
א. העדפת שימוש בקוד מקור שאינו מקומפל/בינארי.
ב. עמידה בבדיקות אבטחה מקובלות. ראו גם בקרת "דרישות פיתוח מאובטח (SDL - Security Development Lifecycle)".
ג. שימוש בגרסה עדכנית של הספרייה, שאינה מכילה חולשות אבטחה ידועות.
8. הארגון וידא כי רכיבי הקוד הפתוח (S-BOM) בתוכנות מסחריות מצד ג' אינם מכילים חולשות אבטחה ידועות. ניתן לבצע זאת באמצעות בדיקה עצמאית או פנייה ליצרן בבקשה לקבל אישור רשמי.</t>
  </si>
  <si>
    <t>13. הארגון וידא כי בעת אימוץ ספריות קוד פתוח יש התייחסות לשיקולים הבאים:
א. קיומה של תוכנית ציד באגים (Bug Bounty Program) פעילה ומוכרת.
ב. יכולת להבטיח פרסום פאצ'ים וירטואליים (Virtual Patches) בהתאם לסד זמנים מוגדר (SLA), וזאת עד להטמעת גרסה של הספרייה ללא חולשה או ביצוע תיקון אחר על ידי הארגון.
ג. השתתפות נציגי הארגון בצוות ניהול הפרויקט.</t>
  </si>
  <si>
    <t>A.14.2.5</t>
  </si>
  <si>
    <t>8.3</t>
  </si>
  <si>
    <t xml:space="preserve">הגנה בתהליכי רכש ופיתוח של מערכות </t>
  </si>
  <si>
    <t>הארגון יישם בקרות הגנה בתהליכי רכש/פיתוח של מוצר, והחיל את הבקרות הרלוונטיות על ספקיו/היצרנים</t>
  </si>
  <si>
    <t>1. ודאו באופן מדגמי כי חוזה ההתקשרות עם הספק כולל עיגון של מדדים ודרישות הגנת מידע וסייבר, לרבות דרכים לביצוע אסקלציה והטלת סנקציות במקרה של הפרה.
2. ודאו כי הארגון והספק מינו פונקציה ארגונית בתחום הגנת המידע והסייבר, אשר ברשותה הידע והמשאבים למילוי תפקידה באופן מיטבי.
3. ודאו כי המפרט הטכני מציג באופן מפורט כיצד הפונקציונליות האבטחתית ממומשת במוצר/שירות.
4. ודאו באופן מדגמי כי המוצר/שירות עומד במדדים, וכי דרישות הגנת המידע והסייבר והוטמעו.
5. ודאו כי המוצר/שירות פותח בהתאם לעקרונות מקובלים לעיצוב לאבטחה (Secure by Design).
6. ודאו כי המוצר/שירות פותח בהתאם לעקרונות מקובלים לעיצוב לפרטיות (Privacy by Design).
7. ודאו כי המוצר/שירות מחיל אבטחה כברירת מחדל (Secure by Default).
8. ודאו כי המוצר/שירות מחיל פרטיות כברירת מחדל (Privacy by Default).
9. ודאו כי רף החולשות במוצר/שירות עומד ברף שקבעה הנהלת הארגון.
10. ודאו באמצעות בדיקות חוסן כי המוצר/שירות אינו מכיל חולשות/פגיעויות מהותיות.
11. ודאו כי ברשות הארגון מיפוי מלא של ספריות הקוד ויחסי התלות (SBOM).
12. ודאו כי ברשות הארגון מיפוי של יצרני רכיבי החומרה בכל מוצר.</t>
  </si>
  <si>
    <r>
      <rPr>
        <b/>
        <sz val="12"/>
        <color theme="1"/>
        <rFont val="Calibri"/>
      </rPr>
      <t xml:space="preserve">1. כללי:
</t>
    </r>
    <r>
      <rPr>
        <sz val="12"/>
        <color theme="1"/>
        <rFont val="Calibri"/>
      </rPr>
      <t xml:space="preserve">א. הארגון וידא כי מיפה את סיכוני הגנת המידע והסייבר הכרוכים בתהליכי רכש תוכנה, והוא מנהל אותם בהתאם לתהליכי ניהול הסיכונים הקיימים בארגון.
ב. הארגון וידא כי הגדיר והחיל בדיקות קבלה ליעד הגנה חדש.
ג. הארגון וידא כי שילב את יעד ההגנה במחזור החיים המקובל בארגון.
ד. הארגון וידא כי הוא ביצע את הרכש מגורם מהימן.
ה. הארגון וידא כי הוא קיבל את התמיכה מגורם מהימן.
</t>
    </r>
    <r>
      <rPr>
        <b/>
        <sz val="12"/>
        <color theme="1"/>
        <rFont val="Calibri"/>
      </rPr>
      <t xml:space="preserve">2. הארגון וידא כי עיגן משפטית בחוזה עם הספק דרישות הגנת מידע וסייבר, לרבות:
</t>
    </r>
    <r>
      <rPr>
        <sz val="12"/>
        <color theme="1"/>
        <rFont val="Calibri"/>
      </rPr>
      <t>א. חלוקת האחריות בין הארגון לספק.
ב. דרישות הגנת מידע וסייבר שיש להחילן במוצר/שירות.
ג. מדדים לבחינת רמת הגנת המידע והסייבר במוצר/שירות, ושיטת הבחינה.
ד. חיוב הספק לעשות שימוש בעקרונות מקובלים לפיתוח מאובטח.
ה. הספק ימנה פונקציה ארגונית בתחום הגנת המידע והסייבר, אשר ברשותה הידע והמשאבים למילוי תפקידה באופן מיטבי, והיא תהווה POC מול הארגון בסוגיות הגנת מידע וסייבר.
ו. הפרדה בין סביבות העבודה שבהן נעשה פיתוח עבור הארגון, לבין סביבות עבודה אחרות.
ז. החובה לספק תיעוד טכני, לרבות מדריכי הקשחה/אבטחה.
ח. החובה לדווח לארגון בהתאם ל-SLA מוגדר על חולשה במוצר/שירות.
ט. החובה לפרסם בהתאם ל-SLA מוגדר עדכון אבטחה (פאץ') לסגירת חולשה/פגיעות במוצר/שירות.
י. מניעת השימוש ברכיבי תוכנה/חומרה אשר נמצאים במצב EOL\EOS, או אמורים להיות במצב זה בעתיד הנראה לעין.
יא. זכות לקניין רוחני (Intellectual Property).
יב. חובת הספק לתקן את הליקויים/הכשלים על חשבונו.
יג. מחיקת מידע בסיום העבודה.</t>
    </r>
  </si>
  <si>
    <r>
      <rPr>
        <b/>
        <sz val="12"/>
        <color theme="1"/>
        <rFont val="Calibri"/>
      </rPr>
      <t xml:space="preserve">3. כללי:
</t>
    </r>
    <r>
      <rPr>
        <sz val="12"/>
        <color theme="1"/>
        <rFont val="Calibri"/>
      </rPr>
      <t xml:space="preserve">א. הארגון וידא כי המוצר/שירות פותח בהתאם לעקרונות מקובלים לעיצוב לאבטחה (Secure by Design).
ב. הארגון וידא כי המוצר/שירות פותח בהתאם לעקרונות מקובלים לעיצוב לפרטיות (Privacy by Design).
ג. הארגון וידא כי המוצר/שירות מחיל אבטחה כברירת מחדל (Secure by Default).
ד. הארגון וידא כי המוצר/שירות מחיל פרטיות כברירת מחדל (Privacy by Default).
ה. הארגון וידא כי לשם ביצוע בקרה אפקטיבית במחזור החיים הוא הקצה פונקציה ארגונית בתחום הגנת המידע והסייבר אשר ברשותה הידע והמשאבים למילוי תפקידה באופן מיטבי.
</t>
    </r>
    <r>
      <rPr>
        <b/>
        <sz val="12"/>
        <color theme="1"/>
        <rFont val="Calibri"/>
      </rPr>
      <t xml:space="preserve">4. הארגון וידא כי עיגן משפטית בחוזה עם הספק דרישות הגנת מידע וסייבר, לרבות:
</t>
    </r>
    <r>
      <rPr>
        <sz val="12"/>
        <color theme="1"/>
        <rFont val="Calibri"/>
      </rPr>
      <t>א. חובת הספק לעשות שימוש בשיטות עבודה ואמצעים עדכניים לשם ביצוע פיתוח מאובטח.
ב. חובת הספק להציג ממצאים בהתאם לתסריטי בדיקה שהגדיר הארגון.
ג. המצאת תיאור פונקציונלי של בקרות ההגנה שיושמו במערכת, ומידע אודות עיצובן ומימושן.</t>
    </r>
  </si>
  <si>
    <r>
      <rPr>
        <b/>
        <sz val="12"/>
        <color theme="1"/>
        <rFont val="Calibri"/>
      </rPr>
      <t xml:space="preserve">5. כללי:
</t>
    </r>
    <r>
      <rPr>
        <sz val="12"/>
        <color theme="1"/>
        <rFont val="Calibri"/>
      </rPr>
      <t xml:space="preserve">א. הארגון וידא כי במשך מחזור החיים הוא ביצע בדיקות מדגמיות, תקופתיות ובלתי תלויות כדי לאמת שהמוצר/שירות עומד במדדי הגנת המידע והסייבר שהוגדרו.
ב. הארגון וידא כי הקצה משאבים נאותים להגנת מידע וסייבר בפרויקט, אשר מהווים לפחות 16 אחוז מתקציב הפרויקט הכולל.
ג. הארגון וידא כי ביצע בדיקות חוסן ליעדי ההגנה לפני שילובם בסביבת הייצור.
</t>
    </r>
    <r>
      <rPr>
        <b/>
        <sz val="12"/>
        <color theme="1"/>
        <rFont val="Calibri"/>
      </rPr>
      <t xml:space="preserve">6. הארגון וידא כי עיגן משפטית בחוזה עם הספק דרישות הגנת מידע וסייבר, לרבות:
</t>
    </r>
    <r>
      <rPr>
        <sz val="12"/>
        <color theme="1"/>
        <rFont val="Calibri"/>
      </rPr>
      <t>א. קיומה של הצהרה מטעם הארגון כי המוצר/שירות אינו מכיל הטמנה (דוגמת "דלת אחורית", "כפתור אדום" או "פצצה לוגית").
ב. חובת הספק להציג לארגון חוות דעת של גורמי מקצוע מצד שלישי כי המוצר/שירות עומד במדדים ובדרישות הגנת המידע והסייבר שאישר הארגון.
ג. העברה תקופתית של העתק קוד המקור והמסמכים השונים למשמורת אצל עורך דין או גורם אחר המקובל על הצדדים. כך, אם הגורם המפתח יפשוט רגל יוכל הארגון להמשיך את הפיתוח בעזרת גורם אחר (Code Escrow). דרישה זו ישימה עבור מוצרים אשר פותחו באופן ייעודי לארגון, ופחות כשמדובר במוצרי מדף.</t>
    </r>
  </si>
  <si>
    <r>
      <rPr>
        <b/>
        <sz val="12"/>
        <color theme="1"/>
        <rFont val="Calibri"/>
      </rPr>
      <t xml:space="preserve">7. כללי:
</t>
    </r>
    <r>
      <rPr>
        <sz val="12"/>
        <color theme="1"/>
        <rFont val="Calibri"/>
      </rPr>
      <t>א. הארגון וידא כי במהלך מחזור החיים הוא ביצע בדיקות מדגמיות, תקופתיות ועצמאיות כדי לאמת שהמוצר/שירות אינו מכיל הטמנה (דוגמת "דלת אחורית", "כפתור אדום" או "פצצה לוגית").
ב. הארגון וידא כי גורם מקצועי מטעמו ליווה את תהליך בדיקת המוצר (בדגש על מוצר OT) במפעל (PAT\SAT).</t>
    </r>
  </si>
  <si>
    <t>A.15.1.1,A.15.1.2,A.15.1.3,A.15.2.1,A.15.2.2,</t>
  </si>
  <si>
    <t xml:space="preserve">הגנה פיזית וסביבתית </t>
  </si>
  <si>
    <t>9.1</t>
  </si>
  <si>
    <t>יישום מדיניות ארגונית ונוהלי עבודה בנושא אבטחה פיזית וסביבתית</t>
  </si>
  <si>
    <t>הארגון יישם מדיניות ארגונית ונוהלי עבודה להגנה פיזית וסביבתית, תוך התייחסות לסיכונים ותרחישי אבטחה פיזית וסביבתית</t>
  </si>
  <si>
    <t>1. ודאו כי ברשות הארגון נהלים עדכניים לאבטחה פיזית וסביבתית, וכי הם אושרו על ידי ההנהלה בשנה האחרונה.
2. ודאו כי המשתמשים מודעים לנוהלי האבטחה, וזאת באמצעות תשאול או בדרך אחרת.
3. ודאו כי הארגון מעסיק קב"ט מוסמך משטרת ישראל.
4. ודאו כי ברשות הארגון תוכנית תרגולים שנתית לבדיקת רמת האבטחה, וכי התוכנית בוצעה כהלכה בשנה האחרונה.
5. ודאו באמצעות צוות סגול כי לא ניתן לקבל גישה למתחמי הארגון.
6. ודאו כי כל האמצעיים הטכנולוגיים שהוגדרו הוטמעו בשטח, וכי הם פעילים ונבדקים אחת לתקופה.
6. ודאו כי הארגון קיבל מיועצו המשפטי אישור עבור שימוש באמצעי צילום וכו'.
7. ודאו כי ברשות הארגון תרשים הכולל מיפוי של דרכי הכניסה/יציאה.
8. ודאו הטמעת עקרונות Crime Prevention Through Environmental Design, (CPTED) בסביבת העבודה.
9. ודאו כי ברשות הארגון מיפוי תרחישי איום, ובקרות מפצות בהתאם.
10. ודאו כי הקב"ט משולב בתהליכי בדיקת מהימנות, רכש ומש"א.
11.  ודאו כי מערך המצלמות במעגל סגור מספק כיסוי מתאים ומאפשר אחזור של הקלטות היסטוריות, כך שניתן לבצע תחקור בעת הצורך. 
12. ודאו כי מומחה לקריאת שפתיים אינו יכול לחשוף מידע רגיש/חסוי מחוץ למתחם הארגון.
13. ודאו באופן מדגמי את הישום של מדיניות "שולחן נקי" (Clear Desk) ו"שולחן עבודה נקי" (Clear Screen Policy).
14. ודאו כי הארגון נקט פעולות הגנה מקובלות על יעדי הגנה השוהים מחוץ לחצרותיו (דוגמת בתי העובדים).</t>
  </si>
  <si>
    <t xml:space="preserve">הארגון וידא כי הגדיר והטמיע מדיניות ונוהלי עבודה לגבי הגנה פיזית וסביבתית, הכוללת:
27. ביצוע בדיקות תקופתיות לגילוי וזיהוי מכשירי האזנה וקורנים. 
28. ביצוע ביקורות על ידי צד שלישי לבחינת אפקטיביות מערך מניעת הגישה.
</t>
  </si>
  <si>
    <t>PE-1</t>
  </si>
  <si>
    <t xml:space="preserve">A.11.1.1,A.11.1.2,A.11.1.3,A.11.1.4,A.11.1.5,A.11.1.6,A.11.2.1,A.11.2.2,A.11.2.3,A.11.2.4,A.11.2.5,A.11.2.6,A.11.2.7A.11.2.8,A.11.2.9,A.18.2.2, </t>
  </si>
  <si>
    <t>9.2</t>
  </si>
  <si>
    <t>הגדרה ותחזוקה של רשימת מורשי גישה למתחמי עבודה</t>
  </si>
  <si>
    <t>בארגון קיימת הגדרה ותחזוקה של רשימת מורשי גישה למתחמים רגישים/קריטיים (דוגמת חדרי שרתים וכניסה למתחם עבודה)</t>
  </si>
  <si>
    <t>1. מטרת הבקרה היא לוודא כי הארגון מתחזק ומעדכן באופן שוטף את רשימת מורשי הגישה למתחמי הארגון.
2. יש לוודא הנפקת תעודת עובד/אורח לצורך זיהוי, כאשר על תעודה זו להיות קצובה בזמן.
3. יש לוודא כי לא ניתן לעשות שימוש לרעה בתעודת העובד/אורח, דוגמת שכפול התעודה, שינוי תוקף, או גישה למתחמים אסורים תוך ניצול הרשאות גישה רוחביות.
4. יש לוודא כי ברשות הארגון העתק מודפס ועדכני של רשימת המורשים, כאשר העתק נוסף זמין באתר החלופי.
5. יש לוודא כי קיימת התאמה בין רשימת המשתמשים במערכות התקשוב לבין הרשימה שקיימת במערכת בקרת הכניסה ומערכת השכר.
6. יש לוודא כי משתמש אינו יכול לבצע פעולות ביעדי ההגנה בלי שהחתים קודם לכן שעון נוכחות או עבר מבחן אחר המוודא כי הוא נוכח פיזית במתחם העבודה. יוצאים מהכלל הם משתמשים מורשים אשר מבצעים פעילות לגיטימית מרחוק.
7. יש לבצע תחקור תקופתי כדי לוודא שהאורחים אשר הגיעו למתחם העבודה הם מורשים, וכי היה צורך עסקי בהזמנתם.</t>
  </si>
  <si>
    <t>1. ודאו באמצעות צוות סגול כי לא ניתן לקבל גישה למתחמים רגישים/קריטיים.
2. ודאו כי סיווג המתחמים נכון ביחס לסוג המידע וקריטיות התהליכים.
3. ודאו כי מתבצע תיעוד נכון של מבקרים ומורשי כניסה.
4. ודאו כי מורשים עוברים שלב אימות מקדים לפני קבלת גישה למתחם העבודה.
5. ודאו כי מערך המצלמות במעגל סגור מספק כיסוי מתאים, ומאפשר אחזור של הקלטות היסטוריות עבור ביצוע תחקור בעת הצורך. 
6. ודאו באופן מדגמי את נכונות הרישום באמצעות בחינה של פלט מערכות האבטחה ותשאול הגורמים השונים.
7. ודאו הטמעת עקרונות Crime Prevention Through Environmental Design, (CPTED) בסביבת העבודה.</t>
  </si>
  <si>
    <t xml:space="preserve">1. הארגון וידא כי ברשותו מיפוי עדכני של מתחמי העבודה (לרבות תיחום, דרכי כניסה/יציאה), תוך התייחסות לרשימת מורשי כניסה ורמת המהימנות הנדרשת מהם.
2. הארגון וידא כי הוא הציב שילוט בולט אשר מבהיר כי חל איסור על גורמים שאינם מורשים להיכנס למתחם העבודה.
3. הארגון וידא כי כניסה/יציאה ממתחם העבודה אפשרית רק לאחר מעבר דלת הנעולה בשגרה, שפתיחתה מחייבת אימות מוצלח באמצעות תג עובד אישי או שימוש במפתח אישי.
4. הארגון וידא כי ברשותו תיעוד של הנכנסים/היוצאים, כך שניתן לבצע תחקיר במקרה של אירוע או חשד לאירוע.
5. הארגון וידא כי הוא ביצע רישום של האורחים/המבקרים במתחמי העבודה, תוך התייחסות לפרמטרים מקובלים, דוגמת פרטי מאשר הביקור, הסיבה לביקור, זמן כניסה/יציאה.
6. הארגון וידא כי ביצע בדיקות מדגמיות ואקראיות לוידוא עדכניות, רלוונטיות והיעדר חריגות ברשימת מורשי הגישה והאורחים.
7. הארגון וידא כי כניסת אורח למתחם הארגון מותנית בליווי צמוד של המזמין. </t>
  </si>
  <si>
    <t>8. הארגון וידא כי הוא משתמש במערכת בקרת כניסה עם ניהול מרכזי לשם מתן גישה לאזורים רגישים/קריטיים, כך שניתן לוודא את זהות הגורמים הנכסים/היוצאים ממתחם העבודה.
9. הארגון וידא כי מערכת בקרת הכניסה מתעדת ברשומות הבקרה את כניסת/יציאת הגורמים השונים, וניסיונות גישה שלא צלחו.
10. הארגון וידא כי כניסה/יציאה מחדרי עבודה רגישים/קריטיים מותנית במעבר דלת הנעולה בשגרה, שפתיחתה מחייבת אימות מוצלח באמצעות תג עובד אישי או שימוש במפתח אישי.</t>
  </si>
  <si>
    <t>11. הארגון וידא כי לכל אורח מוקצה כרטיס מבקר אישי, המוגבל בזמן ובהרשאות הגישה שלו למתחם העבודה. מנפיק הכרטיס מנהל רישום של ההנפקה/ההחזרה של כרטיסי האורחים.
12. הארגון וידא כי תהליך ההנפקה/ההחזרה של כרטיסי העובד/המבקר מתועד באמצעות מצלמות במעגל סגור, ונשמר לשם תחקור עתידי. יש לוודא כי התיעוד נשמר למשך תקופה העונה לדרישות הארגון.
13. הארגון וידא כי ניהול זרימת העבודה (Workflow) למתן אישורי כניסה הוא ממוכן במלואו.
14. הארגון וידא כי כניסה/יציאה מחדרי עבודה רגישים/קריטיים מותנית במעבר דלת הנעולה בשגרה, שפתיחתה מחייבת השלמת אימות מוצלח באמצעות תג עובד אישי.
15. הארגון וידא כי הוא צמצם למינימום את מספר המורשים לאשר לאורחים גישה למתחמי העבודה.</t>
  </si>
  <si>
    <t>PE-2
PE-8</t>
  </si>
  <si>
    <t xml:space="preserve">A.11.1.2, </t>
  </si>
  <si>
    <t>9.3</t>
  </si>
  <si>
    <t>מיקום פיזי של יעדי ההגנה</t>
  </si>
  <si>
    <t>הארגון מיקם פיזית את יעדי ההגנה באופן שהקטין את פרופיל הסיכון</t>
  </si>
  <si>
    <t>1. הארגון נדרש למקם את יעדי ההגנה (חדרי השרתים/תקשורת) במקום מוגן ככל האפשר - במרכז המבנה ולא בצמוד לקירות חיצוניים או מקורות מים (כולל צינורות).
2. יש לוודא כי יעדי הגנה הכוללים נורות (דוגמת סורק) אינם ממוקמים סמוך לחלונות מתחם העבודה.
3. יש לבצע סיור תקופתי כדי לוודא שיעדי ההגנה לא נעלמו/נגנבו או הועברו למיקום חריג.
4. מומלץ להתייעץ עם מהנדס בנייה מורשה לגבי עמידות מתחם העבודה ברעידות אדמה וסוגיות רלוונטיות נוספות. כמו כן, מומלץ לעיין בתקנים מקובלים, דוגמת EMS-98.
5. יש לאשר את דרישות המימוש עם ממונה הבטיחות בארגון.</t>
  </si>
  <si>
    <t xml:space="preserve">1. ודאו כי ארכיטקטורת המבנה מספקת רמת הגנה הולמת למתאר הסיכון.
2. ודאו כי יעדי ההגנה ממוקמים בהתאם לדרישות.
3. ודאו כי ממונה בטיחות או גורם מוסמך אחר המציא אישור כי המתחם עומד בפני פגעי טבע וכדומה.
4. ודאו כי ממונה בטיחות או גורם מקצועי רלוונטי אחר הפיק בשנה האחרונה אישור.
</t>
  </si>
  <si>
    <t>6. הארגון וידא כי המתחם הפיזי שבו מאוחסנים יעדי ההגנה תומך בדרישות הבאות:
א. קיומה של הזנת חשמל (פאזה) ייעודית ליעדי ההגנה.
ב. קיומו של מנגנון לייצוב מתח.
ג. עמידה בפני רעידות אדמה בהתאם לדרישות תקינה עדכנית.
ד. קיומם של קירות בלוקים/בטון.
ה. יעדי ההגנה ממוקמים על גבי רצפה צפה/ארונות מחשוב, המוגבהים לפחות 10 ס"מ מעל הרצפה.
7. הארגון וידא כי יעדי הגנה הממוקמים באזור קבלת הקהל אינם נגישים למבקרים, וזאת באמצעות:
א. יעד ההגנה מאוחסן במארז המונע גישה קלה לממשקים השונים (חשמל, תקשורת וכו').
8. המארז מקובע לקיר בלוקים/בטון.</t>
  </si>
  <si>
    <t>9. הארגון וידא כי המתחם הפיזי שבו מאוחסנים יעדי ההגנה תומך בדרישות הבאות:
א. קיומה של הזנת חשמל מקבילית – חברת החשמל לצד הזנה מ-UPS (באמצעות שימוש ב-STS).
ב. מסכי המחשב אינם מופנים לעבר חלונות חיצוניים. במקרה שהדבר אינו ישים, יש להשתמש בבקרה מפצה דוגמת וילונות או הגפת תריסים.
10. הארגון וידא כי יעדי הגנה הממוקמים באזור קבלת הקהל אינם נגישים למבקרים, וזאת באמצעות:
א. יעד ההגנה מאוחסן במארז חסין חבלה (Tamper-Resistant).
ב. יעד ההגנה מאוחסן במארז הכולל מנגנון לחשיפת חבלה (Tamper-Evident).
ג. המארז מקובע לקיר בטון.</t>
  </si>
  <si>
    <t>11. הארגון וידא כי המתחם הפיזי שבו מאוחסנים יעדי ההגנה תומך בדרישות הבאות:
א. חלונות המתחם אינם מעבירים מידע ערכי אל הסביבה.
ב. קיומם של קירות בטון.
12. הארגון וידא כי יעדי הגנה הממוקמים באזור קבלת הקהל אינם נגישים למבקרים, וזאת באמצעות:
א. יעד ההגנה שבו נעשה שימוש הוא מסוג This Client בלבד.
13. הארגון וידא כי התקנים ניידים (דוגמת DOK) מאוחסנים בסיום העבודה בכספת חסינת אש.
14. הארגון וידא כי מידע רגיש/חסוי מאוחסן בסיום העבודה בכספת חסינת אש.</t>
  </si>
  <si>
    <t>PE-18</t>
  </si>
  <si>
    <t>A.11.2.1,</t>
  </si>
  <si>
    <t>9.4</t>
  </si>
  <si>
    <t xml:space="preserve">בקרות גישה פיזיות    </t>
  </si>
  <si>
    <t>לארגון יש בקרות גישה פיזיות בנקודות כניסה/יציאה/צמתי מפתח במתקן, הכוללות מימוש תהליכי תיעוד, אבטחה, ניטור והפעלת התרעות בעת הצורך</t>
  </si>
  <si>
    <t xml:space="preserve">1. ודאו כי קיימים חסמים לוגיים ופיזיים המונעים גישה של לא מורשים למתחם.
2. ודאו כי קיימים שילוט וכן חסמים לוגיים ופיזיים המכוונים את המשתמשים דרך צומתי שליטה ובקרה מרכזיים.
3. ודאו כי קיימים אמצעי תחקור המאפשרים גילוי וזיהוי של הנכנסים/יוצאים למתחם.
4. ודאו כי קיים שילוט מתאים, הכולל אזהרה מפני גישה לא מורשית.
5. ודאו כי צוות אבטחה מגיע תוך זמין סביר במקרה של חריגה/התרעה.
6. ודאו שימוש באמצעי אבטחה מוסווים.
7. ודאו כי כאשר משובשת פעילותו של אמצעי אבטחה נעשה שימוש בבקרה מפצה (דוגמת נוכחות שומר כאשר מצלמת האבטחה או שער הנוכחות מקולקלים).
8. ודאו כי במקרה של חשד לגניבה יש נוהל תחקור, וכי הארגון מבצע תרגול תקופתי לבחינת כשירות ומוכנות.
9. ודאו כי המשתמשים יודעים שחל עליהם איסור להוציא/להכניס ציוד מחשוב שלא בהתאם לנוהלי הארגון.
</t>
  </si>
  <si>
    <t>1. הארגון וידא כי צמצם למינימום את מספר נקודות הכניסה/היציאה מכל מתחם עבודה. יש לתת תשומת לב לשעות פעילות רגילות ולא רגילות (דוגמת שבתות וחגים, הדממה).
2. הארגון וידא כי בשעות הפעילות הרגילות קיימת נציגות מטעמו בסמוך לנקודות הכניסה/היציאה, כדי שתוכל לזהות התנהלות חשודה.
3. הארגון וידא כי הפעילות בנקודות הכניסה/היציאה ובצומתי מפתח מתועדת באמצעות מערכת מצלמות במעגל סגור.
4. הארגון וידא כי מעבר בנקודת כניסה/יציאה מחייב השלמה מוקדמת של תהליך אימות מוצלח (דוגמת העברת תג עובד במערכת בקרת כניסה).
5. הארגון וידא כי הוא מפקח ושולט על הכנסה/הוצאה של פריטים (דוגמת יעד הגנה) ממתחם העבודה.
6. הארגון וידא כי הוא מבצע ניטור של הגישה הפיזית למתחם העבודה, וזאת כדי למנוע הסתננות של גורמים לא מורשים הנכנסים בעקבות גורם מורשה (Tailgating/Piggybacking).
7. הארגון וידא כי יעדי הגנה קריטיים (דוגמת ציוד תקשורת) מאוחסנים בארון מתכת שמונע גישת לא מורשים. הקפידו לבדוק את איכות הנעילה - בארונות רבים אפשר לפתוח את הדלתות גם כשהן נעולות.</t>
  </si>
  <si>
    <t xml:space="preserve">14. הארגון וידא כי מערכת המצלמות במעגל סגור מצוידת ביכולות אנליטיקה המאפשרות לה לזהות ללא מעורבות אנושית:
א. אש והצפה/שטפון.
ב.  ניסיון של לא מורשה להוציא פריטים (דוגמת יעד הגנה).
ג. הימצאם של גורמים שאינם עובדי הארגון במתחמי העבודה.
</t>
  </si>
  <si>
    <t>PE-3
PE-4
PE-6</t>
  </si>
  <si>
    <t xml:space="preserve">A.11.1.1,A.11.1.2, </t>
  </si>
  <si>
    <t>9.5</t>
  </si>
  <si>
    <t>חסימה אקטיבית ופסיבית של שידורי RF (Radio Frequency)</t>
  </si>
  <si>
    <t>הארגון וידא כי הטמיע מערכי חסימה המגנים מפני שידורי RF (Radio Frequency)</t>
  </si>
  <si>
    <t>1. יש להיעזר בגורם מקצועי בעל תואר שני ומעלה בהנדסת חשמל/אלקטרוניקה, עם 5 שנות ניסיון לפחות בתכנון ובנייה של קורנים למיניהם (רדיו, מערכת חישה וכדומה).
2. יש לקבל אישור לפתרון מהממונה על הבטיחות בארגון.
3. יש לתת את הדעת על תדרי קיצון, דוגמת Extremely low frequency (ELF), Very Low Frequency (VLF).
4. יש לתת את הדעת על כך שתוקף יכול להשתמש באות לגיטימי לנשיאת שידור זדוני.
5. יש לוודא כי מתחמי עבודה רגישים (דוגמת חדר ישיבות) זוכים ברמת אבטחה מתאימה.
6. יש לוודא כי לא נעשה אפנון זדוני על גבי ערוץ אלחוט לגיטימי של הארגון.
7. יש להקפיד על כך שאמצעי האבטחה תומכים בתצורת קיטוב (Polarization) אופטית/אנכית וכו', כך ששידור לא מורשה המשתמש בתצורת קיטוב לא שגרתית יתגלה, יזוהה ויסוכל.
8. יש חשיבות לקיומו של מודיעין תומך לגבי יכולות תוקף לשם ביצוע אופטימיזציה של תהליך ההגנה.
9. יש לוודא כי המענה כולל התייחסות לשידורים מסוג LPI (Low Probability of Intercept):
א. Frequency-Hopping
ב. Chirp
ג. Direct Sequence
ד. שילוב של הנ"ל (Combined)
10. ניתן לעשות שימוש באמצעים כמו SDR (Software Defined Radio) לשם בחינת רמת האבטחה.</t>
  </si>
  <si>
    <t>1. ודאו באמצעות צוות סגול כי הארגון מסוגל לגלות ולזהות אירועים חריגים, דוגמת השתלת רכיב אקטיבי רדום במתחם ההנהלה או במתחם רגיש אחר, וכי יש לארגון נוהל תגובה מתאים.
2. ודאו באמצעות צוות סגול כי הארגון מסוגל לגלות ולזהות שידור לא מורשה ממתחם עבודה.
3. ודאו כי ברשות הארגון כיסוי הוליסטי של השידורים המותרים והלא מותרים במתחם.
4. ודאו כי לא ניתן להפיק מידע רגיש/חסוי מחוץ למתחם הארגון בעזרת אמצעים מקובלים, דוגמת בחינת רטט חלונות המתחם על ידי ציין לייזר או מיקרופון בעל מגבר שמע.
5. ודאו כי הארגון מחזיק במיפוי עדכני של תדרי העבודה, שיטות העבודה ועוצמות השידור של יעדי ההגנה אשר ברשותו.
6. ודאו כי אמצעי האבטחה מסוגלים להתמודד עם שידורים מסוג LPI.</t>
  </si>
  <si>
    <t>1. הארגון וידא כי ביצע חסימת שידור/קליטה בטווחי גל מקובלים לשימוש אזרחי (דוגמת Infrared, Wi-Fi, Bluetooth, Cellular, Satellite) וטווחי הגל שבהם פועל קול האדם.</t>
  </si>
  <si>
    <t>2. הארגון וידא כי ביכולתו להשתלט על ערוץ השידור/הקליטה ולהחליף את תוכן השידור בתוכן אלטרנטיבי.</t>
  </si>
  <si>
    <t>3. הארגון וידא כי הוא ביצע חסימת שידור/קליטה בטווחי גל מקובלים (דוגמת  Infrared, Wi-Fi, Bluetooth, Cellular, Satellite) ובטווחי גל שאינם מקובלים לשימוש אזרחי.
4. הארגון וידא כי ביכולתו לבצע איכון פיזי של מקור השידור/הקליטה.
5. הארגון וידא כי הוא מתשמש ביכולות חסימה פסיביות ואקטיביות.</t>
  </si>
  <si>
    <r>
      <rPr>
        <sz val="12"/>
        <color theme="1"/>
        <rFont val="Calibri"/>
      </rPr>
      <t xml:space="preserve">6. הארגון וידא כי חסימת השידור אפקטיבית גם כאשר המשדר/הקולט משתמש ביכולות שידור מתקדמות, דוגמת:
</t>
    </r>
    <r>
      <rPr>
        <b/>
        <sz val="12"/>
        <color theme="1"/>
        <rFont val="Calibri"/>
      </rPr>
      <t xml:space="preserve">Passband Modulation
</t>
    </r>
    <r>
      <rPr>
        <sz val="12"/>
        <color theme="1"/>
        <rFont val="Calibri"/>
      </rPr>
      <t xml:space="preserve">Analog Modulation (AM,FM,PM,QAM,SM,SSB)
Digital Modulation (ASK,APSK,CPM,FSK,MFSK,MSK,OOK,PPM,PSK,QAM,SC-FDE,TCM,WDM)
Hierarchical Modulation (QAM, WDM)
Spread Spectrum (CSS,DSSS,FHSS,THSS)
</t>
    </r>
    <r>
      <rPr>
        <b/>
        <sz val="12"/>
        <color theme="1"/>
        <rFont val="Calibri"/>
      </rPr>
      <t>Multiplexing</t>
    </r>
    <r>
      <rPr>
        <sz val="12"/>
        <color theme="1"/>
        <rFont val="Calibri"/>
      </rPr>
      <t xml:space="preserve">
Analog Modulation (AM,FM,PM,QAM,SM,SSB)
Circuit Mode (Constant Bandwidth) - (TDM,FDM / WDM,SDMA,Polarization,Spatial,OAM)
Statistical Multiplexing (variable bandwidth) - (Packet switching,Dynamic TDMA,FHSS,DSSS,OFDMA,SC-FDM,MC-SS)
7. הארגון וידא כי ביכולתו לעורר ציוד תקשורת אקטיבי "רדום", ובכך לחשוף את קיומו ומיקומו.</t>
    </r>
  </si>
  <si>
    <t>A.13.1.1,A.13.1.2,A.14.1.1,A.14.1.2,</t>
  </si>
  <si>
    <t>9.6</t>
  </si>
  <si>
    <t>הגנה מפני דלף אלקטרומגנטי/אדום/שחור (TEMPEST)</t>
  </si>
  <si>
    <t>הארגון הטמיע אמצעי אבטחה מפני דלף אלקטרומגנטי/אדום/שחור (TEMPEST)</t>
  </si>
  <si>
    <t>1. ודאו כי הארגון ביצע סקר ייעודי, הכולל מבדק חדירה להגנה מפני תקיפות פיזיקליות. 
2. ודאו כי לארגון יש מיפוי של איומים ותרחישי תקיפה אפשריים.
3. ודאו כי קיימת הפרדה פיזית מתאימה בין יעדי הגנה המחוברים לרשת שחורה לכאלה המחוברים לרשת אדומה.
4. בדקו את מיקום יעדי ההגנה ואת כיוון הפלטים האלקטרומגנטיים.
5. ודאו כי מערך תקשורת הנתונים אינו מכיל תמיכה ב-POE, בדגש על התקני OT, שרתים, ומערכי אחסון וגיבוי המקבלים שירות ממערך תקשורת הנתונים.
6. ודאו כי כי דרישות ההגנה של בקרת "דוא"מ (דופק אלקטרומגנטי)" בתורת ההגנה בסייבר לארגון הוחלו בהתאם לעומק היישום המקסימלי.
7. ודאו כי הארגון רוכש יעדי הגנה שרמת הפלט האלקטרומגנטי שלהם נמוכה.
8. ודאו כי קיימת חוות דעת מטעם גורם צד שלישי, המאשרת את עמידת התשתית ויעדי ההגנה בדרישות בקרה זו ותקפה עד לשנה לאחור.
9. ודאו כי יעדי ההגנה עומדים בדרישות התקינה הרלוונטית.
10. ודא כי ממונה הבטיחות אישר את הפתרון בשנה האחרונה.</t>
  </si>
  <si>
    <t>1. הארגון וידא כי ברשותו מיפוי עדכני של החלקים במערכת התקשוב שאחראים/מחוברים לפונקציונליות ה"שחורה", ושל אלו שאחראים/מחוברים לפונקציונליות ה"אדומה". כמו כן, יש לוודא כי המיפוי כולל התייחסות לממשקים עם הסביבה.
2. הארגון וידא כי קיימת הפרדה פיזית מספקת בין תשתית/רכיבי תקשוב "שחורים" ל"אדומים" (לרבות כבילת חשמל ונתונים).
3. הארגון וידא כי יעדי ההגנה מוקמו כך שעיקר הפלט האלקטרומגנטי יופנה לתוך הארגון ו/או לאזור שכולל מיסוך מתאים (Shielding) - בדגש על מכשירי פקס, סורקים, מדפסות, מסכי מחשב, יעדי הגנה של שמע (לרבות רמקולים ומיקרופונים צמודי מחשב/מסך) ויעדי הגנה המכילים מודולים/יכולות קריפטוגרפיים.
4. הארגון וידא כי ביצע בדיקת חוסן לאפקטיביות של מערך ההגנה נגד איומים ותרחישי תקיפה אפשריים (דוגמת Van Eck phreaking), וזאת באמצעות מומחה הגנה מפני תקיפות פיזיקליות.
5. הארגון וידא כי קיבל אישור תקינות לפתרון מממונה בטיחות ומגורמי מקצוע רלוונטיים בהתאם לדרישות החוק הישראלי.
6. הארגון וידא כי יעדי הגנה בעלי רמות אמון שונות (Trust Level) אינם מחוברים פיזית למדיום משותף (דוגמת KVM או מסך או מתג תקשורת).
7. הארגון וידא כי הוא אינו עושה שימוש במתגי תקשורת התומכים ב-POE (Power over Ethernet).</t>
  </si>
  <si>
    <t>8. הארגון וידא כי בוצע מיסוך למסכי מחשוב באמצעות מדבקות המקטינות את: (א) עוצמת הפלט אלקטרומגנטי לסביבה (ב) זווית הפליטה של השדר לסביבה.
9. הארגון וידא כי הוא משתמש בתשתית תקשורת אופטית שאינה כוללת מחברים מתכתיים.
10. הארגון וידא כי לא ניתן להשתמש באמצעי שמע (לרבות רמקולים צמודי מחשב/מסך) במתחם העבודה. 
11. הארגון וידא כי לא הוסף למתחם העבודה רכיב פסיבי/אקטיבי שיכול לשמש כמגבר אותות (למשל, שעון שהוענק כמתנה לגורם בארגון).</t>
  </si>
  <si>
    <t>12. הארגון וידא כי דרישות ההגנה של בקרת "דוא"מ (דופק אלקטרומגנטי)" בתורת ההגנה בסייבר לארגון הוחלו בהתאם לעומק היישום המקסימלי.
13. הארגון וידא כי קיימת הפרדה בין ערוצי החשמל וההארקה שמשרתים את הסביבה ה"שחורה" וה"אדומה", וזאת תוך ביצוע הפעולות הבאות:
א. סינון חשמל לניקוי גלים נישאים חריגים ("סינוס נלווה").
ב. הוספת "רעשי רקע" באופן רנדומלי.
ג. ביצוע סדרה של המרות בין זרם ישיר (DC) לזרם חלופי (AC), וחוזר חלילה (דוגמת שימוש ב-UPS התומך בטופולוגיה מסוג Online Double-Conversion).
ד. שימוש ב"מהפך" מסוג Pure Sine Wave Inverter, הכולל 12 טרנזיסטורים לכל הפחות [12 מיישרים (דיודות) - 4 לכל פאזה (הנקראים "גשר ויטסטון") כפול 3 לכל פאזה] או פתרון מקביל.
ה. מעבר למערכות עם גשר מיישר בעל 12 פולסים ויותר. גשר 12 פולסים מייצר הרמוניות בסדרה 11,13,23,25 וכו', כך שמשיגים שיפור ניכר בעוצמת ההרמוניות שיוזרקו לרשת.
ו. מסננים פסיביים (נקראים "מעגלי תהודה"), המורכבים מסלילים וקבלים ומותקנים בטור או במקביל  לעומס הבעייתי, ומהווים עכבה נמוכה באחד מתדרי ההרמוניות של העומס הלא ליניארי.
ז. מסננים אקטיביים - מערכת המותקנת במקביל לעומס, מבצעת מדידה רציפה ומזריקה גל הפוך להרמוניה כדי לבצע תיקון ולקבל גל סינוס על פי התקן.
ח. לצורך הגנה מפני האפס וההארקה (בנוסף לפאזה) יש להשתמש בשנאי בודל ולבצע סינון בהתאמות הנדרשות (לבטל את האפס הגלווני ולייצר אפס חדש).
14. הארגון וידא כי חיבור בין רשת שחורה לאדומה יתבצע באמצעות:
א. שימוש בפתרון המספק חציצה גלוונית חד-כיוונית לכל ערוץ.
ב. חציצה פיזית בין ערוץ קבלת מידע (RX) לערוץ הוצאת מידע (TX).
ג. החלת בקרות הגנה להתמודדות עם נוזקות ודלף מידע.
15. הארגון וידא כי הוא רוכש יעדי הגנה הכוללים הגנות מובנות מפני איומים ותרחישי תקיפה בעולם תוכן זה.</t>
  </si>
  <si>
    <t>16. הארגון וידא כי הוא רוכש יעדי הגנה הכוללים מנגנוני הגנה מובנים מפני איומים ותרחישי תקיפה בעולם תוכן זה, שזכו להסמכה הגבוהה ביותר בהתאם לתוכנית הסמכה מקובלת. תוכנית ההסמכה המומלצת היא NSA Certified TEMPEST Test Services List (CTTSL), ובעדיפות שנייה נמצאת התוכנית UK CPTAS/CFTCS.</t>
  </si>
  <si>
    <t>9.7</t>
  </si>
  <si>
    <t>תכנון חדרי שרתים</t>
  </si>
  <si>
    <t>הארגון וידא כי חדר השרתים עומד בדרישות מקובלות להגנת מידע וסייבר, תוך התאמה לדרישות המשכיות עסקית</t>
  </si>
  <si>
    <t>1. יש לפנות לבקרת "מיקום פיזי של יעדי ההגנה".
2. יש לפנות לבקרת "הגנה מפני דופק אלקטרומגנטי (דוא"מ)/EMP".
3. יש לפנות לבקרת "מדיניות ארגונית ונוהלי עבודה בנושא אבטחה פיזית וסביבתית".
4. יש לפנות לבקרת "אדום/שחור".
5. יש לשלב את מנהל הביטחון (מנב"ט) בשלבים השונים של מחזור החיים של הפתרון.
6. יש לקבל אישור לפתרון מממונה הבטיחות בארגון.
7. יש  לוודא כי הזנת החשמל הקבועה למתחם מגיעה משתי תחנות כוח עצמאיות או יותר, כאשר כל הזנה מבוססת על תווך פיזי (דוגמת GRID) בלתי תלוי.</t>
  </si>
  <si>
    <t>1. ודאו כי לארגון יש תיעוד של מנגנוני האבטחה והבטיחות הקיימים בחדר השרתים.
2. ודאו כי מספר מורשי הגישה לחדר השרתים הוא מינימלי, וכי רשימת המורשים מאושרת לכל הפחות אחת לשנה.
3. ודאו באופן מדגמי כי הגישה לחדר השרתים תועדה, וכי לא התבצעה גישה של לא מורשים.
4. ודאו כי כל התרעה שמגיעה למוקד האבטחה נבדקת, מטופלת ומתועדת במידת הצורך.
5. ודאו כי לחדר השרתים הסמכה עדכנית ותקפה בהתאם לתקן TIA-402, וזאת בהתאם לעומק היישום. יש לבדוק כי התיחום (Scope) עונה לצורכי הארגון.
6. ודאו כי התבצעו בדיקות קבלה לחדר השרתים לפני ההפעלה, וכי התיחום וממצאי הבדיקות עונים לצורכי הארגון.</t>
  </si>
  <si>
    <t>1. הארגון וידא כי חדר השרתים עומד בדרישות של תקנים מקובלים דוגמת,  TIA-942 - Rated-1: Basic Site Infrastructure.</t>
  </si>
  <si>
    <t>2. הארגון וידא כי חדר השרתים עומד בדרישות של תקנים מקובלים, דוגמת TIA-942 - Rated-2: Redundant Capacity Component Site Infrastructure.</t>
  </si>
  <si>
    <t>3. הארגון וידא כי חדר השרתים עומד בדרישות תקנים מקובלים, דוגמתTIA-942 - Rated-3: Concurrently Maintainable Site Infrastructure.</t>
  </si>
  <si>
    <t>4. הארגון וידא כי חדר השרתים עומד בדרישות תקנים מקובלים, דוגמת  TIA-942 - Rated-4: Fault Tolerant Site Infrastructure.
5. הארגון וידא כי חדר השרתים מקבל הזנה משתי תחנות כוח שונות, כאשר כל חיבור לתחנת כוח מבוסס על שדרת/תשתית GRID ייעודית.</t>
  </si>
  <si>
    <t xml:space="preserve">טכנולוג </t>
  </si>
  <si>
    <t>PE-2
PE-6
PE-9
PE-11 PE-12
PE-13
PE-14
PE-15 PE-18</t>
  </si>
  <si>
    <t xml:space="preserve">A.11.1.1,A.11.1.2,A.11.1.3,A.11.1.4,A.11.1.5,A.11.1.6, </t>
  </si>
  <si>
    <t>9.8</t>
  </si>
  <si>
    <t xml:space="preserve">דוא"מ/EMP (דופק אלקטרומגנטי/Electro Magnetic Pulse) ו-GMD (Geomagnetic Disturbance Data)
</t>
  </si>
  <si>
    <t>הארגון תכנן ויישם בקרות לעמידת מתחמי העבודה ויעדי ההגנה בפני התקפת דופק אלקטרומגנטי (EMP) ו-Geomagnetic Disturbance Data (GMD)</t>
  </si>
  <si>
    <t>1. ודאו כי בקרות ההגנה הוחלו בהתאם לנדרש.
2. ודאו כי ממונה בטיחות ומומחה תקיפות פיזיקליות הגישו חוות דעת מקצועית הקובעת כי המתחמים חסינים בפני דוא"מ (EMP). יש לוודא כי התיחום אכן מכסה את הצרכים הארגוניים ויעדי ההגנה הרלוונטיים.
3. ודאו באופן מדגמי כי הארגון הבטיח שהוא עושה שימוש ביעדי הגנה העומדים בדרישות תקינה אזרחית מתאימה.
4. ודאו כי תוכנית ההמשכיות העסקית של הארגון כוללת התייחסות להתמודדות עם EMP ו-GMD.
5. ודאו כי פרופיל הסיכון הארגוני כולל התייחסות ל-EMP\GMD, וכי ה-CRO הקדיש לכך תשומות מתאימות.
6. ודאו כי יעדי ההגנה ומתחמי העבודה עומדים בדרישות תקינה מקובלת.
7. ודאו כי הארגון מתרגל לפחות אחת לשנה התמודדות עם EMP\GMD.</t>
  </si>
  <si>
    <t>טכנולוג</t>
  </si>
  <si>
    <t>9.9</t>
  </si>
  <si>
    <t xml:space="preserve">הגנה על ציוד היקפי </t>
  </si>
  <si>
    <t>הארגון וידא כי הטמיע בקרות פיזיות ולוגיות למניעת שימוש באמצעים טכנולוגיים שלא באישור הארגון</t>
  </si>
  <si>
    <t xml:space="preserve">1. ודאו באופן מדגמי כי לא קל לנתק פיזית ציוד היקפי ממקומו.
2. ודאו באופן מדגמי כי לא ניתן להשיג מציוד היקפי פלט הכולל מידע ארגוני.
3. ודאו את הגדרות התצורה וכי קיימת הקשחה העונה למתאר הסיכון.
4. ודאו כי קיימות הצהרות עדכניות של עובדים ואורחים לגבי שימוש נאות באמצעים טכנולוגיים ואחרים.
</t>
  </si>
  <si>
    <t xml:space="preserve">1. הארגון וידא כי עובדים ואורחים חתמו על הצהרה שבה הם מתחייבים שלא להשתמש ביעדי הגנה אשר לא אושרו על ידי הארגון. </t>
  </si>
  <si>
    <t>9. הארגון וידא כי הוא מונע הפעלה לא רצונית מקומית של חיישנים המסוגלים לאסוף מידע מהסביבה (דוגמת מצלמה, מיקרופון, רמקול או אוזניות).</t>
  </si>
  <si>
    <t>SC-15</t>
  </si>
  <si>
    <t>A.13.2.1,</t>
  </si>
  <si>
    <t>הגורם האנושי</t>
  </si>
  <si>
    <t xml:space="preserve">הארגון וידא כי הטמיע תוכנית לטיפול בהיבטי הגנת הסייבר בתהליכי גיוס העובדים, ניודם וסיום העסקתם (עבור כל סוגי ההתקשרויות בארגון)
(JML - Joiners, Movers, and Leavers) </t>
  </si>
  <si>
    <t>1. ודאו כי עובד חדש עבר את בדיקות המהימנות הנדרשות לתפקיד שאליו הוא מועמד.
2 ודאו באופן מדגמי כי המשתמשים אינם חושפים מידע רגיש/חסוי ברשתות חברתיות, באינטרנט וכדומה.
3. ודאו כי תהליכי מתן ההרשאות לעובדים חדשים, מנוידים ועוזבים מתבצעים כשורה.
4. ודאו כי בעת ניוד תפקיד מתבצעות בדיקות הרקע הנדרשות, תוך החלת שינויים מחייבים (דוגמת הסרת הרשאות מיותרות).
5. ודאו באופן מדגמי כי חוזי ההעסקה ותהליכי הערכת העובדים כוללים מדדים מקובלים לבחינת עמידתם בדרישות הגנת מידע וסייבר.
6. ודאו באופן מדגמי את רמת ההיכרות של העובדים ומנהלי העבודה בארגון עם נוהלי העבודה הרלוונטיים.
7. ודאו כי קיימים תהליכי הכשרה בנושאי הגנת מידע וסייבר בהתאם לצורכי הארגון.
8. ודאו באופן מדגמי כי חשבונות עובדים שעזבו נסגרו לפני יציאתם מחצרות הארגון בפעם האחרונה.
9. ודאו באופן מדגמי כי יעדי ההגנה המשויכים לכל עובד מתועדים במערכת ניהול נכסים (Asset Management), תוך קישור למערכת הטכנולוגיות האחראית לניהול משאבי אנוש.
10. ודאו כי קיים "טופס טיולים" וכי נאכפת החתמתם של הגורמים הרלוונטיים בעת קבלת עובד, ניודו ועזיבתו. 
11. ודאו כי ספר המשרות/תפקידים עדכני, וכולל תבחינים וקריטריונים רלוונטיים.
12. ודאו באופן מדגמי כי מתבצעות בדיקות מהימנות במשך חיי העסקה של העובדים/גורמי-חוץ.</t>
  </si>
  <si>
    <t xml:space="preserve">10. הארגון וידא כי הוא ביצע את הצעדים הבאים לפני העסקת עובד בתפקיד בעל רמת רגישות/קריטיות גבוהה או רמת נגישות גבוהה:
א. ראיון קב"ט.
ב. פוליגרף תעסוקתי (בכפוף לאישור פרטני של היועץ המשפטי של הארגון).
ג. איתור מידע מחשיד באמצעות WEBINT (בכפוף לאישור פרטני של היועץ המשפטי של הארגון). 
11. הארגון וידא כי הוא ביצע את הצעדים הבאים בזמן העסקתו של עובד בתפקיד בעל רמת רגישות/קריטיות גבוהה או רמת נגישות גבוהה:
א. ראיון קב"ט.
ב. פוליגרף תעסוקתי (בכפוף לאישור פרטני של היועץ המשפטי של הארגון).
ג. איתור מידע מחשיד באמצעות WEBINT (בכפוף לאישור פרטני של היועץ המשפטי של הארגון). 
12. הארגון וידא כי הוא ביצע את הצעדים הבאים בסיום העסקת משתמש:
א. ראיון קב"ט.
ב. פוליגרף תעסוקתי (בכפוף לאישור פרטני של היועץ המשפטי של הארגון).
ג. איתור מידע מחשיד באמצעות WEBINT (בכפוף לאישור פרטני של היועץ המשפטי של הארגון). </t>
  </si>
  <si>
    <t>PS-4
PS-5
PS-7
PS-8
PL-4</t>
  </si>
  <si>
    <t>A.7.1.1, A.7.1.2, A.7.2.1, A.7.2.2, A.7.2.3, A.7.3.1, A.8.1.1, A.8.1.2, A.8.1.3,</t>
  </si>
  <si>
    <t xml:space="preserve">1. הארגון וידא כי לפני תחילת עבודתו של משתמש חדש, הוא נדרש לעבור הדרכה בנושא הגנת מידע וסייבר.
2. הארגון וידא כי הוא מבצע מעקב אחר נוכחות המשתמשים בהדרכות. </t>
  </si>
  <si>
    <t>6. הארגון וידא כי הוא מפרסם באופן תקופתי ידיעון העוסק באירועי הגנת מידע וסייבר משמעותיים, וכולל מסקנות נגזרות (Lesson Learned).
7. הארגון וידא כי ברשותו תוכנית הדרכות שנתית למשתמשים בנושא הגנת מידע וסייבר, וכי תוכנית זו משולבת בתהליכי ההדרכה הארגוניים.
8. הארגון וידא כי הוא בוחן את אפקטיביות תהליכי המודעות לאורך זמן.</t>
  </si>
  <si>
    <t xml:space="preserve">9. הארגון וידא כי ברשותו אמצעי ממוכן (דוגמת סימולטור) המסוגל לבחון את רמת עמידת המשתמשים בדרישות הגנת המידע והסייבר באמצעות ביצוע סימולציה לתרחישי אמת.   </t>
  </si>
  <si>
    <t>AT-1
AT-2
AT-3
PS-1</t>
  </si>
  <si>
    <t>A.7.2.2</t>
  </si>
  <si>
    <t>תרגילים בסייבר (Cyber Exercises)</t>
  </si>
  <si>
    <t>הארגון עורך תרגילי סייבר כחלק מתוכנית לשיפור רמת המוכנות והכשירות</t>
  </si>
  <si>
    <t>1. ודאו כי מתווה התרגילים עונה להמלצות מתודת מערך הסייבר לביצוע תרגילים - "תרגול בסייבר - בנייה ועריכה של תרגילי סייבר לארגון".
2. ודאו כי קיימת פונקציה ארגונית קבועה ומתאימה לניהול תרגילים.
3. ודאו כי היקף התרגילים, תדירותם וקהל היעד שלהם עונים לצורכי הארגון ופרופיל הסיכון.
4. ודאו יישום של לקחים (Lesson Learned) אשר הופקו מהתרגיל, לשם שיפור רמת הגנת הסייבר של הארגון. לצד זאת, יש לפעול לשיפור הכשירות והמוכנות להתמודדות עם תרחישי האיום השונים.
5. ודאו כי ברשות הארגון בנק תרחישים עדכני וייעודי שהוכן במיוחד עבורו.
6. ודאו כי ברשות הארגון תוכנית עבודה סדורה לביצוע תרגולים בשנה הקרובה.
7. ודאו כי הארגון השלים את כל תוכנית העבודה לביצוע תרגולים בשנה החולפת.</t>
  </si>
  <si>
    <t>1. הארגון וידא כי הוא הגדיר מדדי כשירות ומוכנות להתמודדות עם אירועי סייבר, החל מרמת הפרט וכלה ברמה הכלל ארגונית.
2. הארגון וידא כי הוא תרגל את ההנהלה (Top Table Exercise) אחת לשנה לפחות.
3. הארגון וידא כי הוא מינה פונקציה ארגונית האחראית לנושא הבטיחות בתרגילי סייבר.</t>
  </si>
  <si>
    <t>4. הארגון וידא כי הוא ביצע אחת לשנה לפחות תרגיל תפעולי (Operational Exercise).
5. הארגון וידא כי הוא ביצע מבחני כשירות תקופתיים לגורמים הרלוונטיים.</t>
  </si>
  <si>
    <t>6. הארגון וידא כי במסגרת התרגיל הוא בוחן את הכשירות והמוכנות של ספקים מהותיים בשרשרת האספקה שלו. 
7. הארגון וידא כי הוא עשה שימוש בסימולטור לתרגול (Cyber Range).</t>
  </si>
  <si>
    <t>8. הארגון וידא כי הוא תרגל את ההנהלה (Top Table Exercise) אחת לשנה לפחות.
9. הארגון וידא כי במסגרת התרגול המעשי שביצע הוא הקיף את תהליכי הליבה שלו.
10. הארגון וידא כי ברשותו פונקציה ארגונית ייעודית אשר אמונה על נושא התרגילים.</t>
  </si>
  <si>
    <t>הגנה על סביבות OT</t>
  </si>
  <si>
    <t>11.1</t>
  </si>
  <si>
    <t xml:space="preserve">מדיניות ארגונית להגנה על סביבות OT </t>
  </si>
  <si>
    <t>לארגון יש מסמך מדיניות הגנת מידע וסייבר הכולל התייחסות לסוגיות הייחודיות למערך הייצור והבקרה 
(הרחבה למסמך מדיניות הגנת מידע וסייבר)</t>
  </si>
  <si>
    <t>1. ודאו כי ברשות הארגון מסמך מדיניות לאבטחת סביבת ה-OT אשר אושר על ידי הנהלת הארגון בשנה האחרונה.
2. ודאו כי לכל בעל תפקיד בסביבת ה-OT יש כתב מינוי הכולל תחומי אחריות וסמכות.
3. ודאו כי מנהל סביבת הייצור והבקרה הוא שותף לפעילות הגנת הסייבר בסביבת ה-OT.
4. ודאו כי מסמך המדיניות כולל הכוונה לרכישת ציוד OT העומד בדרישות תקינה מקובלת, דוגמת ISA 62443 או UL 2900.
5.  ודאו כי קיימת מדיניות גיבויים לרשת ה-OT של הארגון.
6.ודאו כי קיים נוהל עבודה למעקב ואיסוף מידע על חולשות ומתקפות בעולם ה-OT.
7. ודאו כי קיים נוהל עבודה/הנחיית עבודה להקשחת מערך ה-OT של הארגון.
8. ודאו כי קיים שעון זמן מהימן ובלתי תלוי המשרת את סביבת ה-OT.</t>
  </si>
  <si>
    <t>1. הארגון וידא כי לכל בעלי התפקידים שאמונים על רשת ה-OT והרשתות המשיקות יש כתבי מינוי הכוללים תחומי אחריות וסמכות. 
2. הארגון וידא כי המדיניות הארגונית כוללת התייחסות למאפיינים הייחודיים של מערך הייצור והבקרה:
א. בטיחות (Safety).
ב. בדיקות קבלה ייחודיות לעולם הייצור והבקרה.
ג. שימוש במודלים מתאימים להערכת סיכונים בעולם הייצור והבקרה
ד. קיומה של הפרדה לוגית לכל הפחות בין סביבות ה-OT וה-IT.
ה. קיומו של שילוט המציג כללי שימוש ברורים ביעדי ההגנה של מערך הייצור והבקרה.</t>
  </si>
  <si>
    <t>3. הארגון וידא כי המדיניות הארגונית כוללת התייחסות למאפיינים הייחודיים של מערך הייצור והבקרה:
א. זיכוי רכיבי תוכנה (לרבות קושחה) לפני התקנתם במערך הייצור והבקרה.
ב. רכש אמצעי אבטחה המתאימים להגנה על מערך הייצור והבקרה (דוגמת תמיכה בפרוטוקולים מעולם ה-ICS אשר נעשה בהם שימוש במערך הייצור והבקרה).
ג. הכשרות מקצועיות לאנשי הייצור ובהקרה בתחום ההגנה בסייבר .</t>
  </si>
  <si>
    <t xml:space="preserve">4. הארגון וידא כי המדיניות הארגונית כוללת התייחסות למאפיינים הייחודיים של מערך הייצור והבקרה:
א. מניעת קיומה של תלות תפעולית בין סביבת ה-IT לסביבת ה-OT, כך שבמקרה של השבתת/שיבוש הפעילות בסביבת ה-IT תישמר הרציפות התפקודית של מערך הייצור והבקרה. </t>
  </si>
  <si>
    <t>5. הארגון וידא כי המדיניות הארגונית כוללת התייחסות למאפיינים הייחודיים של מערך הייצור והבקרה:
א. זיכוי רכיבי חומרה לפני התקנתם במערך הייצור והבקרה.
ב. קיומה של הפרדה פיזית ולוגית בין סביבות ה-OT וה-IT.</t>
  </si>
  <si>
    <t>AC-1
AC-8
CM-8</t>
  </si>
  <si>
    <t>A.5.1.1, A.5.1.2,
A.18.2.2,</t>
  </si>
  <si>
    <t>11.2</t>
  </si>
  <si>
    <t>תכנון מערך הגנה לרשת OT</t>
  </si>
  <si>
    <t xml:space="preserve">הארגון מתייחס להיבטי הגנת מידע וסייבר (Cyber by Design and Secure by Default) בעת אפיון ותכנון רשת ה-OT </t>
  </si>
  <si>
    <t>1. ודאו כי ברשות הארגון תרשים ארכיטקטורה עדכני של רשת ה-OT.
2. ודאו יישום של אמצעי הגנה בהתאם להמלצות יצרן סביבת ה-OT.
3. ודאו כי מערך התפעול שהוקם מכיל את מנגנוני ההגנה שהוגדרו במסמך התכנון, וזאת ביחס לפרופיל הסיכון ותרחישי איום רלוונטיים.
4. ודאו את תאימותם של אמצעי האבטחה לפרוטוקולים הקיימים בסביבת ה-OT.
5. ודאו כי במערך ההגנה משולבים עקרונות הגנה שקטה.
6. ודאו כי נעשה שימוש במתודולוגיות מקובלות בעולם ה-OT בעת תכנון ובחינת אפקטיביות הארכיטקטורה ואמצעי האבטחה.
7. ודאו כי הוטמעו עקרונות מקובלים להגנה לעומק (DiD - Defense-in Depth).</t>
  </si>
  <si>
    <t>CA-3
SC-2
SC-3
AC-17, IA-8, SC-7, AC-2, IA-2, PE-3, AC-6, AC-5</t>
  </si>
  <si>
    <t>11.3</t>
  </si>
  <si>
    <t>צמצום משטח התקיפה של סביבת ה-OT</t>
  </si>
  <si>
    <t>הארגון וידא כי משטח התקיפה של סביבת ה-OT צומצם בהתאם לעקרונות מקובלים</t>
  </si>
  <si>
    <t>1. בקרה זו היא הרחבה של הבקרות להגנת סביבת ה-IT.
2. יש להתייחס למרשם התהליך (Playbook) כאל מידע חסוי.
3. יש לוודא כי ברשות הארגון מיפוי מלא של תהליך הייצור והבקרה, לרבות מיקום פיזי של כל ציוד ה-OT במתקן.
4. לאור ההשפעה האפשרית על תקינות תהליכי הייצור והבקרה/בטיחות, יכולים להיות מקרים שבהם תהליך הגנת המידע והסייבר לא יכלול אכיפה בפועל ללא אישור מקדים של אדם (Man in the loop).</t>
  </si>
  <si>
    <t xml:space="preserve">1. ודאו כי לא ניתן לבצע שינויים לא מבוקרים בסביבת הייצור.
2. ודאו כי קיימות בקרות מפצות ברכיבי תשתית שאינם מספקים רמת הגנה נאותה.
3. ודאו את עדכניות רכיבי התוכנה/הקושחה של התקני ה-OT, בהתאם להמלצות היצרן.
4. ודאו ביטול פרוטוקולים/שירותים שאינם נדרשים.
5. ודאו כי במערך הייצור והבקרה קיימות סביבות נמוכות (דוגמת סביבת בדיקות הדומה לזו של סביבת הייצור), וכי מתבצעות בדיקות לפני ביצוע עדכונים במערך הייצור.
6. ודאו יישום של עקרונות מקובלים למניעת חבלה (Temper Resistant) וחשיפת חבלה (Tamper-Evident ).
7. ודאו כי ברשות הארגון גיבוי של הגדרות התצורה ורכיבי התוכנה/הקושחה של סביבת ה-OT.
8. ודאו כי גורמי צד שלישי אינם מחברים ציוד שלהם לסביבת ה-OT.
</t>
  </si>
  <si>
    <t>SC-7,CS-8
AC-4
MA-3
CM-3
SI-2
CM-7,CM-5
MP-6
MP-6
CA-2</t>
  </si>
  <si>
    <t xml:space="preserve">A.9.1.1, A.9.1.2, A.11.2.4,A.13.1.1,A.13.1.2,A.13.1.3, </t>
  </si>
  <si>
    <t>11.4</t>
  </si>
  <si>
    <t>אבטחת בקר (PLC/RTC/PAC וכד')</t>
  </si>
  <si>
    <t>הארגון מיישם אמצעי אבטחה להגנה על בקרים הניתנים לתכנות (PLC/RTC/PAC וכד')</t>
  </si>
  <si>
    <t>1. יש לקבל אישור לפתרון ממהנדס התהליך.
2. יש לקבל אישור לפתרון מממונה הבטיחות.
3. יש לוודא כי לגורמים בלתי מורשים אין גישה למתחם הבקרים.
4. יש לוודא כי מתחם הבקרים  מנוטר 24/7 באמצעות מערכת מצלמות במעגל סגור.
5. יש להעדיף כי כל בקר יקבל הזנת חשמל מפאזה ייעודית.
6. יש להעדיף רכישה של בקרים העומדים בדרישות תקן סייבר רלוונטי, דוגמת ISA/IEC 62443 – SIL 4.
7. יש לתת את הדעת על אבטחה הפיזית של כבילת החשמל ותקשורת הנתונים.
8. יש לוודא כי המידע שנשמר בבקר (דוגמת הגדרות לוגיקה) מוגדר על ידי הארגון כחסוי.
9. יש לשלב בסביבת הבקרים מערך מניעה והונאה (Daniel &amp; Deception), לרבות שימוש בבקרי דמה פיזיים.
10. יש לוודא כי לא נעשה שימוש ב-HUB תקשורת בארגון, וכי אמצעי ההגנה מסוגלים לחסום חיבור של יעד הגנה לא מורשה לרשת התקשוב דרך HUB.
11. יש לוודא כי הבקר אינו מכיל גיבוי מקומי של קובצי ההרצה/קושחה או קוד הלוגיקה.
12. יש לוודא כי ערכי העבודה הרצויים (Setpoints) של הבקר ידועים, וכי פעילותו מתבצעת בהתאם לטווחי עבודה מאושרים.
13. יש לוודא כי הוחלפה סיסמת ברירת המחדל.
14. יש לוודא כי לארגון יש Digital Twin.
15. יש לוודא כי הבקר כולל מנגנון לווידוא מקוריות/מהימנות הקושחה והלוגיקה.</t>
  </si>
  <si>
    <t xml:space="preserve">1. ודאו באופן מדגמי כי מנגנוני האבטחה המובנים בבקר הופעלו.
2. ודאו באופן מדגמי כי לא ניתן לבצע שינויים מרחוק בהגדרות הבקר.
3. ודאו באופן מדגמי כי לא בוצעו שינויים לא מורשים בהגדרות הבקר.
4. ודאו באופן מדגמי כי לא בוצעו שינויים פיזיים לא מורשים בבקר.
5. ודאו כי קיימת הסמכה מוכרת ותקפה לבקר, דוגמתISA 62443 Safety Integrity Levels (SIL) 4.
6. ודאו כי הארגון מסוגל לבצע פעילות אפקטיבית לטובת גילוי, זיהוי וסיכול תרחישים שהוגדרו, הן במסגרת תרגול יבש (Tabletop Exercise) והן במסגרת תרגול מעשי (Operational Exercise), וזאת לפני שנגרם נזק לתהליך הייצור והבקרה.
7. ודאו כי בסביבת ה-OT יושמו עקרונות מניעה והונאה (D&amp;D).
8. ודאו באופן מדגמי כי קיימת הקשחה לבקר.
9. ודאו באופן מדגמי כי אי אפשר לשנמך את הבקר לשימוש בגרסת פרוטוקול ישנה.
10. ודאו באופן מדגמי כי הבקר אינו מכיל הגדרות תצורה או לוגיקה בגיבוי מקומי (בדיסק המקומי או בהתקן אחסון נייד).
11. ודאו באופן מדגמי כי הבקר אינו עושה שימוש בסביבת ברירת מחדל.
12. ודאו באופן מדגמי כי ביצוע שינויים בבקר או חריגה מערכי עבודה רצויים (Setpoints) גוררים שליחת התרעה בזמן אמת לצוות האבטחה.
13. ודאו כי הארגון עושה שימוש ב-Digital Twin לשם בחינת המשמעות של החלת שינויים בייצור לפני שהם מוחלים בפועל.
14. ודאו כי הבקר כולל אמצעים מקובלים למניעת חבלה (Temper Resistant) וחשיפת חבלה (Tamper-Evident), העונים לפרופיל הסיכון של הארגון.
</t>
  </si>
  <si>
    <t>1. הארגון וידא כי הבקר מאוחסן בארון הכולל נעילה (Tamper-Resistant) ומנגנון שבירת זכוכית (Glass Break).
2. הארגון וידא כי לבקר הוגדרו כתובות סטטיות בלבד (דוגמת כתובת IP).
3. הארגון וידא כי הוא החליף את סיסמאות ברירת המחדל (לרבות משתמשים וסיסמת חירום) בשלב ההתקנה הראשוני, ובהמשך באופן תקופתי.
4. הארגון וידא כי בשגרת ההפעלה לא ניתן לבצע שינויים בבקר (דוגמת שדרוג/החלפה של קושחה). לצורך כך יש להגן על הבקר באמצעות מנגנון תוכנתי, שאינו מאפשר לבצע שינוי ללא פעולה מקדימה המחייבת גישה מקומית.
5. הארגון וידא כי התקשורת מהבקר ואליו היא בהתאם לרשימת "מותרים בלבד" (Allowlist).</t>
  </si>
  <si>
    <t>6. הארגון וידא כי דלת ארון הבקר מקושרת למערכת אזעקה באמצעות מגע יבש (Dry Contact) או אמצעי אחר לחשיפת חבלה (Tamper-Evident), וכי הגישה לבקר, חדר הבקרים או מסדרון חדר הבקרים מנוטרת באופן קבוע באמצעות מערכת מצלמות אבטחה במעגל סגור.
7. הארגון וידא כי בשגרת ההפעלה קיים נוהל עבודה סדור, המבטיח כי לא מבוצעת גישה לא מבוקרת לבקר וכי לא ניתן לבצע הו שינויים (דוגמת שדרוג/החלפה של קושחה). לצורך כך יש להגן על הבקר באמצעות מנגנון תוכנתי, שאינו מאפשר לבצע שינוי ללא פעולה מקדימה המחייבת גישה מקומית וכן אישור סימולטני של גורם הנמצא בחדר המהנדס (Interlock/Dual Control).
8. הארגון וידא כי הוא יישם מנגנונים מקובלים למניעת גישה לבקר, כך שגורמים לא מורשים לא יוכלו לקבל אליו גישה זמנית או קבועה שתאפשר ביצוע פעולות לא מורשות, דוגמת שינוי לוגיקה או החלפה/שדרוג קושחה.
9. הארגון וידא כי הבקר אינו חשוף ל-EMI (Electromagnetic Interference) אשר עשוי לפגוע בפעילותו התקינה, לרבות קיצור ה-MTBF.
10. הארגון וידא כי הוא הפעיל את רישום הלוגים בבקר, וכי הוא מסוגל לגלות ולזהות נטרול או כשל ברישום.
11. הארגון וידא כי הוא מיצה באופן מיטבי את יכולות ההגנה הקיימות בבקר. יש לשים את הדעת על כך שהדבר מחייב לעתים רכישה והפעלה של רישוי מתאים מיצרן הבקר.
12. הארגון וידא כי הוא ביטל מנגנונים אוטומטיים בבקר, דוגמת Network Discovery או משיכת עדכוני תמיכה.
13. הארגון וידא כי לא ניתן לבצע בבקר פעולות שינוי הגדרות תצורה (Configuration Settings) מרשת אלחוטית/ציבורית.
14. הארגון וידא כי הוא מאחסן בנפרד את העתקי גרסאות הקושחה וקובצי הגדרות (Configuration Settings) התצורה/לוגיקה.
15. הארגון וידא כי הוא בודק באופן תקופתי שהקושחה וקובצי ההגדרות זהים באופן חד-ערכי לאלו הקיימים בגיבוי, וכי לא בוצעו שינויים לא מבוקרים בקבצים.
16. הארגון וידא כי הבקר אינו מאחסן העתק גיבוי מקומי של הגדרות התצורה ו/או הקושחה (למעט מקרה שבו הבקר מחזיק Dual Boot לשם שרידות).
17. הארגון וידא כי הבקר צריך לעמוד בהצלחה בבדיקת תקינות חתימה דיגיטלית של הקושחה לפני ביצוע שדרוג בפועל.
18. הארגון וידא כי עובדי ההגנה בסייבר עוברים הכשרות תקופתיות מטעם יצרן סביבת ה-OT, לרבות סקירה של יכולות אבטחה ו-Lesson Learned.</t>
  </si>
  <si>
    <t>19. הארגון וידא כי בשגרת ההפעלה הבקר אינו תומך ביותר משפת תכנות אחת (דוגמת Ladder Logic או Function Block, אך לא שתיהן במקביל).
20. הארגון וידא כי בשגרת ההפעלה לא ניתן לבצע שינויים בבקר (דוגמת שדרוג/החלפה של קושחה), וזאת באמצעות שימוש במנגנון חומרתי (דוגמת מפסק).
21. הארגון וידא כי בשגרת ההפעלה הבקר אינו תומך בגרסאות שונות של אותו פרוטוקול, וכי לא ניתן לבצע שנמוך לגרסה ישנה יותר של פרוטוקול (Downgrade\ Rollback Attack).
22. הארגון וידא כי ברשות הבקר שטח אחסון נפרד/עצמאי ממערכת ההפעלה, שמטרתו לאחסן לוגים במקרה של נתק ממערך הניטור/הניהול עד לחזרת התקשורת.
23. הארגון וידא כי כל הבקרים שברשותו עומדים בדרישות תקן IEC 61508, רמה SIL (Safety integrity level) 3.
24. הארגון וידא כי לכל הבקרים שברשותו יש יכולת מובנית למחיקת מידע באופן בלתי הדיר.</t>
  </si>
  <si>
    <t>25. הארגון וידא כי הוא משתמש במדיות מסוג WORM (Write Once Read Many) לאחסון קובצי הבקר (דוגמת קושחה או קובצי לוגיקה), כך שניסיון לביצוע שיבוש/מחיקה ייכשל עקב מגבלה חומרתית.
26. הארגון וידא כי הבקר עומד במפרט היצרן. יש לעשות זאת באמצעות ביצוע בדיקות מעבדה עצמאיות המקבילות לאלו שביצע היצרן, דוגמת בחינת התנהגות הבקר בסט תרחישים מוגדר ובערכי שגרה וקיצון. את הבדיקות יש לבצע באמצעות כלי בדיקה מקובל בתעשייה, דוגמת Achilles Test Platform (ATP).
27. הארגון וידא כי הטמיע פתרון להצפנה בלתי תלויה באפליקציה של תעבורה ב-OSI Layer 2, דוגמת MACSEC.
28. הארגון וידא כי כל הבקרים שברשותו עומדים בדרישות תקן IEC 61508, רמה SIL (Safety integrity level) 4.</t>
  </si>
  <si>
    <t>11.5</t>
  </si>
  <si>
    <t>מערכת מאובזרת בטיחותית/SIS Safety Instrumented System (לרבות SMS וכדומה)</t>
  </si>
  <si>
    <t xml:space="preserve">1. ודאו כי קיימת הפרדה לוגית/פיזית של בקר הבטיחות משאר רשת ה-OT.
2. ודאו כי קיים תהליך תגובה ארגוני משולב צוות סייבר למקרה של הפעלה או אי הפעלה של בקר הבטיחות במקרה הצורך.
3. ודאו כי במקרה של כשל/תקלה/אירוע סייבר הארגון מסוגל להשבית את תהליך הייצור והבקרה באופן ידני.
4. ודאו כי לא ניתן לבצע מרחוק פעולות תחזוקה / שינויים בבקר הבטיחות.
5. ודאו כי לארגון ניטור מחוץ לתהליך (OOB), כך שניתן לגלות ולזהות אירוע חריג גם אם הסביבת התפעולית אינה משקפת את הנעשה בפועל.
6. ודאו כי הארגון מתרגל באופן תקופתי התמודדות ותגובה במקרה של תקלה טכנית או תקיפה נגד בקר הבטיחות. 
</t>
  </si>
  <si>
    <t>1. הארגון יישם מערכת מאובזרת בטיחותית בהתאם לתנאים שבהם נדרשת מעורבות מערכת זו במערך ה-OT הקיים.
2. הארגון מיפה את התנאים הנדרשים לקבלת החלטה אנושית להפעלת מערכת הבטיחות ותהליכי התגובה.
3. הארגון בדק כי המערכת המאובזרת בטיחותית עומדת במבחני קבלה המתאימים לצורכי הארגון, תוך התייחסות למתודולוגיות מקובלות ושלבי מחזור החיים שלה (הארוכים יחסית).
4. הארגון וידא כי מערכת הבטיחות עומדת בתנאים ובדרישות סביבת הפעולה של המערכת המבוקרת.
5. הארגון וידא כי למערכת הבטיחות ולמערכת המבוקרת אין גורמי כשל משותפים, אשר עלולים למנוע ממערכת הבטיחות לפעול או לגרום להפעלתה ללא צורך.
6. הארגון וידא כי בקר הבטיחות מספק אך ורק פונקציונליות של בטיחות (Safety).</t>
  </si>
  <si>
    <t>7. הארגון וידא כי בנוסף לאיסוף מידע מהסנסורים/גלאי החישה הקיימים של מערך ה-OT, יש ברשות ה-SIS סנסורים/גלאי חישה ייעודיים ובלתי תלויים.</t>
  </si>
  <si>
    <t>8. הארגון וידא כי הטמיע לפחות שתי מערכות SIS של יצרנים שונים. יש לוודא תמיכה בתצורת עבודה זו על ידי יצרני פתרונות הייצור והבקרה.
9. הארגון וידא כי כל SIS עושה שימוש בטכנולוגיה ייעודית וייחודית בארגון לטובת זיהוי אירועים תפעוליים.</t>
  </si>
  <si>
    <t>10. הארגון משתמש ב-SIS אחד לפחות שמבוסס על טכנולוגיה אנלוגית לצורך גילוי וזיהוי אירועים תפעוליים וחריגים.</t>
  </si>
  <si>
    <t>AU-1,SI-4,SI-3
,IR-5</t>
  </si>
  <si>
    <t>11.6</t>
  </si>
  <si>
    <t xml:space="preserve">אבטחת התקני IoT </t>
  </si>
  <si>
    <t>הארגון מיישם בקרות הגנה על התקנים מקטגוריית "אינטרנט של הדברים" (IoT)</t>
  </si>
  <si>
    <t>1. ודאו באופן מדגמי כי לא בוצעו שינויים לא מורשים בהגדרות ההתקנים.
2. ודאו באופן מדגמי כי לא בוצעו שינויים פיזיים לא מורשים בהתקנים.
3. ודאו כי המפרט הטכני של ה-IoT עומד בדרישות החוק והרגולציה, הדרישות החוזיות והצרכים העסקיים.
4. ודאו באופן מדגמי כי לא ניתן להתקין קושחה לא מקורית על התקן ה-IoT.
5. ודאו באופן מדגמי כי לאחר שדרוג גרסה, רמת האבטחה אינה נפגעת.
6. ודאו כי התקן ה-IoT עומד בדרישות הסמכה מקובלות.
7. ודאו כי קיים מנגנון מובנה להחלת עדכוני אבטחה, וכי היצרן מפרסם עדכונים באופן תקופתי.
8. ודאו כי התקני ה-IoT עומדים בדרישות תקן מקובלות.
9. ודאו באופן מדגמי כי לא נעשה שימוש בסיסמת ברירת מחדל.
10. ודאו באופן מדגמי כי הדיסק הקשיח של התקן ה-IoT הוצפן.
11. ודאו כי התקן ה-IoT כולל אמצעים מקובלים למניעת חבלה (Temper Resistant) וחשיפת חבלה (Tamper-Evident), העונים לפרופיל הסיכון של הארגון.
12. ודאו כי התקני ה-IoT נשלטים ומבוקרים על ידי מערכת ניהול מרכזית.</t>
  </si>
  <si>
    <r>
      <rPr>
        <sz val="12"/>
        <color theme="1"/>
        <rFont val="Calibri"/>
      </rPr>
      <t xml:space="preserve">3. הארגון וידא כי הוא מעדיף להשתמש בהתקני IoT אשר עומדים בדרישות סטנדרטים מקובלים, דוגמתOWASP IoT Project או UL 2900. 
4. הארגון וידא כי התקני IoT ממוקמים בסביבה לוגית ייעודית (VLAN/Segment).
5. הארגון וידא כי התקני IoT מקושרים לחוות השרתים באמצעות רשת שאינה ציבורית.
6. הארגון וידא כי הוא ביטל פונקציונליות שאינה נדרשת בהתקני ה-IoT, בדגש על פונקציונליות הקשורה לMachine-to-Machine (M2M) communication.
7. הארגון וידא כי נעשה שימוש במקלדת וירטואלית (Virtual keyboard) לשם צמצום נגישות המשתמשים לממשקי התקני ה-IoT.
</t>
    </r>
    <r>
      <rPr>
        <b/>
        <sz val="12"/>
        <color theme="1"/>
        <rFont val="Calibri"/>
      </rPr>
      <t xml:space="preserve">דרישות ייחודיות לאבטחה פיזית: </t>
    </r>
    <r>
      <rPr>
        <sz val="12"/>
        <color theme="1"/>
        <rFont val="Calibri"/>
      </rPr>
      <t xml:space="preserve">
8. הארגון וידא כי התקני ה-IoT מאוחסנים במארז חיצוני חסין חבלה (Tamper-Resistant). יש לוודא כי המארז מקשה על תוקף פוטנציאלי להוסיף התקנים חיצוניים (דוגמת Skimmer או מצלמה) ו/או לבצע שינויים לא מאושרים.
9. הארגון וידא כי הוא מבצע ביקורות אקראיות לשם גילוי וזיהוי שינויים לא מאושרים.
</t>
    </r>
    <r>
      <rPr>
        <b/>
        <sz val="12"/>
        <color theme="1"/>
        <rFont val="Calibri"/>
      </rPr>
      <t>דרישות להגנה על קורנים/ממשקי אלחוט:</t>
    </r>
    <r>
      <rPr>
        <sz val="12"/>
        <color theme="1"/>
        <rFont val="Calibri"/>
      </rPr>
      <t xml:space="preserve">
10. הארגון וידא כי קיימת הפרדה פיזית ולוגית בין המערכת האלחוטית שמשרתת את הלקוחות לבין זו המשרתת את התקני ה-IoT.
11. הארגון וידא כי התקני ה-IoT שברשותו תומכים ביכולת שליטה ובקרה של תעבורה מרחוק, כך שהארגון מסוגל לחסום או לשנות בזמן אמת (Real Time) תעבורה שאינה לגיטימית (Threat Signaling).</t>
    </r>
  </si>
  <si>
    <t>20. הארגון וידא כי בין ממשק השמע/מצלמה להתקני ה-IoT יש נתק-גלווני והעברה חד-כיוונית של מידע.
21. הארגון וידא כי התקני ה-IoT מיישמים אמצעים מקובלים למניעת חבלה (Temper Resistant) וחשיפת חבלה (Tamper-Evident), העונים לפרופיל הסיכון של הארגון.</t>
  </si>
  <si>
    <t>מיישם</t>
  </si>
  <si>
    <t>אבטחת רשת</t>
  </si>
  <si>
    <t>12.1</t>
  </si>
  <si>
    <t>נוהלי עבודה להגנה על רשת התקשוב הארגונית</t>
  </si>
  <si>
    <t>הארגון קבע נוהלי עבודה המגדירים את תהליכי העבודה הנדרשים להגנה על רשת התקשוב הארגונית</t>
  </si>
  <si>
    <t>1. יש לוודא כי נוהלי העבודה מתוקפים מול בנק תרחישי תקיפה, אשר נגזרים בתורם מפרופיל הסיכונים הארגוני.
2. יש לוודא כי נוהלי העבודה מתוקפים מול המלצות יצרני יעדי ההגנה.
3. יש לוודא כי נוהלי העבודה כוללים התייחסות לשימוש לרעה בכלים מובנים בסביבת הפעולה, כמו כלים המאפשרים מימוש תקיפות סייבר מסוג Living off the Land (LotL).
4. יש לוודא כי הארגון כתב ויישם מדיניות אבטחת רשת. המדיניות צריכה לכלול התייחסות לנושאים כגון ערוצי הגישה לאינטרנט הציבורי, תצורת ההגנה עליהם, והיבטי ההגנה בתווך התקשורת הפנים והחוץ ארגונית. המדיניות יכולה להיות עצמאית או פרק ייעודי במדיניות הארגונית.
5. יש לוודא כי קיימים נוהלי עבודה עדכניים המתייחסים למחזור החיים של המידע בארגון, לרבות קבלה/שליחה של מידע לגורמי צד שלישי.</t>
  </si>
  <si>
    <t xml:space="preserve">1. ודאו באמצעות צפייה (או בדרך אחרת) כי נוהלי העבודה מבוצעים בפועל.
2. ודאו כי נוהלי העבודה והמדיניות תואמים למתודות העדכניות בתחום, וכי ההנהלה אישרה אותם בשנה האחרונה.
3. ודאו כי תרשים הרשת עדכני וכולל המחשה של שיטות/מנגנוני האבטחה הקיימים בארגון.
4. ודאו כי היקף נוהלי העבודה ועומקם עונים לדרישות הארגון, וכי הם מקבילים או אף מקיפים יותר מאלה של ארגונים דומים בסקטור הפעילות.
5. ודאו כי נוהלי העבודה כוללים הטמעה של דרישות חוקיות, רגולטוריות וחוזיות, וצרכים עסקיים עדכניים.
6. ודאו כי קיימים נוהלי עבודה עדכניים המתייחסים למחזור החיים של המידע בארגון, לרבות קבלה/שליחה של מידע לגורמי צד שלישי.
</t>
  </si>
  <si>
    <t>SC-1</t>
  </si>
  <si>
    <t>A.5.1.1, A.5.1.2,
A.12.1.1,A.18.1.4,A.18.1.3,A.18.2.2,</t>
  </si>
  <si>
    <t>ארכיטקטורת הגנה על תעבורת רשת</t>
  </si>
  <si>
    <t>הארגון תכנן ויישם מערך הגנה על רשת התקשורת הארגונית</t>
  </si>
  <si>
    <t xml:space="preserve">1. ודאו כי קיים בארגון תרשים רשת המכיל את כל רכיבי ההגנה הדרושים עבור כל יעדי ההגנה שברשותו.
2. ודאו באמצעות בדיקה מדגמית כי הגדרות התצורה בפועל זהות להגדרות התצורה המומלצות (דוגמת הקשחה, חוקי ניתוב).
3. ודאו באמצעות בדיקה מדגמית של אמצעי אבטחה ויעדי ההגנה כי הם אינם מכילים רשומות שהטמיע תוקף (דוגמת רשומות CAM Table או חשבונות מערכת הקיימים בניגוד למדיניות המערכת - לרבות SPN והרשאות יתר אשר הוקמו לחשבונות משתמשים רגילים).
4. ודאו באמצעות בדיקה מדגמית כי ביעדי ההגנה מותקנות גרסאות עדכניות של מערכת ההפעלה, הדרייברים, האפליקציות והחתימות - וזאת ביחס להמלצות היצרן.
5. ודאו כי מערך הניטור מקבל לוגים מכל אמצעי ההגנה ויעדי ההגנה, וכי עומק הלוגים עונה להמלצות היצרנים.
6. ודאו כי מתבצעות באופן קבוע סימולציות תקיפה באמצעות BAS וצוות סגול, וכי הן מתגלות, מזוהות ומסוכלות - וזאת ללא פגיעה בתקינות התהליכים העסקיים של הארגון.
7. ודאו כי הארכיטקטורה עומדת בדרישות מקובלות בתחום, דוגמת Consequence-Driven Cyber-Informed Security Chaos Engineering ,Engineering (CCE) ו-Cyber Informed Engineering (CIE) .
8. ודאו כי הארכיטקטורה ואמצעי האבטחה עושים שימוש בטכנולוגיה עדכנית.
</t>
  </si>
  <si>
    <t xml:space="preserve"> SC0-1, SC-2, SC-5, SC-7, SC-7(3), SC-7(5), SC-7(7), SC-7(8), SC-7(14), SC-7(17), SC-7(18), SC-7(21), SC-7(22),SC-8, SC-10, SC-19, SC- 20, SC-21, SC-23,  RA-5</t>
  </si>
  <si>
    <t>A.9.1.1, A.9.1.2, A.14.1.1,A.14.1.2,A.14.1.3,</t>
  </si>
  <si>
    <t>v</t>
  </si>
  <si>
    <t>12.3</t>
  </si>
  <si>
    <t>הגנה על מצעי אחסון ומדיה נתיקה</t>
  </si>
  <si>
    <t>הארגון תכנן ויישם בקרות הגנה על מצעי אחסון ומדיה נתיקה</t>
  </si>
  <si>
    <t xml:space="preserve">1. ודאו כי לארגון תהליכי עבודה מוגדרים להגנה על מצעי האחסון השונים שמשמשים אותו.
2. ודאו כי נעשה שימוש בהצפנה במחזור החיים של המידע, וזאת בהתאם לפרופיל הסיכון.
3. ודאו כי קיימת יתירות למצעי האחסון, וזאת תוך עמידה במדדי השירות המוגדרים בתוכנית ההמשכיות של הארגון.
4. ודאו כי קיימת יכולת מוכחת לגילוי, זיהוי וסיכול של פעילות כופרה.
5. ודאו כי קיימת יכולת מוכחת לגילוי, זיהוי וסיכול של פעילות Wiper.
6. ודאו כי ברשות הארגון אישור מהנדס מערכת מוסמך לגבי עמידת מערך האחסון בדרישות הארגון והבקרה.
7. ודאו כי חיבור התקן אחסון חיצוני גורר הצפנה של תוכנו (למעט מקרים של חסימה מקדימה של ההתקן).
8. ודאו כי הסכם ההתקשרות עם ספק חיצוני (דוגמת ספק SaaS) כולל דרישות חוזיות מתאימות, וכי מתבצעת אכיפה של הדרישות בפועל.
9. ודאו כי תוכנית ההמשכיות העסקית כוללת התייחסות למקרה של פגיעה במערך האחסון, בין אם עקב אירוע סייבר, תקלה טכנית או טעות אנוש/רשלנות.
10. ודאו באופן מדגמי כי לא ניתן לשנות או למחוק מידע שהוגדר לשמירה (Data Retention).
11. ודאו כי קיים תיעוד פרטני של הפעולות אשר בוצעו במערכת הקבצים בשלושת החודשים האחרונים או יותר (וזאת בהתאם לדרישות חוק, רגולציה, דרישות חוזיות וצרכים עסקיים).
12. ודאו כי ישנם העתקים של המידע, בהתאם לדרישות רמות היישום השונות.
13. ודאו כי קיים בארגון תהליך לניהול מחזור החיים של מידע ומצעי אחסון, לרבות התייחסות לשימוש חוזר (Reuse) במצעי אחסון.
</t>
  </si>
  <si>
    <t>MP-1, MP-3, MP-4, MP-6(1), MP-6(2), MP6(3), MP-7, MP-5(4), MP-6(2)</t>
  </si>
  <si>
    <t>A.8.3.1, A.8.3.2, A.8.3.2, A.11.2.7,A.11.2.8,</t>
  </si>
  <si>
    <t>12.4</t>
  </si>
  <si>
    <t>אבטחת גיבויים</t>
  </si>
  <si>
    <t>הארגון תכנן ויישם בקרות הגנה לגיבויים</t>
  </si>
  <si>
    <t xml:space="preserve">1. ודאו כי יש לארגון מדיניות גיבויים מאושרת ועדכנית, הכוללת מדדים (דוגמת MTTR, RTO, RPO) שנגזרו מתוכנית ההמשכיות העסקית של הארגון.
2. ודאו כי קיים תהליך ארגוני סדור להוספה/הסרה של יעדי הגנה מתהליך הגיבוי.
3. ודאו באופן מדגמי כי ישנם מספר העתקים לגיבוי, וזאת בהתאם לרמות היישום.
4. ודאו כי מספר מורשי הגישה למערך הגיבוי הוא מינימלי, וכי הרשאות המשתמשים נמוכות ככל הניתן.
5. ודאו כי קיים תהליך סדור לגילוי, זיהוי וביטול כשלים בגיבוי.
6. ודאו כי מוטמעים תהליכי הצפנה למדיות מערך הגיבוי.
7. ודאו באמצעות שחזור מדגמי של פריטי מידע ויעדי הגנה, כי השחזור בוצע באופן תקין ובהתאם למדדים שנקבעו.
8. ודאו כי קיים תהליך לגילוי, זיהוי והסרת נוזקות בעת גיבוי/שחזור.
9. ודאו כי לא ניתן לבצע מחיקה או שכתוב של מידע מגובה בזמן שהוגדר לשמירתו (Retention Time).
10. במקרה של אתר חלופי (DR), יש לוודא כי קיימת יכולת בלתי תלויה לשחזור המידע.
11. ודאו כי תוכנית ההמשכיות העסקית כוללת התייחסות למקרה של פגיעה במערך הגיבוי, בין אם עקב אירוע סייבר, תקלה טכנית או טעות אנוש/רשלנות.
12. ודאו באופן מדגמי כי ניתן לבצע שחזור של המידע על גבי חומרה השונה מהמקור.
13. ודאו כי מידע מיעדי הגנה שאינם מרכזיים (דוגמת עמדות קצה) מגובה בהתאם למדיניות הארגונית.
14. ודאו כי הארגון עושה שימוש בטכנולוגיה עדכנית ומותאמת לסביבת הפעולה.
15. ודאו כי לוג מערך הגיבוי אינו מעיד על כשלים מהותיים.
</t>
  </si>
  <si>
    <t>26. הארגון וידא כי הוא עושה שימוש לפחות בשתי טכנולוגיות גיבוי בלתי תלויות.
27. הארגון וידא כי הוא עושה שימוש לפחות בשתי טכנולוגיות אחסון גיבוי (Media) בלתי תלויות.
28. הארגון וידא כי ברשותו אמצעי טכנולוגי לאופטימיזציה של משימות הגיבוי, כך שהצורך במעורבות אנושית יהיה מינימלי. 
29. הארגון וידא כי מערך הגיבוי כולל מימוש של בידול לוגי (Gap-Air), כך שיהיה נתק לוגי בין סביבת הגיבוי בייצור לבין עותק הגיבוי באתר החלופי (DR).
30. הארגון וידא כי מערך הגיבוי אינו עושה שימוש בפורטים דינמיים (Dynamic Ports).
31. הארגון וידא כי מערך הגיבוי כולל "נתיך" (Fuse), המאפשר ניתוק אוטומטי של המערך מהרשת במקרה של אירוע סייבר/נחשול סייבר.
32. הארגון וידא כי מערך הגיבוי כולל יכולת למניעת חבלה (Tampering Resistance) ויכולת לחשיפת חבלה (Tampering Evidence).</t>
  </si>
  <si>
    <t>A.12.3.1,A.13.2.3,</t>
  </si>
  <si>
    <t>12.5</t>
  </si>
  <si>
    <t xml:space="preserve">אבטחת פרוטוקול IPv6 </t>
  </si>
  <si>
    <t xml:space="preserve">הארגון מיישם בקרות הגנה בעת עבודה עם פרוטוקול IPv6 </t>
  </si>
  <si>
    <t>1. ודאו באופן מדגמי כי לא נעשה שימוש ב-IPv6 ביעדי הגנה ללא צידוק עסקי.
2. ודאו באופן מדגמי את הגדרות התצורה ביעדי ההגנה, תוך הבטחה כי משטח התקיפה מ-IPv6 הוא קטן ככל הניתן.
3. ודאו כי קיימת הסמכה מתאימה ליעדי ההגנה, שמעידה על תאימות ל-IPv6.
4. ודאו באמצעות צוות אדום כי לא ניתן לעקוף את מערך ההגנה באמצעות IPv6 Tunneling.</t>
  </si>
  <si>
    <t>A.12.3.1,A.13.1.2,A.13.2.3,</t>
  </si>
  <si>
    <t>12.6</t>
  </si>
  <si>
    <t>אבטחת שירותי DNS</t>
  </si>
  <si>
    <t xml:space="preserve">הארגון וידא כי הטמיע בקרות הגנה על שירות ה-DNS </t>
  </si>
  <si>
    <t>12.7</t>
  </si>
  <si>
    <t>שונוּת והשתנות (Diversity) ועקרונות משטח תקיפה דינמי (Moving Target Defense)</t>
  </si>
  <si>
    <t>הארגון וידא כי הוא עושה שימוש בשיטות ועקרונות ליצירת שונוּת והשתנות (Diversity) ומשטח תקיפה דינמי (MTD - Moving Target Defense)</t>
  </si>
  <si>
    <t>1. ודאו כי הארגון משנה שגרות עבודה באופן תדיר באמצעות בחינת נוהלי עבודה וצפייה בפועל.
2. ודאו מימוש של בקרות הגנה MTD ביעדי ההגנה באמצעות ביצוע בדיקה מדגמית.
3. ודאו את עדכניות יכולות ההגנה הקיימות בפועל מול ההיצע הזמין בשוק.
4. ודאו כי הארגון ממצה באופן מיטבי את יכולות ה-MTD הקיימות ביעדי ההגנה.
5. ודאו כי הארגון מבצע רכש של יעדי הגנה חדשים הכוללים יכולות MTD מובנות.</t>
  </si>
  <si>
    <t>A.12.3.1,A.13.1.2,A.12.2.1,A.13.2.3,</t>
  </si>
  <si>
    <t>12.8</t>
  </si>
  <si>
    <t>הגנה על מערך טלפוניה נייח</t>
  </si>
  <si>
    <t>הארגון תכנן והטמיע בקרות הגנה על רשת הטלפוניה הנייחת הארגונית, וזאת מעבר להגנות על תשתית התקשוב</t>
  </si>
  <si>
    <t>1. ודאו כי הארגון ביצע בשנה האחרונה סקר סיכונים ייעודי לנושא הטלפוניה הנייחת.
2. ודאו את מימוש בקרות ההגנה באמצעות ביצוע בדיקה מדגמית.
3. ודאו את רמת העמידות של תשתית הטלפוניה על ידי שימוש בצוות סגול.
4. ודאו כי תוכנית ההמשכיות העסקית כוללת התייחסות להיעדר זמינות/חוסר תקינות של מערך הטלפוניה והסלולר.
5. ודאו כי מערך הניטור בוחן את מצב האבטחה של מערך הטלפוניה.
6. ודאו שימוש במחברים/סימונים במערך תקשורת הנתונים עבור שירותי הטלפוניה.
7. ודאו כי קיים רכיב הגנה ייעודי על תשתית הטלפוניה בין המרכזייה ל-SIP Trunk של הספק.
8. ודאו באופן מדגמי כי לא ניתן לגשת לתיבות הקוליות של המשתמשים באמצעות ניחוש סיסמה.
9. ודאו כי הארגון אינו משתמש באותה תשתית לוגית להעברת Data ו-VoIP.
10. ודאו כי הארגון בוחן באופן תקופתי כי אין שיחות חריגות במערך הטלפוניה, דוגמת התקשרות למספרים שאינם מוכרים או שימוש בפקס בקו שמחובר לטלפון רגיל.
11. ודאו באופן מדגמי כי העובדים ערים לאיומים בתווך הטלפוניה, וכי הארגון הטמיע בונהלי העבודה ובשגרה בקרות מפצות.
12. ודאו באופן מדגמי כי מערך הטלפוניה מממש אימות של הטלפונים, וזאת כתנאי מקדים.
13. ודאו באופן מדגמי כי השיחות במערך הטלפוניה אינן עוברות באופן גלוי בתווך.
14. ודאו כי הארגון רוכש מכשירי טלפון הכוללים יכולות אבטחה מובנות, דוגמת תמיכה ב-801.1x.</t>
  </si>
  <si>
    <t>12.9</t>
  </si>
  <si>
    <t>חומת אש (Firewall)</t>
  </si>
  <si>
    <t>הארגון וידא כי הוא הטמיע תהליכי עבודה וניהול תצורה עבור רכיב ה-FW, תוך החלת עקרונות אבטחה מקובלים</t>
  </si>
  <si>
    <t>1. יש לפנות לבקרת "אבטחת ממשק בין רשתות תקשוב בעלות רמות אמון שונות (North-South Traffic)".
2. יש לפנות לבקרת "מידור רשתי בין יעדי הגנה הנמצאים באותה רשת - VLAN\Segment (East-West Traffic)".
3. יש לוודא כי צוות סגול בדק את רמת החוסן של ה-FW בשלב ההקמה, והוא עושה זאת גם באופן תקופתי.
4. יש לוודא כי הקישור לשירותי הספרייה (Directory Services) מתבצע באמצעות חשבון אפקטיבי בעל הרשאות נמוכות (Least Privilege), וכי התווך מוצפן באמצעות פרוטוקול הצפנה מקובל ועדכני, הכולל מנגנון להתמודדות עם שידור חוזר של מידע היסטורי (Replay-Resistance).
5. יש לוודא כי ה-FW במבואות הארגון מפנה את התעבורה הנכנסת למערכת הלבנה.
6. יש לוודא כי ה-FW מקושר לקופסת חול (Sandbox), כדי לגלות, לזהות ולסכל איומים בתווך.
7. יש לוודא כי ה-FW מסוגל לאתר איומים בתעבורה מוצפנת.
8. יש להעדיף אחסון של המפתח הפרטי שבו ה-FW משתמש בהתקן HSM בעל הסמכת מקובלת, דוגמת FIPS 140-3 רמה 3 ומעלה. ראוי לציין כי חלק מהיצרנים מציעים פתרון FW משולב HSM.
9. חלק מהיצרנים מציעים כיום יכולות בינה מלאכותית (Artificial Intelligence) מובנות ב-FW, דבר המשפר את יכולת ההתמודדות עם איומים מתקדמים.
10.  יש לתת את הדעת על כך שבאבטחת סביבה וירטואלית יש לשלב פתרון תוכנתי ייעודי בעל ניהול מרכזי, אשר מממש מידור לתעבורה העוברת: 
א. בין המכונות הווירטואליות הנמצאות על אותו Hypervisor.
ב. בין Hypervisors שונים.
ג. בין מכונות וירטואליות ליעדי הגנה פיזיים.
11. בעת עבודה עם ענן ציבורי יש לוודא החלה של הדרישות עלNetwork Access Control Lists (NACL) and Security Group. כמו כן, יש להכיר את ההבדלים בין שיטות העבודה של מודולי ההגנה הנ"ל.
12. יש לוודא כי במקרה של כשל תפעולי של אחד ממכשירי הגנת הגבולות (FW וכו') רמת אבטחת המערכת לא תיפגע. מרבית פתרונות האבטחה מסוג זה תומכים בתצורת עבודה של אשכול (Cluster), ויש לוודא כי היא הוחלה על כל הציוד שבתווך. אם לא ניתן לשמור על יתירות יש להחיל מנגנון Fail-Close.
13. בעת עבודה עם שירותי ענן ציבוריים יש לוודא כי נעשה שימוש במנגנונים מקובלים, דוגמת Adaptive Application Controls (AAC) ו-Adaptive Network Hardening (ANH).</t>
  </si>
  <si>
    <r>
      <rPr>
        <b/>
        <sz val="12"/>
        <color theme="1"/>
        <rFont val="Calibri"/>
      </rPr>
      <t>ניהול שינויים</t>
    </r>
    <r>
      <rPr>
        <sz val="12"/>
        <color theme="1"/>
        <rFont val="Calibri"/>
      </rPr>
      <t xml:space="preserve">:
24. הארגון וידא כי הוא משתמש ב-FW בתצורת מאגד (Fabric), כך שהוא מסוגל לקבל תמונת מצב עדכנית ו"בזמן אמת" ממקום מרכזי, וכן לבצע שינויים רוחביים תוך הבנה של השלכות אפשריות על גודל משטח התקיפה (Attack Surface) ורף הסיכון. 
</t>
    </r>
  </si>
  <si>
    <t>A.13.1.1,A.13.1.2,A.13.1.3,A.13.2.3,</t>
  </si>
  <si>
    <t>12.10</t>
  </si>
  <si>
    <t>הגנה על מערך תקשורת הנתונים</t>
  </si>
  <si>
    <t>הארגון צמצם את משטח התקיפה של מערך תקשורת הנתונים</t>
  </si>
  <si>
    <t>A.13.1.1,A.13.1.2,A.13.1.3,</t>
  </si>
  <si>
    <t>12.11</t>
  </si>
  <si>
    <t>מידור רשתי בין יעדי הגנה הנמצאים באותה רשת - VLAN\Segment (East-West Traffic)
(הרחבה לבקרת אבטחת FW)</t>
  </si>
  <si>
    <t>הארגון וידא כי החיל מידור רשתי בין יעדי הגנה הנמצאים באותה רשת - VLAN\Segment (East-West Traffic), וזאת לשם צמצום יכולת תנועה רוחבית (lateral Movement) של תוקף, וכן לשם הקטנת רדיוס הפיצוץ (Blast Radius) במקרה של אירוע סייבר</t>
  </si>
  <si>
    <t>1. יש לפנות לבקרת FW.
2. מימוש נכון של בקרה זו יסייע בצמצום יכולתו של תוקף לבצע תנועה רוחבית (Lateral Movement), ובנוסף יקטין את רדיוס הפיצוץ (Blast Radius) במקרה של אירוע סייבר. 
3. יש להעדיף שימוש ב-Microsegmentation.
4. ארגונים המעוניינים להשיג רמת אבטחה גבוהה יעדיפו לעשות שימוש ב-Nanosegmentation.
5. יש לוודא כי אמצעי האבטחה תומכים ב-DPI (Deep Packet Inspection), וזאת בהתאם למפרט הפרוטוקולים שבהם משתמש הארגון.
6. יש לוודא החלת עקרונות מקובלים, דוגמת:
א. קיטוע רשתי (Network Segmentation/Network Isolation)  - חלוקת הרשת לאזורי ניהול קטנים, בהתאם לפונקציונליות יעד ההגנה ורמת הסיכון.
ב. גידור רשתי (Network Segregation) - אכיפת כללי גישה בין יעדי הגנה החולקים רשת משותפת.
7. יש לוודא כי חתימות אמצעי האבטחה מתעדכנות כל 6 שעות לכל היותר.</t>
  </si>
  <si>
    <t>12.12</t>
  </si>
  <si>
    <t>אבטחת ממשק בין רשתות תקשוב בעלות רמות אמון שונות
(North-South Traffic)</t>
  </si>
  <si>
    <t>הארגון מיישם אמצעי אבטחה לוגיים ופיזיים בממשק המקשר בין רשתות תקשוב בעלות רמות אמון שונות (North-South Traffic \ CDS - Cross Domain Solutions)</t>
  </si>
  <si>
    <t>A.13.1.1,A.13.1.2,A.13.1.3,A.13.2.3,A.14.1.2,</t>
  </si>
  <si>
    <t>אבטחת ערוצים</t>
  </si>
  <si>
    <t>13.1</t>
  </si>
  <si>
    <t>הגנה על מבואות הרשת הציבורית</t>
  </si>
  <si>
    <t>הארגון וידא כי הטמיע אמצעי אבטחה על מבואות הרשת הציבורית</t>
  </si>
  <si>
    <t>1. ודאו כי בהסכם ההתקשרות עם ספק השירות יש התחייבות מצדו לתמיכה ולאיכות ביצועים העונים לדרישות הארגון.
2. ודאו באופן מדגמי את אפקטיביות אמצעי האבטחה.
3. ודאו כי יש יתירות בקווי תקשורת, ציוד תקשורת וכדומה.
4. ודאו כי בארגונים בעלי מדרג סיכון גבוה נעשה שימוש בטכנולוגיות שונות לקישור לרשת הציבורית.
5. ודאו כי התעבורה בין אתרים/סניפים/ענן מוצפנת כברירת מחדל, ולא ניתן לשנות את ההגדרה כך שתעבורה תעבור באופן גלוי.
6. ודאו באופן מדגמי עמידות בפני עומסים.
7. ודאו כי לא ניתן לעקוף את מבואות הרשת הציבורית באמצעות שימוש במעקף דוגמת קישור אלחוטי או יציאה אחרת לרשת הציבורית.
8. ודאו כי הגדרות הדפדפנים ביעדי ההגנה מנוהלות על ידי מערכת מרכזית, וכי המשתמשים אינם מסוגלים לשנות את ההגדרות.
9. ודאו כי בארגונים בעלי מדרג סיכון גבוה נעשה שימוש בארכיטקטורת Backend\Frontend FW.
10. ודאו באופן מדגמי כי מנגנוני ה-Anti-Spoofing פועלים כמצופה.
11. ודאו כי מספר הקישורים לרשת הציבורית הוא נמוך ככל הניתן.
12. ודאו באופן מדגמי עמידות בפני עומסים.</t>
  </si>
  <si>
    <t>5. הארגון וידא כי יעדי ההגנה שמשרתים את ממשק העבודה לרשת הציבורית משתמשים במנגנונים פנימיים מקובלים למימוש מצב אל-כשל (fail-safe).
6. הארגון וידא כי קיימת יתירות בקווי התקשורת וספקי השירות הרלוונטיים, תוך שימוש בתשתית בלתי תלויה.</t>
  </si>
  <si>
    <t>13.2</t>
  </si>
  <si>
    <t>הגנה על מערך הדואר האלקטרוני (דוא"ל)</t>
  </si>
  <si>
    <t>הארגון וידא כי הטמיע אמצעים ושיטות להגנה על מערך הדוא"ל</t>
  </si>
  <si>
    <t>1. יש לפנות לבקרת "מניעה והתמודדות עם דלף מידע".
2. יש לפנות לבקרת "אבטחת אתרי אינטרנט", לשם הגנה על ממשק ה-Webmail.
3. יש לוודא כי גישה ל-Webmail מחייבת לכל הפחות שימוש ב-MFA, אשר מיושם באמצעות שרת מתווך (דוגמת Reverse Proxy).
4. דוא"ל הוא הערוץ המועדף על תוקפים במרחב הסייבר, ולפיכך מומלץ למקד מאמצים בהגנה עליו.
5. דואר זבל (Spam) פוגע משמעותית בפרואקטיביות של הארגון, ולפיכך מומלץ לנקוט צעדים מקובלים כדי לצמצמו למינימום האפשרי.
6. יש לוודא כי מערך הבקרה הרציפה והמתמשכת מסוגל לגלות ולזהות תקיפת Passport Spray.
7. יש לוודא כי מערך הדוא"ל עושה שימוש בעקרונות מקובלים למניעת כשל (Fail-Safe), דוגמת יתירות שרתי הדוא"ל ושרתי ה-Mail Relay.
8. יש לוודא כי כל דוא"ל המתקבל מועבר למערך הלבנה, הכולל Sandbox לפחות, לפני הכנסתו לארגון. ראוי לציין כי ללא שימוש במערך הלבנה קיים קושי ממשי להגיע לרמת אפקטיביות גבוהה בעת התמודדות עם איומים במרחב הסייבר.
9. יש לוודא כי תיבות דוא"ל של VIP מנוטרות לצורך מניעת ניצול לרעה/גישה לא מורשית, לרבות שימוש בחשבון אפליקטיבי (דוגמת חשבון גיבוי) לשם הסוואת הפעילות הזדונית.
10. בעת קבלת דוא"ל מהעולם, יש לוודא כי יש זהות בין שדה ה-"From" לשדה ה-"Return-Path" או ה-"Reply-To". חריגה מכך עשויה להצביע על דוא"ל מסוג Spam\Phishing.
11. יש לוודא כי דוא"ל בעל רמת מהימנות נמוכה שהגיע מהעולם מתויג ומסומן באופן ברור, כדי שהמשתמש יוכל לקבל אינדיקציה נוספת אשר תסייע לו לאתר דוא"ל חשוד.
12. יש לוודא כי ה-Mail Relay הארגוני מוטמע ברשת ייעודית ומבודדת ב-DMZ ו/או בשירות ענן.
13. בעת עבודה עם דוא"ל הפועל על שירותי ענן ציבוריים, יש לוודא כי ברשות הארגון גיבוי בלתי תלוי בספק השירות, וזאת תוך מענה לדרישות העסקיות של הארגון.
14. אין להתקין שרת דוא"ל על שרת בעל פונקציונליות נוספת, בדגש על Domain Controller.
15. אין לאפשר גישה לתיבות דוא"ל רגישות (דוגמת תיבות דוא"ל של מנהלי מערכת) באמצעות ממשקי דוא"ל הנגישים מהעולם (דוגמת OWA).
16. יש לבחון באופן תקופתי את הרשאות הגישה למסד הנתונים ואת האובייקטים הרלוונטיים הקשורים למערך הדוא"ל - למשל, מי מורשה לגשת לתיבת דוא"ל של מישהו אחר.
17. יש לוודא טיוב תקופתי של יעדי הגנה שמותר להם לבצע Relay במערך הדוא"ל בארגון.
18. לאור העובדה כי ממשק הדוא"ל הוא יעד מועדף על תוקפים, יש לוודא כי הארגון מקפיד על רמת עדכניות גבוהה של רכיביו (שרת הדוא"ל, Mail Relay ותוכנת הקליינט) - הן בגרסה והן בעדכוני האבטחה (פאצ'ים).
19. יש לוודא כי לא נעשה שימוש בגרסאות פרוטוקולים פגיעים במערך הדוא"ל, וכי תוקף אינו מסוגל לכפות עבודה בפרוטוקול פגיע (Downgrade Attack).
20. אין לאפשר גישה ישירה מהעולם לשרת הדוא"ל. כחלופה ניתן להשתמש ב-Mail Relay או בפתרון אחר.
21. יש לתת את הדעת על התחברות מכשירים ניידים למערך הדוא"ל, תוך וידוא כי מוחלת מדיניות אבטחה מתאימה. בכלל זה יש לוודא כי מערך האבטחה מסוגל לגלות, לזהות ולסכל תקיפות שעושות שימוש בפרוטוקולים ייחודים לתצורת עבודה זו, דוגמת Active Sync.
22. יש לוודא כי מרבית בדיקות האבטחה מתבצעות בסביבת נפרדת ומבודלת, שאינה נגישה ללא מורשים, כדי שבמקרה של התפרצות נוזקה אזור הפיצוץ (Blast Radius) יהיה קטן ככל הניתן.
23. יש לוודא כי לא ניתן לבצע Relay לא מאושר בתשתית הדוא"ל.
24. להלן סכמה עקרונית לתהליך שליחה/קבלה של דוא"ל בעת עבודה עם האינטרנט:
SMTP Out:
Mail Client -&gt; Mail Server -&gt; Mail Relay -&gt; Internet
SMTP In:
Internet-&gt; Mail Relay -&gt; Halbana  -&gt; Mail Server -&gt; Mail Client
Web:
Internet -&gt; WAF -&gt; Mail Server -&gt; Mail Client  
25. יש לוודא שהארגון הגדיר עקרונות לשימוש נאות במערך הדוא"ל.
26. יש לוודא כי מוקצות תשומות עבור העלאת מודעות העובדים לאיומים בתווך הדוא"ל ולמתן מענה הגנתי.     
27. יש לוודא כי ביכולת הארגון לגלות, לזהות ולבצע הסרה של הודעת דוא"ל/צרופה המאוחסנת בתיבת דוא"ל של משתמש ספציפי, קבוצת משתמשים ספציפית, וכל המשתמשים.  
28. יש לבטל את האפשרות לשליחת הודעות NDR לגורמים מחוץ לארגון.
29. יש לוודא אחת ליום כי לא ניתן להחדיר נוזקה דרך ממשק הדוא"ל, וזאת באמצעות ביצוע פעולות בדיקה מקובלות, דוגמת:
א. שליחה למשתמש אקראי של קובץ המדמה נוזקה (אך ללא Payload זדוני), דוגמת EICAR וקובץ אופיס עם סקריפט Macro. מערך ההגנה צריך לחסום את הודעת הדוא"ל, ולשלוח התרעה למשתמש ולצוות האבטחה.
ב. שליחה של קישור לאתר זדוני למשתמש אקראי. מערך ההגנה צריך להסיר את הקישור מהודעת הדוא"ל ולשלוח התרעה למשתמש ולצוות האבטחה.    
30. יש לוודא כי תיבות דואר של עובדים שעזבו אינן מוצגות ב-GAL הנגיש למשתמשים דרך תוכנת הדוא"ל.</t>
  </si>
  <si>
    <t>הגנה על ממשק הגלישה באינטרנט</t>
  </si>
  <si>
    <t xml:space="preserve">הארגון עושה שימוש בבקרות הגנה לשם צמצום החשיפה בעת גלישה באינטרנט (Web Surfing) 
</t>
  </si>
  <si>
    <t>9. הארגון וידא כי הוא יישם מערך הלבנה ייעודי לטובת אבטחת ממשק הגלישה באינטרנט.
10. הארגון וידא כי הוא אינו מאפשר גישה לאינטרנט כאשר המשתמש אינו במצב פעיל ביעד ההגנה (כלומר, התחנה נמצאת במצב Lock).</t>
  </si>
  <si>
    <t>16. הארגון וידא הוא גילה, זיהה וחסם תעבורה העושה שימוש בכימוס (Encapsulation) חריג.
17. הארגון וידא כי המידע המגיע למשתמש הקצה מבוסס על תצוגה חזותית (Visual Stream), וכי קוד (דוגמת CSS, JS)/תוכן גולמי (דוגמת פרסומת) מוסר בשרת חוצץ.
18. הארגון וידא כי הוא אינו מאפשר גישה לאינטרנט כאשר הפעילות אינה מתבצעת על ידי אדם.</t>
  </si>
  <si>
    <t>מיישם סייבר, ארכיטקט</t>
  </si>
  <si>
    <t>A.13.1.1,A.13.1.2,A.13.2.3,A.14.1.2,</t>
  </si>
  <si>
    <t>הגנה על אתר אינטרנט (Web)</t>
  </si>
  <si>
    <t xml:space="preserve">הארגון עושה שימוש בבקרות הגנה לשם הגנה על אתר אינטרנט
</t>
  </si>
  <si>
    <t>13.5</t>
  </si>
  <si>
    <t>הגנה מפני מתקפות מניעת שירות מבוזרות (DDoS)</t>
  </si>
  <si>
    <t xml:space="preserve">היערכות לתקיפות מניעת שירות מבוזרות (DDoS) במבואות האינטרנט
</t>
  </si>
  <si>
    <t xml:space="preserve">1. ודאו כי תרשים הארכיטקטורה מציג מימוש של בקרות האבטחה הרלוונטיות בשכבות השונות.
2. ודאו כי מערך הבקרה הרציפה והמתמשכת של הארגון מסוגל לגלות ולזהות אינדיקטורים מקובלים שעשויים להעיד על תקיפה מתהווה/פעילה.  
3. ודאו באופן מדגמי כי המפרט הטכני של אמצעי האבטחה עונה לדרישות האבטחה.
4. ודאו כי ממצאי תרגילי הסייבר שערך הארגון מציגים את רמת הכשירות והמוכנות, וכי המסקנות הנגזרות הוחלו בהתאם לסד זמנים שהוגדר במקור.
5. ודאו באמצעות צוות סגול כי לארגון יכולת אפקטיבית למעבר לעבודה מול ספק בענן (Scrubbing), וחזרה. יש לוודא עמידה במדדים אשר הוגדרו.
6. ודאו כי הסכם השירות עם הספקים הרלוונטיים (דוגמת ספק האינטרנט) מכיל התחייבות לעמידה במדדים שהגדיר הארגון.
7. ודאו כי קיימת יתירות בקווי התקשורת, אמצעי האבטחה וכדומה.
8. ודאו כי קיימת יכולת גדילה דינמית של רוחב הפס בזמן אמת או קרוב לזמן אמת.
9. ודאו כי קיימת הפרדה לוגית/פיזית של ערוצי השירות בתשתית.
10. ודאו כי קיימת יכולת להגדלה/הקטנה דינמית (Scale-Out\In) של משאבי התשתית.
11. ודאו כי הארגון מתרגל באופן תקופתי התמודדות עם תקיפת מניעת שירות מבוזרת, לרבות פנייה לקבלת סיוע מספקי האינטרנט הרלוונטיים בארץ ובעולם.
12. ודאו כי הארגון מנטר 24/7 את תשתית ה-BGP שלו.
</t>
  </si>
  <si>
    <t>13.6</t>
  </si>
  <si>
    <t>התחברות מרחוק (Teleworking)</t>
  </si>
  <si>
    <t xml:space="preserve">הארגון תכנן והטמיע מערך התחברות מרחוק, הנסמך על מספר מצומצם של "נקודות בקרת גישה מנוהלות" בעלות יכולות הגנה מתאימות
</t>
  </si>
  <si>
    <t>1. ודאו כי מספר נקודות בקרת הגישה המנוהלות הוא מינימלי.
2. ודאו כי לא ניתן לגשת מרחוק לארגון ללא שימוש בהצפנה והשלמת אימות מוצלח.
3. ודאו כי רק יעד הגנה העונה לדרישות בדיקת היגיינה טכנולוגית (Technology Hygiene) מסוגל לשלוח בקשת הזדהות בשם משתמש.
4. ודאו כי קיימת הקלטת פעילות של המשתמש.
5. ודאו באופן מדגמי כי לא ניתן להתחבר במקביל לרשת הארגון ולרשת אחרת (Split Tunnel).
6. ודאו כי לא ניתן לשנמך את הפרוטוקול שבו משתמש הפתרון.
7. ודאו באמצעות צוות סגול את חוסן מערך ההתחברות מרחוק.
8. ודאו כי גישה לרשת הארגון מתבצעת באמצעות שרת מתווך (Jump Server).
9. ודאו כי לא ניתן להתחבר מרחוק באמצעות שימוש ברכיבי VPN בעלי חולשות ידועות.
10. ודאו כי הארגון אינו חושף ממשקים בעלי חולשות ידועות או שאינם מתאימים לגישה מרחוק, דוגמת RDP.
11. ודאו כי הגדרות ה-VPN כוללות מימוש של ההגדרות השונות.
12. בארגונים בעלי רמת סיכון גבוהה יש לוודא כי הגישה מרחוק אפשרית רק דרך רשת שאינה ציבורית באופן מלא (דוגמת APN).</t>
  </si>
  <si>
    <t>19. הארגון וידא כי הגישה ליעד הגנה ייעודי (Jump Box) מתווך מחייבת הזנת פריט אימות נוסף, שלא נעשה בו שימוש בעת האימות מול נקודת בקרת הגישה המנוהלת (דוגמת שרת SSL VPN).
20. הארגון וידא כי פעילות המשתמש מוקלטת ונשמרת לזמן סביר, וכי במקרה של חריגה מפרופיל הפעילות המאושר היא נחסמת ב"זמן אמת" (Real Time).
21. הארגון וידא כי המשתמש לא ביצע פעולות זדוניות, וזאת באמצעות ביצוע פעולות תחקור מדגמיות בזמן אמת.
22. הארגון וידא כי לא ניתן לבצע פעולות ניהול ותחזוקה באמצעות חיבור מרחוק.
23. הארגון וידא כי בעת התחברות מרחוק הוא מממש ארכיטקטורת הצפנה מקצה לקצה (E2EE - End-to-End Encryption).
24. הארגון וידא כי התעבורה הנשלחת ליעד ההגנה של המשתמש המרוחק מבוססת על אמולציה (Emulation) של האפליקציה בצד הארגון, תוך שליחת ייצוג גרפי של המידע (Visualization Streaming).</t>
  </si>
  <si>
    <t>AC-17, AC-17(1), AC-17(3),IA-2(11)</t>
  </si>
  <si>
    <t>A.6.2.1,
A.6.2.2,
A.13.1.1,A.13.1.2,A.13.1.3,A.13.2.3,A.14.1.2,</t>
  </si>
  <si>
    <t>13.7</t>
  </si>
  <si>
    <t>הגנה על מדיות חברתיות (רשתות חברתיות)</t>
  </si>
  <si>
    <t>1. ודאו כי הארגון מימש מנגנוני אבטחה בהתאם להמלצות ספק המדיה החברתית.
2. ודאו כי בשנה האחרונה בוצעו הדרכות מודעות למשתמשים במדיה החברתית, בדגש על מנהלי דף מדיה.
3. ודאו באופן מדגמי כי הפרסומים במדיה החברתית אינם חורגים ממדיניות הארגון.
4. ודאו כי משך הזמן הדרוש לארגון כדי לגלות, לזהות ולטפל בפרסום החורג מהמותר תואם את המדדים שהוגדרו במדיניות הארגון.
5. ודאו כי משך הזמן הדרוש לארגון כדי לגלות, לזהות ולטפל בפרסום מתחזה (דוגמת הקמת אתר אינטרנט מתחזה או דף מדיה חברתית מתחזה) תואם את המדדים שהוגדרו במדיניות הארגון.
6. ודאו כי קיים בארגון נוהל אפקטיבי להתמודדות עם השתלטות על דף המדיה החברתית.
7. ודאו כי הגישה לניהול דפי המדיה החברתית מתבצעת מיעדי הגנה המפוקחים על ידי הארגון.</t>
  </si>
  <si>
    <t>1. הארגון וידא כי הוא הגדיר מיהם הגורמים שמוסמכים לפרסם בשמו מידע במדיות החברתיות.
2. הארגון וידא כי הגורם שהגדיר את חשבונות המדיות החברתיות אינו הגורם שמבצע את התפעול בשגרה.
3. הארגון וידא כי הוא פרסם במדיה החברתית קוד אתי/כללי עשה ואל תעשה לגולשים, שאושרו משפטית.
4. הארגון וידא כי הוא הפעיל את מנגנוני האבטחה המומלצים על ידי ספק המדיה החברתית (דוגמת הזדהות חזקה וקבלת התרעות במקרה של גישה לא מורשית).
5. הארגון וידא כי חשבונות הניהול של המדיה החברתית עושים שימוש בכתובת ייעודית של הארגון (מייל, טלפון וכו'), שאינה חשופה לציבור.
6. הארגון הגדיר מהם התכנים שמותר לפרסם במדיות חברתיות.
7. הארגון וידא כי הוא הגדיר תהליך להתאוששות במקרה של אובדן פרטי אימות או עזיבת העובד שמתחזק את פעילות המדיה החברתית.</t>
  </si>
  <si>
    <t>8. הארגון וידא כי הוא בוחן באופן תקופתי את התאמת הפרסומים במדיה החברתית למדיניותו, וכי חריגות מטופלות בהתאם להליך מאושר.
9. הארגון וידא כי נערכו הדרכות ייעודיות ותקופתיות לעובדים המשתמשים במדיות חברתיות כחלק מעבודתם.</t>
  </si>
  <si>
    <t>A.14.1.2,</t>
  </si>
  <si>
    <t>13.8</t>
  </si>
  <si>
    <t>אבטחת API</t>
  </si>
  <si>
    <t>הארגון אבטח את ממשקי ה-API</t>
  </si>
  <si>
    <t>A.14.1.1,A.14.1.1,A.14.1.3,A.14.1.2,</t>
  </si>
  <si>
    <t>13.9</t>
  </si>
  <si>
    <t>אבטחת טלפונים ניידים</t>
  </si>
  <si>
    <t>הארגון תכנן ואכף מדיניות לשימוש בטלפונים ניידים ולאבטחתם, הכוללת אמצעי אבטחה וחסימת גישה ללא הרשאה
(הרחבה לבקרת "מדיניות ונוהלי בקרת גישה בעת התחברות מכשירים ניידים לרשת הארגון")</t>
  </si>
  <si>
    <t>1. ודאו כי הוחל אמצעי אבטחה מקובל ועדכני להתמודדות עם איומים בעולם הסלולר.
2. ודאו כי קיימת יכולת מחיקה מרחוק של מידע ארגוני השמור במכשיר הסלולרי.
3. ודאו באמצעות צוות סגול כי בעת הורדה והפעלה של נוזקה מתבצעות פעולות הסרה ודיווח.
4. ודאו באופן מדגמי כי המכשירים הסלולריים אינם מכילים תוכנות בעלות מוניטין נמוך.
5. ודאו באופן מדגמי כי למכשירים הסלולריים של אורחים הוצמדה מדבקה הולוגרפית למניעת צילום במתחם, וכי ביציאה וידא גורם מוסמך מטעם הארגון כי המדבקה לא הוסרה. 
6. ודאו כי הוחלה הקשחה מתאימה לטלפון הסלולרי, דוגמת חובת הקלדה של סיסמת כניסה למכשיר, נעילת המכשיר לאחר X דקות ללא פעילות או הצפנת מידע במנוחה.
7. ודאו כי יכולת Remote Wipe נאכפת על כל המכשירים, וכי ניתן לבצע מחיקה מדגמית של מידע ארגוני מטלפון נייד.
8. ודאו כי מכשירים עם מערכת הפעלה פרוצה/לא חוקית לא התחברו לרשת הארגון.
9. ודאו כי קיימת מערכת ניהול מרכזית לטלפונים הניידים.
10. ודאו באופן מדגמי כי קיימת הקשחה לטלפונים הניידים.
11. ודאו באופן מדגמי כי העובדים מודעים לנוהלי השימוש בטלפונים הניידים, לרבות חובת הדיווח לארגון במקרה של חריגה.
12. ודאו באופן מדגמי כי הארגון מסוגל להגיב באופן אפקטיבי לאירועים חריגים, דוגמת אובדן טלפון נייד או גניבה שלו.</t>
  </si>
  <si>
    <t>AC-19</t>
  </si>
  <si>
    <t>A.6.2.1,
A.6.2.2,
A.14.1.2,</t>
  </si>
  <si>
    <t>13.10</t>
  </si>
  <si>
    <t>אבטחת ממשק להעברה מנוהלת של קבצים (MFT)</t>
  </si>
  <si>
    <t>הארגון מאבטח את הממשק להעברה מנוהלת של קבצים (MFT)</t>
  </si>
  <si>
    <t>1. יש לפנות לבקרת "הורדת קבצים מהאינטרנט לצורך עדכוני תוכנה והתקנות חדשות".
2. יש לפנות לבקרת "מערך הלבנה".
3. יש לפנות לבקרת "התמודדות עם דלף מידע".
4. יש לוודא כי עדכוני אבטחה מוחלים בתדירות גבוהה על ממשק MFT החשוף לרשת ציבורית, דוגמת האינטרנט.
5. יש לוודא מערכת ה-MFT מוגנת על ידי בקרה מפצה, דוגמת WAF.
6. יש לוודא כי ברשות הארגון תהליך סדור לטיפול בקבצים המגיעים בסדר לא נכון, בין אם עקב תקלה טכנית או מסיבה אחרת.</t>
  </si>
  <si>
    <t>1. הארגון וידא כי הוא הגדיר במערכת ה-MFT מדיניות למחזור החיים של הקבצים (object retention, placement, protection, transition, and expiration)
2. הארגון וידא כי הוא מאפשר קבלת קבצים בהתאם לפורמט מוגדר בלבד (True Type).
3. הארגון וידא כי הוא הגדיר ברמת הממשק והמשתמשים ספים (Bars) ורפים (Thresholds).
4. הארגון וידא כי קיימת שונות בין המשתמשים הניגשים למערכת ה-MFT מחוץ לארגון לאלו אשר עושים בה שימוש בחצרות הארגון.
5. הארגון וידא כי שינוע הקבצים מ/אל מערכת ה-MFT מתבצע באופן מוצפן (In Transit).</t>
  </si>
  <si>
    <t>6. הארגון וידא כי הוא משלב תהליך הלבנה בערוץ קבלת הקבצים.
7. הארגון וידא כי רכיבי מערכת ה-MFT (לא כולל קובצי המשתמשים) חזרו באופן תקופתי למצב אפס (State Steady).
8. הארגון וידא כי לא ניתן לכפות על רכיבי מערכת ה-MFT לעשות שימוש בפרוטוקול ישן מזה אשר הוגדר (Downgrade Attack).
9. הארגון וידא כי רכיבי המערכת חסינים בפני תקיפת שידור מידע היסטורי (Replay Attack).
10. הארגון וידא כי מערכת ה-MFT שומרת את המידע במנוחה (At Rest) באופן מוצפן.
11. הארגון וידא כי מערכת ה-MFT מממשת עקרונות מקובלים למניעת התכחשות (Non-Reputation).
12. הארגון וידא כי הוא מזער את המידע החשוף מממשק הדואר האלקטרוני של הנמען, וזאת תוך החלת הצעדים הבאים:
א. המשתמש מקבל קישור (Link) להורדת הקובץ.
ב. בגישה לקישור המשתמש נדרש להזדהות.
ג. לאחר שהמשתמש הוריד את הקובץ הגישה מוסרת לאלתר.
ד. אם המשתמש לא השלים את ההורדה במסגרת חלון זמן מוגדר (דוגמת X שעות), הגישה מוסרת לאלתר והקובץ נמחק מה-PEP הקדמי.</t>
  </si>
  <si>
    <t>A.13.2.3,A.14.1.2,</t>
  </si>
  <si>
    <t>13.11</t>
  </si>
  <si>
    <t>הורדת קבצים מהאינטרנט לצורך עדכוני תוכנה והתקנות חדשות</t>
  </si>
  <si>
    <t>הארגון וידא כי הוא הגדיר תהליך עבודה לאבטחת תהליך ההורדה מהאינטרנט של קבצים המשמשים לעדכוני תוכנה והתקנות חדשות</t>
  </si>
  <si>
    <t>1. יש להתייחס לבקרה כהרחבה לבקרות הנדרשות להגנה על תשתית החיבור לאינטרנט, ולא כבקרה עצמאית בלבד.
2. יש לשלב תהליכי הלבנה בעת הורדת קבצים והכנסתם לארגון.
3. יש לוודא כי ברשות הארגון תורת הפעלה לשימוש בגישה אנונימית, לרבות הגדרה עדכנית של יעדי ההסתרה.
4. יש לוודא כי לא נעשה שימוש במזהי התחברות/פעילות העשויים להסגיר את הזהות האמיתית ו/או מטרות הפעילות.
5. השימוש בגישה אנונימית אפשרי בתרחישים שונים, דוגמת:
א. הורדת קבצים מהאינטרנט.
ב. הזדהות לאתר אינטרנט/מנוע חיפוש.
ג. גישה לרשת חברתית.
ד. ביצוע בדיקות מהימנות למועמד/ספק וכדומה.</t>
  </si>
  <si>
    <t>1. ודאו כי כל הורדה של קובץ מתבצעת מרשת ארגונית העומדת בדרישות הגנת המידע והסייבר.
2. ודאו באופן מדגמי כי יש התאמה בין המאפיינים/סממנים של קובץ שהורד מהאינטרנט לבין המאפיינים/סממנים המופיעים באתר היצרן.
3. ודאו באופן מדגמי כי יש התאמה בין המאפיינים/סממנים של קובץ שהורד מהאינטרנט לבין המאפיינים/סממנים של קובץ שהורד מערוץ חלופי.
4. ודאו כי בעת הצורך מתבצעת הורדת קבצים תוך שימוש בגישה אנונימית.</t>
  </si>
  <si>
    <t>1. הארגון וידא כי הוא ביצע הורדה של הקובץ מאתר מהימן (Trustworthy).</t>
  </si>
  <si>
    <t>2. הארגון וידא כי לקובץ (Download) שהורד יש מזהים (דוגמת ערך ה-Hash) הזהים לאלו המפורסמים באתר המהימן (Trustworthy).
3. הארגון וידא כי הוא הוריד העתק נוסף של הקובץ מאתר מהימן (Trustworthy), וזאת תוך שימוש בתשתית תקשוב שונה. לאחר מכן, הארגון וידא כי המזהים של שני הקבצים זהים.
4. הארגון וידא כי הוא ביצע את ההשוואה בסביבה מבודלת, שאינה מחוברת לאינטרנט.</t>
  </si>
  <si>
    <t>5. הארגון וידא כי הוא הוריד העתק נוסף של הקובץ מאתר מהימן (Trustworthy), וזאת תוך שימוש בתשתית גישה אנונימית. לאחר מכן, הארגון וידא כי המזהים של שני הקבצים זהים.</t>
  </si>
  <si>
    <t>6. הארגון וידא כי הוא השתמש בתשתית גישה אנונימית ובפרטי הזדהות מוכמנים (דוגמת פרטי לקוח/כתובת דוא"ל ואמצעי תשלום שאינם קשורים לארגון ולעובדיו) לשם הורדת ההעתק השני של הקובץ מהאתר המהימן (Trustworthy). לאחר מכן, הארגון וידא כי המזהים של שני הקבצים זהים.</t>
  </si>
  <si>
    <t>קריפטוגרפיה</t>
  </si>
  <si>
    <t>14.1</t>
  </si>
  <si>
    <t xml:space="preserve">שימוש בקריפטוגרפיה ביעדי הגנה </t>
  </si>
  <si>
    <t>הארגון וידא כי הוא הגדיר שיטת עבודה ותהליכים תומכים להטמעת תהליכי קריפטוגרפיה ביעדי הגנה</t>
  </si>
  <si>
    <r>
      <rPr>
        <b/>
        <sz val="12"/>
        <color theme="1"/>
        <rFont val="Calibri"/>
      </rPr>
      <t>הגנה על תהליך ניהול המפתחות הקריפטוגרפיים</t>
    </r>
    <r>
      <rPr>
        <sz val="12"/>
        <color theme="1"/>
        <rFont val="Calibri"/>
      </rPr>
      <t xml:space="preserve">:
10. הארגון וידא כי בניהול מחזור החיים של המפתחות הוא מיישם תהליכי הקשחה מקובלים ועדכניים, תוך התייחסות לתהליכים תומכים ולסוג הממשקים שבהם נעשה שימוש [דוגמת ממשק אדם-מכונה (H2M) וממשק מכונה-מכונה (M2M)].
11. הארגון וידא כי הוא קבע והגדיר תהליכי תגובה לאירוע (Incident Response) ו-Playbooks מתאימים לטיפול באירועים חריגים, דוגמת מקרה שבו הגיע מפתח לידי לא מורשים.
12. הארגון וידא כי הוא משתמש בפרוטוקול מקובל ועדכני לניהול מפתחות (דוגמת KMIP - Key Management Interoperability Protocol).
13. הארגון וידא כי הוא משתמש באלגוריתמים/פרוטוקולים המוודאים כי חשיפה של מפתחות סודיים ארוכי טווח, ששימשו לצורך שיתוף מפתחות השיחה, אינה מסכנת את סודיות מפתחות השיחה שיצר הפרוטוקול בעבר (דוגמת PFS - Perfect Forward Secrecy)
</t>
    </r>
    <r>
      <rPr>
        <b/>
        <sz val="12"/>
        <color theme="1"/>
        <rFont val="Calibri"/>
      </rPr>
      <t>בקרת גישה</t>
    </r>
    <r>
      <rPr>
        <sz val="12"/>
        <color theme="1"/>
        <rFont val="Calibri"/>
      </rPr>
      <t xml:space="preserve">:
14. הארגון וידא כי ביצוע פעולות מהותיות בשרת ניהול המפתחות (דוגמת יצוא מפתחות) מחייב אימות סימולטני של שני מורשים (Dual Control).
15. הארגון וידא כי שרת ניהול המפתחות הוטמע ברשת ייעודית ומבודלת (OOB).
16. הארגון וידא כי הוא משתמש בשרת ניהול מפתחות בעל יכולות מניעת חבלה (Tamper-Resistant)
וחשיפת שינוי לא מבוקר (Tamper-Evident) ברמת התוכנה (דוגמת מחיקה בלתי הדירה של המפתחות בעת גישת לא מורשים וכן יישום שיטות מקובלות ועדכניות למניעת גישה בלתי מורשית), אשר עומד בדרישות תקינה עדכניות ומקובלות (דוגמת FIPS 140-3 Level 3/4).
</t>
    </r>
    <r>
      <rPr>
        <b/>
        <sz val="12"/>
        <color theme="1"/>
        <rFont val="Calibri"/>
      </rPr>
      <t>שימוש בהצפנה</t>
    </r>
    <r>
      <rPr>
        <sz val="12"/>
        <color theme="1"/>
        <rFont val="Calibri"/>
      </rPr>
      <t xml:space="preserve">:
17. הארגון וידא כי כברירת מחדל הוא מצפין מידע רגיש/חסוי בעת שינוע (Data In Transit) ובעת אחסון (Data At Rest), וזאת באמצעות שימוש בפרוטוקולים ואלגוריתמים עדכניים ומקובלים.
</t>
    </r>
    <r>
      <rPr>
        <b/>
        <sz val="12"/>
        <color theme="1"/>
        <rFont val="Calibri"/>
      </rPr>
      <t>חוזק אלגוריתמי קריפטוגרפיה:</t>
    </r>
    <r>
      <rPr>
        <sz val="12"/>
        <color theme="1"/>
        <rFont val="Calibri"/>
      </rPr>
      <t xml:space="preserve">
18. הארגון וידא כי הוא משתמש באלגוריתמים/פרוטוקולים לטובת תהליכי קריפטוגרפיה, וזאת בהתאם להמלצות של יצרני יעדי ההגנה ושל סטנדרטים מקובלים בתחום (דוגמתFIPS 186-4, NIST, PCI, FIPS 140-3 Level 3 or Higher or Higher).</t>
    </r>
  </si>
  <si>
    <r>
      <rPr>
        <sz val="12"/>
        <color theme="1"/>
        <rFont val="Calibri"/>
      </rPr>
      <t xml:space="preserve">19. הארגון וידא כי כל יעדי ההגנה בתחום התקשוב תומכים ב-Crypto-Agility – יכולת לאמץ אלטרנטיביות בעולם הקריפטוגרפיה (דוגמת החלפת אלגוריתם הצפנה) ללא צורך בביצוע שינויי תשתית מהותיים. 
20. הארגון וידא כי הוא מתעדכן באופן תקופתי בהמלצות רלוונטיות מעולם הקריפטוגרפיה, לרבות מידע על קיומן של חולשות באלגוריתמים וכשלים במימוש מנגנוני קריפטוגרפיה שבהם משתמש הארגון. 
21. הארגון וידא כי הוא חותם דיגיטלית על מסרים רגישים/סודיים, כדי למנוע אפשרות להתכחשות (Non-repudiation).
</t>
    </r>
    <r>
      <rPr>
        <b/>
        <sz val="12"/>
        <color theme="1"/>
        <rFont val="Calibri"/>
      </rPr>
      <t>הגנה על תהליך ניהול המפתחות הקריפטוגרפיים</t>
    </r>
    <r>
      <rPr>
        <sz val="12"/>
        <color theme="1"/>
        <rFont val="Calibri"/>
      </rPr>
      <t xml:space="preserve">
22. הארגון וידא כי הוא קבע והגדיר אורך חיים למפתחות, תוך החלת תהליך תומך המאפשר החלפה מקדימה של מפתח פעיל ללא צורך בהשבתה תפעולית. 
23. הארגון וידא כי לא ניתן לעשות מספר שימושים פונקציונליים באותו מפתח (מפתח יוכל לשמש להצפנת מידע או לחתימה, אך לא שניהם) 
</t>
    </r>
    <r>
      <rPr>
        <b/>
        <sz val="12"/>
        <color theme="1"/>
        <rFont val="Calibri"/>
      </rPr>
      <t>בקרת גישה</t>
    </r>
    <r>
      <rPr>
        <sz val="12"/>
        <color theme="1"/>
        <rFont val="Calibri"/>
      </rPr>
      <t xml:space="preserve">
24. הארגון וידא כי הוא צמצם למינימום את ההסתמכות על גורמים אנושיים בניהול מחזור החיים של המפתחות. 
25. הארגון וידא כי הגישה לשרת ניהול המפתחות מתבצעת באמצעות שכבה חוצצת (Proxy), המחייבת יצירת Session חדש וייעודי. 
</t>
    </r>
    <r>
      <rPr>
        <b/>
        <sz val="12"/>
        <color theme="1"/>
        <rFont val="Calibri"/>
      </rPr>
      <t>מניעת חבלה (Tamper-Resistant)</t>
    </r>
    <r>
      <rPr>
        <sz val="12"/>
        <color theme="1"/>
        <rFont val="Calibri"/>
      </rPr>
      <t xml:space="preserve">
26. הארגון וידא כי הוא משתמש בשרת ניהול מפתחות בעל יכולות מניעת חבלה (Tamper-Resistant) וחשיפת חבלה (Tamper Evident) ברמת החומרה (דוגמת מחיקה בלתי הדירה של מפתחות בעת גישת לא מורשים וכן יישום שיטות מקובלות ועדכניות למניעת גישה בלתי מורשית), אשר עומד בדרישות תקינה עדכנית ומקובלת (דוגמת FIPS 140-3 Level 3/4). 
</t>
    </r>
    <r>
      <rPr>
        <b/>
        <sz val="12"/>
        <color theme="1"/>
        <rFont val="Calibri"/>
      </rPr>
      <t>ניטור</t>
    </r>
    <r>
      <rPr>
        <sz val="12"/>
        <color theme="1"/>
        <rFont val="Calibri"/>
      </rPr>
      <t xml:space="preserve">
27. הארגון וידא כי הוא מגלה ומזהה אנומליה/חריגות בביצוע פעולות הקשורות לניהול ושימוש במפתחות.
</t>
    </r>
    <r>
      <rPr>
        <b/>
        <sz val="12"/>
        <color theme="1"/>
        <rFont val="Calibri"/>
      </rPr>
      <t>שימוש בהצפנה</t>
    </r>
    <r>
      <rPr>
        <sz val="12"/>
        <color theme="1"/>
        <rFont val="Calibri"/>
      </rPr>
      <t xml:space="preserve">
28. הארגון וידא כי כברירת מחדל הוא מצפין מידע רגיש/חסוי: בעת שינוע (Data In Transit) המידע מוצפן באמצעות שתי שכבות הצפנה בלתי-תלויות; ובעת אחסון (Data At Rest) על ידי שכבת הצפנה אחת לכל הפחות - וזאת תוך שימוש בפרוטוקולים ואלגוריתמים עדכניים ומקובלים.
</t>
    </r>
    <r>
      <rPr>
        <b/>
        <sz val="12"/>
        <color theme="1"/>
        <rFont val="Calibri"/>
      </rPr>
      <t>חוזק אלגוריתמי קריפטוגרפיה</t>
    </r>
    <r>
      <rPr>
        <sz val="12"/>
        <color theme="1"/>
        <rFont val="Calibri"/>
      </rPr>
      <t xml:space="preserve">
29. הארגון וידא כי הוא עושה שימוש באלגוריתמים/פרוטוקולים לטובת תהליכי קריפטוגרפיה, וזאת בהתאם להמלצות של יצרני יעדי ההגנה ושל סטנדרטים מקובלים בתחום (דוגמתFIPS 186-4, NIST, PCI, FIPS 140-3 Level 3 or Higher or Higher) - תוך העדפה של ההמלצה המחמירה.</t>
    </r>
  </si>
  <si>
    <t>SC-13, SC-12. SC-12(1), SC-40
MP-5(4), SC-13, SC-12</t>
  </si>
  <si>
    <t>A.10.1.1,A.10.1.2,A.18.1.5,</t>
  </si>
  <si>
    <t>14.2</t>
  </si>
  <si>
    <t>אבטחת תהליך חילול מפתחות קריפטוגרפיים</t>
  </si>
  <si>
    <t>הארגון נקט צעדים לאבטחת תהליך החילול של מפתחות קריפטוגרפיים</t>
  </si>
  <si>
    <t>1. תוקפים במרחב הסייבר עלולים לבצע תקיפת ערוץ צד (Side-Channel) כדי לקבל גישה למפתחות קריפטוגרפיים.
2. יש לזכור כי ככל שמשך חייהם של מפתחות קריפטוגרפיים ארוך יותר, כך גדלה החשיפה במקרה של תהליך חילול שאינו בעל רמת אנטרופיה רצויה.
3. בשנים האחרונות התגלו מספר מקרים שבהם רכיבי קריפטוגרפיה כללו חולשות מובנות אשר פגעו באפקטיביות תהליך החילול.
4. יש להתייחס ליעדי ההגנה המעורבים בתהליך חילול המפתחות כאל יעדי הגנה חסויים.</t>
  </si>
  <si>
    <t>1. ודאו באמצעות מומחה לקריפטוגרפיה ומבחנים מקובלים כי רמת האנטרופיה של תהליך חילול המפתחות מספקת.
2.  ודאו באמצעות מומחה להגנה פיזיקלית ומבחנים מקובלים כי בתהליך החילול לא נוצר דלף מידע ערכי לסביבה דרך ערוצי צד (Side-Channels) או ערוץ אחר.
3. ודאו כי קיימים מנגנונים מקובלים למניעת חבלה (Tamper-Resistant) וחשיפת חבלה (Tamper-Evident) העונים לפרופיל הסיכון.
4. ודאו כי קיימות הגנות פיזיות וסביבתיות ההולמות את מתאר הסיכון.
5. ודאו כי מודול החילול עומד בדרישות תקינה מקובלת, דוגמתFIPS 140-3 Level 3 או Common Criteria EAL 4.</t>
  </si>
  <si>
    <t>14.3</t>
  </si>
  <si>
    <t>ניהול תשתית מפתחות ציבוריים (PKI - Public Key Infrastructure)</t>
  </si>
  <si>
    <t>הארגון וידא כי הוא הטמיע תשתית לניהול מפתחות קריפטוגרפיים ציבוריים</t>
  </si>
  <si>
    <r>
      <rPr>
        <b/>
        <sz val="12"/>
        <color theme="1"/>
        <rFont val="Calibri"/>
      </rPr>
      <t>16. כללי</t>
    </r>
    <r>
      <rPr>
        <sz val="12"/>
        <color theme="1"/>
        <rFont val="Calibri"/>
      </rPr>
      <t xml:space="preserve">:
א. הארגון וידא כי קיימת הפרדה מלאה בין תשתית ה-PKI שמשרתת משתמשים מחוץ לארגון לבין התשתית שמשרתת משתמשים בתוך הארגון.
</t>
    </r>
    <r>
      <rPr>
        <b/>
        <sz val="12"/>
        <color theme="1"/>
        <rFont val="Calibri"/>
      </rPr>
      <t>17. דרישות היררכיה מתשתית ה-PKI</t>
    </r>
    <r>
      <rPr>
        <sz val="12"/>
        <color theme="1"/>
        <rFont val="Calibri"/>
      </rPr>
      <t>:
א. הארגון וידא כי הוא משתמש בהיררכיה תלת-שכבתית:
• שכבת Offline Root CA.
• שכבת Offline Intermediate, בהתאם למדיניות המותרת לפרסום, וזאת ביחס למיקום הפיזי/לוגי של השרת והלקוחות.
• שכבת Online Issuing CA, בהתאם לסוגי התעודות הדיגיטליות המותרים להנפקה, וזאת ביחס למיקום הפיזי/לוגי של השרת והלקוחות.</t>
    </r>
  </si>
  <si>
    <t>DETECT</t>
  </si>
  <si>
    <t>הגנת סייבר פרואקטיבית</t>
  </si>
  <si>
    <t>מדיניות ונוהלי עבודה לגילוי וזיהוי פגיעויות/חולשות ברשת הארגון (Vulnerability Scanning)</t>
  </si>
  <si>
    <t>הנהלת הארגון אישרה את המדיניות ונוהלי העבודה לגילוי וזיהוי פגיעויות/חולשות ברשת הארגון (Vulnerability Scanning)</t>
  </si>
  <si>
    <t>CA-1, CA-2</t>
  </si>
  <si>
    <t>A.12.6.1,A.12.6.2,A.18.2.2,</t>
  </si>
  <si>
    <t>ניסיונות חדירה מבוקרים</t>
  </si>
  <si>
    <t>הארגון ביצע ניסיונות חדירה מבוקרים ליעדי ההגנה באמצעות גורם מקצועי (פנימי, פנימי בלתי תלוי, חיצוני בלתי תלוי), וזאת על בסיס תקופתי או רציף</t>
  </si>
  <si>
    <t>1. חלק מהאמצעים הטכנולוגיים משתמשים במאגר חתימות (Signature Based) לשם החלת TTPs רלוונטיים. לאור זאת, יש לוודא כי האמצעים הטכנולוגיים הם בעלי רישיון תקף לקבלת עדכוני חתימות, וכי החתימות מוחלות אחת ליום לכל הפחות.
2. יש לוודא כי כבר בשלב התכנון, הפיתוח והייצור של רכיבי OT עבור הארגון, הוא בוחן עם היצרן את אפקטיביות הגנת הסייבר ואת רמת ההתאמה של הרכיבים לסביבת הארגונית (דוגמת השתלבות בבדיקות FAT - Factory Acceptance Tests / SAT - Site Acceptance Tests).
3. מומלץ לבצע רוטציה בין גורמי פנים וחוץ אשר מבצעים ניסיונות חדירה מבוקרים, לשם העלאת הסבירות לגילוי וזיהוי חולשה אשר אחד הגורמים לא הצליח לאתרה.
4. יש לשמור את ממצאי ניסיונות החדירה המבוקרים במערכת ממוכנת, אשר מאפשרת מעקב אחר סגירת הפערים, ניהול תהליכי האסקלציה ומגמות/טרנדים. יש לוודא כי המערכת מחוברת למערכות משיקות, דוגמת Asset Management\CMDB\SCM (Secure Configuration Management).
5. יש לוודא כי ניסיונות חדירה מבוקרים ליעד הגנה ברמה 3 ומעלה יכללו שימוש בגורם צד שלישי.
6. יש לתעד את התהליך לטיפול בליקויים ובחשיפות הגנת סייבר שהתגלו בבדיקות, וזאת לשם מעקב אחר סגירתם בהתאם ללו"ז שאישרה הנהלת הארגון.</t>
  </si>
  <si>
    <t>1. ודאו כי תיחום בדיקות החוסן ותדירותן עונים למדיניות הארגון (וזאת בהתאם לעומק היישום). 
2. ודאו כי נעשה שימוש בגורם מקצועי מתאים לביצוע בדיקות החוסן (וזאת בהתאם לעומק היישום).
3. ודאו כי הארגון החיל תרחישי בדיקה ההולמים את פרופיל הסיכון של יעד ההגנה.
4. ודאו כי הארגון אימץ מתודולוגיה מקובלת ועדכנית עבור יישום תרחישי בדיקות/תקיפה.
5. ודאו כי הארגון משתמש באמצעים מקובלים ועדכניים לשם ביצוע בדיקות חוסן.
6. ודאו כי דו"חות הממצאים מוזנים למערך ניהול מרכזי, היכול לעקוב אחר מגמות במשך זמן (שימוש בכלי "אופיס" אינו מהווה מענה הולם).
7. ודאו כי קיימת תוכנית עבודה סדורה.
8. ודאו כי קיימת תוכנית Bug bounty פנימית/חיצונית (וזאת בהתאם לעומק היישום).
9. ודאו כי בדיקות ה-FAT\SAT להתקני OT כוללות גם בדיקות חוסן.
10. ודאו כי הארגון משתמש במתודולוגיה עדכנית ורלוונטית.
11. ודאו כי הארגון כולל בבדיקות החוסן בחינה של תרחישי תקיפה רלוונטיים.
12. ודאו כי מערך הניטור מצליח לגלות ולזהות תקיפות שמתבצעות במסגרת בדיקות החוסן, ומסוגל לשחזרן באמצעות ניתוח ממצאים פורנזיים ואחרים.
13. ודאו כי ממצאי בדיקות החוסן מסייעים לקביעת ערך הסיכון של יעד ההגנה.
14. ודאו כי נעשה שימוש בכלים ממוכנים אשר מדמים את פעילות התוקף (משחקי "מגן תוקף"). זאת, לאור העובדה כי ביצוע ניסיונות חדירה המבוקרים ידנית מגביל את רמת הכיסוי של כל יעדי ההגנה, ומקשה על קבלת תוצר ברמת איכות זהה בכל בדיקה ובדיקה.
15. ודאו כי לשם טיוב תהליך הבדיקה משתמש הארגון במתודות מקובלות, דוגמת MITRE Adversary Emulation Plans או OWASP Testing Guide.</t>
  </si>
  <si>
    <t>1. הארגון וידא כי הוא ביצע ניסיונות חדירה מבוקרים לפני עלייה לייצור, לפני החלת שינוי מהותי בסביבת הייצור, ובאופן תקופתי – פעם בנה וחצי ביעד הגנה לא קריטי, ופעם בשנה ביעד הגנה קריטי.
2. הארגון וידא כי הוא ביצע ניסיונות חדירה מבוקרים ליעדי הגנה המתמקדים בגילוי וזיהוי חולשות תשתית.
3. הארגון וידא כי הוא משתמש בגורם מקצועי פנימי/פנימי מקצועי בלתי תלוי/חיצוני בלתי תלוי לשם ביצוע ניסיונות חדירה מבוקרים.
4. הארגון וידא כי במסגרת ניסיונות חדירה מבוקרים נבחנים תרחישי תקיפה ייעודים המותאמים לפרופיל הארגון ולסקטור הפעילות שלו. בכלל זה יש לוודא כי התרחישים כוללים התייחסות לנושאים דוגמת:
א. מיפוי נכסים ותהליכים עסקיים, כשהתרחישים מכוונים אל הנכסים.
ב. תרחישי תקיפה מרחוק – דרך האינטרנט, חיבורים מרחוק, ספקים וכו' 
ג. תרחישי תקיפה מקרוב – באמצעות עובד פנימי, חיבור התקן למערכת, דילוג מרשת מינהלתית לרשת מבודלת וכו'.</t>
  </si>
  <si>
    <t>טכנולוג + מיישם + בודק חדירות + חוקר סייבר</t>
  </si>
  <si>
    <t>CA-8, CA-8(1), CA-8(2)</t>
  </si>
  <si>
    <t>A.12.6.1,A.12.6.2,A.14.2.8,A.14.2.9,A.18.2.1,</t>
  </si>
  <si>
    <t>תהליך סריקת חולשות, הגדרת כלים לביצוע, עדכונם, תיקופם, השוואתם לסריקות קודמות/נוספות בכל יעדי ההגנה בארגון,
והגדרת תוכנית לטיפול בסגירת הממצאים</t>
  </si>
  <si>
    <t>הארגון מבצע סריקת חולשות באופן שוטף, ובהתאם לממצאים מבצע הליך תיקון (Remediation) לפי SLA\OLA מוגדר</t>
  </si>
  <si>
    <t>8. הארגון וידא כי הוא ביצע בכל יעד הגנה סריקה לגילוי וזיהוי חולשות ידועות אחת לשבועיים לכל הפחות.
9. הארגון וידא כי אמצעי גילוי וזיהוי החולשות שבו הוא משתמש הוא בלתי תלוי במערך הטמעת עדכוני האבטחה (פאצ'ים).
10. הארגון וידא כי ביכולתו לזהות מגמות לאורך זמן, דוגמת שוני בין ממצאי שתי בדיקות או כשל רוחבי ביישום בקרת הגנה.
11. הארגון וידא כי האמצעי לגילוי וזיהוי חולשות שבו הוא משתמש מאפשר הוספה עצמאית של חתימת חולשות חדשה.
12. הארגון וידא כי הוא משתמש במערכת ניהול מרכזית וממוכנת כדי להבטיח שהממצאים נסגרו בהתאם ל-SLA\OLA ומדדים רלוונטיים. על המערכת לשלוח התרעה במקרה של סטייה ממסגרת הזמן שהוגדרה במקור. שימו לב כי שימוש בכלי "אופיס" אינו עונה להגדרה זו.
13. הארגון וידא כי ברשותו כלי ממוכן המשווה בין תוצאות הסריקה הנוכחית לתוצאות מהעבר לצורך בקרה וניתוח מגמות.
14. הארגון וידא כי קיימת התאמה בין התוצאות שמתקבלות מכלי ניהול פגיעויות שונים שמוטמעים במערכותיו. זאת, לצורך קבלת תמונת מצב שלמה על מגוון הפגיעויות ביעדי ההגנה.</t>
  </si>
  <si>
    <t>RA-5, RA-5(1), RA-5(2),RA-5(3),RA-5(5),RA-5(6),RA-5(10),AU-6,CA-5SI-2,CP-2(2),CP-2SI-2(3)</t>
  </si>
  <si>
    <t>A.6.1.5,
A.12.6.1,A.12.6.2,A.14.2.8,A.14.2.9,</t>
  </si>
  <si>
    <t>תוכנית עבודה פרואקטיבית להגנת סייבר</t>
  </si>
  <si>
    <t>לארגון יש תוכנית הגנת סייבר פרואקטיבית, המעודכנת באופן תקופתי</t>
  </si>
  <si>
    <t>1. ודאו כי תוכנית העבודה הפרואקטיבית להגנת סייבר עושה שימוש בעקרונות ושיטות עבודה עדכניות.
2. ודאו כי המשאבים שהקצה הארגון לביצוע פעולות פרואקטיביות הולמים את פרופיל הסיכון.
3. ודאו כי הארגון מצליח לבצע פעולות פרואקטיביות לשם מענה לאיומים חדשים בזירה, וזאת תוך שילוב מודיעין הגנת סייבר.
4. ודאו כי קיים בעל תפקיד שאחראי למימוש תוכנית העבודה הפרואקטיבית ולמעקב אחריה.
5. ודאו כי ממצאי מודיעין איומי סייבר עדכני משולבים בתהליך קבלת ההחלטות.
6. יש לוודא כי ברשות הארגון מיפוי עדכני של סממני החשיפה (IOE - Indicator of Exposures) ונוהלי עבודה למניעה ולתמודדות.</t>
  </si>
  <si>
    <t>1. הארגון וידא כי הוא הגדיר תוכנית הגנת מידע סייבר פרואקטיבית, שמטרתה לוודא מוכנות מיטבית של הארגון להתמודדות עם איומים ידועים.
2. הארגון  וידא כי תוכנית הגנת המידע והסייבר הפרואקטיבית כוללת התייחסות לנושאים הבאים:
א. גילוי וזיהוי איומים ידועים (Known Threats) כלפי הארגון עצמו.
ב. יישום בקרות הגנה קיימות, בהתאם למתאר האיום (Threat Landscape).
ג. בחינה של פרסומי יצרני אמצעי ההגנה וארגוני הגנת מידע וסייבר מוכרים, ואימוץ ההמלצות שלהם בהתאם.</t>
  </si>
  <si>
    <t>3. הארגון וידא כי הוא הגדיר תוכנית הגנת מידע סייבר פרואקטיבית, שמטרתה לוודא מוכנות מיטבית של הארגון להתמודדות עם איומים לא ידועים.
4. הארגון וידא כי תוכנית הגנת המידע והסייבר הפרואקטיבית כוללת התייחסות לנושאים הבאים:
א. גילוי וזיהוי איומים חדשים (Emerging Threats) כלפי הארגון עצמו.
ב. גילוי וזיהוי איומים ידועים (Known Threats) כלפי סקטור הפעילות.
ג. הגדרת בקרות הגנה חדשות ויישום שלהן, בהתאם למדדים אובייקטיבים.</t>
  </si>
  <si>
    <t>5. הארגון וידא כי תוכנית הגנת המידע והסייבר הפרואקטיבית כוללת התייחסות לנושאים הבאים:
א. גילוי וזיהוי איומים חדשים (Emerging Threats) כלפי סקטור הפעילות.
ב. גילוי וזיהוי איומים ידועים (Known Threats) כלפי המדינה שבה פועל הארגון.
ג. הארגון וידא כי הוא משתמש באמצעים ממוכנים לשם בחינת מצב הביטחון (Security Posture) ושיקוף הממצאים/מדרג הסיכון לגורמים הרלוונטיים.
ד. שילוב מודיעין סייבר כגורם המסייע לטיוב מערך ההגנה ולניהול סיכונים מושכל.
ה. בחינת אפקטיביות אמצעי ההגנה הקיימים בארגון, וזאת באמצעות מדדים אובייקטיבים.
ו. בחינת אפקטיביות הממשל התאגידי הקיים בארגון, וזאת באמצעות מדדים אובייקטיבים.
ז. שיתוף פעולה עם ארגונים מקבילים בסקטור הפעילות לשם שיפור המוכנות להתמודדות עם איומי הגנת מידע וסייבר.
ח. שימוש בבדיקות חוסן ממוכנות וידניות.
ט. קיום התייעצות תקופתית עם גורמי ייעוץ חיצוניים המחזיקים בגישות שונות להגנת סייבר, לרבות גורמי מקצוע מחו"ל, וזאת כדי לוודא כי הארגון משתמש בגישות הגנה עדכניות.</t>
  </si>
  <si>
    <t>6. הארגון וידא כי תוכנית הגנת המידע והסייבר הפרואקטיבית כוללת התייחסות לנושאים הבאים:
א. גילוי וזיהוי איומים ידועים (Known Threats) כלפי ארגונים במדינה ובמגזר שבהם הוא פועל.
ב. ביצוע ציד איומים (Threat Hunting).
ג. ביצוע פעולות ליצירת מצג שווא (Disinformation) ויצירתה של הרתעה (Deterrence).
ד. שיתוף פעולה עם ארגונים במדינה לשם שיפור המוכנות להתמודדות עם איומי הגנת מידע וסייבר (לרבות פרסום באתר האינטרנט כתובת מייל לדיווח אודות פגיעות או בעיית אבטחה ודרכי יצירת קשר).
ה. שמירה על עדכניות טכנולוגית ועל חדשנות.
ו. ביצוע הכשרות שוטפות ו-Ad-Hoc בעת הצורך, תרגולות ושיפור המודעות של קהלי היעד השונים.
ז. מחקר ופיתוח יכולות הגנה עצמאיות.
ח. ערכית משחקי מגן-תוקף לשם שיפור המוכנות.
ט. סיוע ליצרני פתרונות אמצעי ההגנה לאפיין ולהטמיע במוצר את יכולות ההגנה שדרושות לארגון.</t>
  </si>
  <si>
    <t>RA-1, RA-2</t>
  </si>
  <si>
    <t>A.6.1.5,
A.12.6.1,</t>
  </si>
  <si>
    <t>מודיעין סייבר (CI - Cyber Intelligence)</t>
  </si>
  <si>
    <t xml:space="preserve">הארגון משתמש במודיעין סייבר (CI - Cyber Intelligence) לשם שיפור הכשירות והמוכנות של מערך האבטחה (דוגמת TTP/IOA/IOC) </t>
  </si>
  <si>
    <t>1. יש לעקוב אחר פרסומי יצרני פתרונות האבטחה שבהם משתמש הארגון.
2. יש לעקוב אחר עדכונים במאגרי מידע ציבוריים, דוגמת US NVD.
3. יש לעקוב אחר פרסומי IL-CERT.
4. ניתן למכן את תהליך קבלת מודיעין הסייבר באמצעות שימוש ב-TIP (Threat Intelligence Platform).
5. יש לוודא כי ברשות הארגון מיפוי של יעדי ההגנה ושל מקורות המידע הרלוונטיים אודותיהם.
6. יש לוודא כי פרופיל הסיכון (Risk Profile) הארגוני מתעדכן בהתאם למידע המודיעיני הקיים.
7. יש לוודא כי אפקטיביות מערך האבטחה נבחנת ביחס למידע המודיעיני הקיים.
8. יש להציג מידע מודיעיני רלוונטי בפני קהלי היעד השונים.
9. מודיעין איומים בסייבר (CTI - Cyber Threat Intelligence) הוא אחת מאבני הבסיס של מודיעין סייבר (CI -Cyber Intelligence).
10.תורת ההגנה מבדילה בין ארבעה סוגי מודיעין: אסטרטגי, אופרטיבי (תפעולי), טקטי וטכני. עם זאת, חלק מספקי מודיעין הסייבר בשוק מסווגים תחת מודיעין הסייבר הטקטי (Tactical) גם את מודיעין הסייבר הטכני (Technical) - ולפיכך במקרה זה מספר סוגי המודיעין קטן לשלושה.</t>
  </si>
  <si>
    <t xml:space="preserve">1. ודאו כי סוגי המודיעין שבהם משתמש הארגון מותאמים לפרופיל הסיכון הארגוני.
2. ודאו כי המודיעין הטכני מתעדכן תדיר באמצעי האבטחה (אחת לשש שעות לכל היותר או בתדירות הגבוהה ביותר האפשרית).
3. ודאו כי תהליך ניהול הסיכונים כולל התייחסות לממצאי מודיעין סייבר עדכני הקיים ברשות הארגון.
4. ודאו כי הארגון משתמש בממצאי מודיעין סייבר עדכניים לצורך טיוב פעולות פרואקטיביות, דוגמת היערכות מקדימה לתקיפות/נוזקות חדשות.
5. ודאו כי הארגון משתמש במודיעין שהתקבל לצורך ביצוע ציד איומים (Threat Hunting).
6. ודאו כי קיימת מערכת TIP ההולמת את צורכי הארגון.
7. ודאו כי הארגון משתף מידע מודיעיני רלוונטי עם שותפים, כגון ארגונים נוספים במגזר הפעילות.
8. ודאו כי קיים בעל תפקיד האחראי למעקב ובקרה על השימוש במודיעין סייבר.
9. ודאו כי אמצעי האבטחה שרוכש הארגון מאפשרים יבוא של IOC\IOA ממקור חיצוני ליצרן.
</t>
  </si>
  <si>
    <t xml:space="preserve">1. הארגון וידא כי הוא משתמש במודיעין סייבר טכני (Technical). מודיעין זה מורכב לרוב מנתונים שנצרכים/נאכפים על ידי אמצעיים טכניים, דוגמת אמצעי אבטחה טכנולוגיים מסוג ESG או EWG. פעמים רבות מבוסס מודיעין זה על סממנים/אינדיקטורים מסוג IOCs, דוגמתIP Address, File Hash, Metadata File, Domain  Name, Host Name או סממנים/אינדקטורים מסוג IOEs. אורך החיים של סוג מודיעין זה קצר בדרך כלל, וזאת לאור יכולת התוקפים לשנות בקלות יחסית את הפרמטרים השונים (דוגמת שינוי ה-Exploit או שינוי כתובת IP).
2. הארגון וידא כי הוא מכייל את אמצעי ההגנה במודיעין הסייבר הטכני, וזאת בתדירות העדכון הגבוהה ביותר שמאפשר אמצעי ההגנה. </t>
  </si>
  <si>
    <t>3. הארגון וידא כי הוא עושה שימוש במודיעין סייבר טקטי (Tactical). מודיעין זה מבוסס על הכרת הטקטיקות, הטכניקות ונוהלי העבודה (TTP's) שבהם משתמשים תוקפים במרחב הסייבר. סוג מודיעין זה מסייע למגן לבחון את רמת ההגנה (Protect) שלו, יכולת הגילוי והזיהוי/איתור (Detect) שלו ויכולת התגובה (Respond) שלו, וזאת ביחס ליכולות עדכניות של תוקפים במרחב הסייבר. מודיעין זה עשוי להתבסס על מודלים דוגמת MITRE ATT&amp;CK או שיטה אחרת.
4. הארגון וידא כי הוא רכש אמצעי אבטחה שמאפשרים הוספה עצמאית של מודיעין סייבר טכני (דוגמת IOC's) באמצעות שימוש בפורמט פתוח דוגמת YARA/YAML.</t>
  </si>
  <si>
    <t>10. הארגון וידא כי הוא עושה שימוש במודיעין סייבר אסטרטגי (Strategic). מודיעין זה נועד לסייע למקבלי ההחלטות בארגון (דוגמת חברי דירקטוריון והנהלה) ליצור מודעות מצבית מתכללת (Broader Situational Awareness), ובדרך כלל הוא אינו טכני במהותו. במודיעין מסוג זה עשויים להיכלל פרטים דוגמת:
א. ההשפעה הפיננסית של אירוע סייבר על הארגון או סקטור הפעילות או המדינה שבה פועל הארגון.
ב. ההשפעה של תנאים פוליטיים מקומיים ו/או תנאים גיאו-פוליטיים על מדרג הסיכון.
ג. ההשפעה של אירועים גלובליים, מדיניות חוץ, פעילויות מקומיות ובינלאומיות ארוכות טווח על מצב ההגנה בסייבר של הארגון.
ד. מסקנות/לקחים (Lesson Learned) שהופקו מאירועי סייבר מקומיים ובינלאומיים.
ה. מגמות/טרנדים (Trends) במרחב הסייבר, לרבות טכנולוגיות הגנה חדשות.
ו. זהות התוקפים ומטרותיהם האסטרטגיות ביחס לארגון.
11. הארגון וידא כי הוא עושה שימוש במודיעין סייבר ממלכתי (National) - מודיעין סייבר טכני, מודיעין סייבר טקטי, מודיעין סייבר תפעולי, מודיעין סייבר אסטרטגי או מודיעין אחר שמפרסם מערך הסייבר הלאומי עבור קהלי יעד מוגדרים.
12. הארגון וידא כי ברשותו פונקציה ייעודית אשר אחראית למחקר סייבר הגנתי, בדגש על גילוי וזיהוי TTP/IOA/IOC חדשים, בחינת אפקטיביות מערך ההגנה וגיבוש דרכים לשיפורו. יש להבטיח כי ברשות פונקציה זו משאבים ויכולות למימוש התפקיד באופן אפקטיבי. 
13. הארגון וידא כי הוא משתף באופן אקטיבי מודיעין סייבר עם גורמים רלוונטיים ברמת הקהילה (דוגמת שחקנים אחרים בסקטור הפעולה) וברמת המדינה (דוגמת ה-Cert הלאומי), וזאת על ידי שימוש בפרוטוקולים פתוחים ומקובלים (דוגמת , MISP, STIX או Open IOC).</t>
  </si>
  <si>
    <t>מתודולוג + טכנולוג + חוקר סייבר + בודק חדירות</t>
  </si>
  <si>
    <t xml:space="preserve">הגנת סייבר פרואקטיבית </t>
  </si>
  <si>
    <t>מערך "מניעה והונאה" (D&amp;D - Denial &amp; Deception)</t>
  </si>
  <si>
    <t>הארגון יישם מערך "מניעה והונאה" של תוקפים פוטנציאליים</t>
  </si>
  <si>
    <t>מערך ניטור מרכזי</t>
  </si>
  <si>
    <t>מתודולוגיה ונוהלי עבודה במערך ניטור מרכזי</t>
  </si>
  <si>
    <t>1. ודאו כי יש לארגון נוהלי ניטור שעודכנו ואושר על ידי ההנהלה בשנה האחרונה.
2. ודאו כי נוהלי העבודה כוללים יישום של המלצות ושיטות ממתודות מקובלות ועדכניות.
3. ודאו כי הארגון משתמש באונטולוגיית סייבר מקובלת ועדכנית.
4. ודאו כי הארגון מוסיף לתהליכי הניטור יעדי הגנה חדשים לפני שהם נכנסים לפעולה בסביבת הייצור, וכי יעדי הגנה שאינם נדרשים מוסרים מתהליך זה.
5. ודאו כי נוהלי העבודה כוללים מדדים מקובלים לבחינת אפקטיביות מערך הניטור.
6. ודאו כי יש לארגון תהליך סדור להבטחת תהליך סינכרון השעון ביעדי ההגנה, לרבות קיומה של קוהרנטיות בשעון.</t>
  </si>
  <si>
    <t xml:space="preserve">3. הארגון וידא כי גורם מקצוע מצד שלישי מתקף באופן תקופתי את נוהל העבודה לניטור הגנת מידע וסייבר.
4. הארגון וידא כי נוהל העבודה כולל התייחסות לנושאים הבאים, לכל הפחות:
א. שמירה על שרשרת הראיות (Chain on Custody).
ב. מדדים מקובלים. </t>
  </si>
  <si>
    <t>5. הארגון וידא כי נוהל העבודה כולל התייחסות לנושאים הבאים, לכל הפחות:
א. שילוב מודיעין סייבר מצד שלישי (שאינו מובנה באמצעי האבטחה) במערך הניטור.
ב. מיפוי מקורות מידע אנלוגיים (Analog) שיש לאסוף מהם מידע.
ג. שימוש במערכת מרכזית לאיסוף מידע וניהול אירועי אבטחה (דוגמת SIEM).
ד. דפוסים דינמיים הנדרשים לגילוי וזיהוי, וזאת על בסיס בינה מלאכותית (Artificial Intelligence).
ה. שיקוף ערך הסיכון הארגוני מכל יעד הגנה ב"זמן אמת" (Real Time) או "קרוב לזמן אמת" (Near Real Time).
ו. שיקוף משטח התקיפה (Attack Surface) הארגוני ב"זמן אמת" (Real Time) או "קרוב לזמן אמת" (Near Real Time).
ז. רשימת Playbooks (ו-Runbooks נגזרים).
ח. שימוש ביכולות אוטומציה ותזמון ממוכנות.
ט. ניהול שגרה ב-CSOC - Cyber Security Operations Center הארגוני.
י. שיתוף מידע רלוונטי עם גופים בסקטור הפעילות ומחוצה לו.
6. הארגון וידא כי הוא אימץ או פיתח מתודולוגיה מקובלת ועדכנית לניטור הגנת מידע וסייבר (דוגמת MITRE ATT&amp;CK או Framework/DeTTECT).
7. הארגון וידא כי הוא ביצע אינטגרציה עם יעדי הגנה פיזית וסביבתית (דוגמת ביצוע קורלציה עם שעון הנוכחות או עם פלט מערכת מצלמות במעגל סגור).
8. הארגון וידא כי הוא משתמש בגורמי מקצוע מצד שלישי לשם בחינת אפקטיביות מערך הניטור.
9. הארגון וידא כי הוא משלב בדיקות ממוכנות לבחינת מוכנות/כשירות מערך הניטור (דוגמת BAS).
10. הארגון וידא כי הוא משלב את מערך הניטור בבדיקות החוסן, וזאת לשם וידוא יכולת/כשירות מערך הניטור לגלות ולזהות ב"זמן אמת" (Real Time) תקיפות מתקדמות.</t>
  </si>
  <si>
    <t>11. הארגון וידא כי נוהל העבודה כולל התייחסות לנושאים הבאים, לכל הפחות:
א. שימוש בשיטות מתקדמות לביצוע ציד איומים (Threat Hunting). 
ב. שיתוף מודיעין סייבר עם גורמים חיצוניים בסקטור הפעילות, עם הרגולטור וכדומה.
ג. ניטור ספקים מהותיים בשרשרת האספקה של הארגון.
ד. פיתוח יכולת להתמודדות עם שיטות מניעה והונאה (Denial and Deception) שמטרתן "לעוור" את מערך הניטור.
ה. שיקוף ערך הסיכון הארגוני מכל יעד הגנה ב"זמן אמת" (Real Time).
ו. שיקוף משטח התקיפה (Attack Surface) הארגוני ב"זמן אמת" (Real Time).
12. הארגון וידא כי הוא משלב יכולות מחקר ופיתוח לגילוי וזיהוי איומים חדשים במרחב, ומתן מענה אבטחתי בהתאם.
13. הארגון וידא כי נוהל העבודה מכסה סוגיות של ניטור ספקים מהותיים בשרשרת האספקה, וספקים אחרים, ככל שהדבר נדרש בהתאם לניהול הסיכונים של הארגון.</t>
  </si>
  <si>
    <t xml:space="preserve">AU-1 , AU-2
</t>
  </si>
  <si>
    <t>A.12.4.1,A.12.4.2,A.12.4.3,A.12.4.4,</t>
  </si>
  <si>
    <t>איסוף ראשוני של ממצאים/ארטיפקטים ממתחם הארגון (Artifacts) ושירותי צד-שלישי לטובת ניטור סייבר</t>
  </si>
  <si>
    <r>
      <rPr>
        <sz val="12"/>
        <color theme="1"/>
        <rFont val="Calibri"/>
      </rPr>
      <t xml:space="preserve">הארגון ביצע איסוף ראשוני של ממצאים/ארטיפקטים ממתחם הארגון (Artifacts) ושירותי צד-שלישי לטובת ניטור סייבר
</t>
    </r>
    <r>
      <rPr>
        <b/>
        <sz val="12"/>
        <color theme="1"/>
        <rFont val="Calibri"/>
      </rPr>
      <t>ארטיפקטים:</t>
    </r>
    <r>
      <rPr>
        <sz val="12"/>
        <color theme="1"/>
        <rFont val="Calibri"/>
      </rPr>
      <t xml:space="preserve"> רשומות בקרה, הקלטות תעבורה, פלט זיכרון RAM, קבצים, העתקי BIOS/UEFI/FIRMWARE וכד'</t>
    </r>
  </si>
  <si>
    <t>טכנולוג + מיישם + חוקר סייבר</t>
  </si>
  <si>
    <t>AU-3, AU- 3 (1) AU-3 (2), AU-4, AU-5</t>
  </si>
  <si>
    <t>A.12.4.1,A.12.4.2,A.12.4.3,A.12.4.4,A.16.1.7,A.18.1.3,</t>
  </si>
  <si>
    <t>הגנה על ממצאים/ארטיפקטים (Artifacts) לאחר שלב האיסוף הראשוני</t>
  </si>
  <si>
    <t>PE-20, AU-6,AU-6(1), AU-6(3), SI-4(16), AU-9, AU-9(2), AU-11(1), AU-14</t>
  </si>
  <si>
    <t>עקרונות מנחים בעת תכנון מרכז ניטור הגנת מידע וסייבר (CSOC - Cyber Security Operations Center)</t>
  </si>
  <si>
    <t>A.12.4.1,A.12.4.2,A.12.4.3,A.12.4.4,A.18.1.3,</t>
  </si>
  <si>
    <t>1.	ישנה חשיבות גבוהה לעיגון פורמלי של רמות השירות המצופות, לרבות הגדרת מדדים רלוונטיים, גם במקרה כי מדובר בגורמים פנימיים.
2.	יש להתייחס לגדילה/שינויים אפשריים, דוגמת אימוץ טכנולוגיות חדשות או גדילה בהיקף הצריכה.
3.	יש לוודא כי ברשות הארגון יכולת בקרה ואכיפה אפקטיבית בעת פעילות מול גורמים חיצוניים.
4.	יש לבחון ביצוע אינטראקציה עם ה-CSOC - Cyber Security Operations Center המגזרי, ככל שקיים.</t>
  </si>
  <si>
    <t xml:space="preserve">1.	הארגון וידא כי עיגן משפטית את מתאר השירותים הנדרש ממערך הניטור, וזאת תוך התייחסות למשטח התקיפה (Attack Surface) ופרופיל הסיכון (Risk Profile).
2.	הארגון וידא כי קבע והגדיר את רמות השירות (SLA\OLA), ועיגן אותן חוזית/משפטית.
3.	הארגון וידא את קיומו של נציג מוסמך ייעודי מטעם מפעיל מערך הניטור אשר ישמש כאיש קשר לנושאים תפעוליים.
4. הארגון וידא כי המידע הארגוני שלו ממודר ממידע של ארגונים אחרים וזאת ע"י החלת בקרות הגנה מקובלות.
</t>
  </si>
  <si>
    <t>5.	הארגון וידא כי עיגן חוזית מדדים אובייקטיבים לבחינת איכות שירותי הניטור.
6.	הארגון וידא כי סביבת הפעולה של מערך הניטור בעלת הסמכה תקפה לעמידה בדרישות תורת ההגנה בסייבר לארגון, או תקן מקביל.
7.	הארגון וידא קיומו של נציג מוסמך ייעודי מטעם מפעיל מערך הניטור אשר ישמש כאיש קשר לנושאים מקצועיים.</t>
  </si>
  <si>
    <t>13.	הארגון וידא כי מערך הניטור משקף את משטח התקיפה (Attack Surface) הקיים בארגון וזאת ביחס פרופיל הסיכון (Risk Profile), וזאת נכון ל"זמן אמת" (Real Time).
14.	הארגון וידא כי מערך הניטור מסייע לטיוב ושיפור מערך ההגנה של הארגון.
15.	הארגון וידא כי בעת עבודה עם ספק שירותים חיצוניים, הספק יכול לספק שירותים משלימים, דוגמת צוות תגובה לאירוע (IRT – Incident Response Team).
16.	הארגון וידא כי הוא בוחן באופן עתי את רמת המקצועיות והשירות של מערך הניטור, וזאת ע"י שימוש בגורמי מקצוע מטעמו.</t>
  </si>
  <si>
    <t xml:space="preserve">הארגון ביצע בדיקת תקינות רציפה ומתמשכת במערך ה-CSOC - Cyber Security Operations Center </t>
  </si>
  <si>
    <t>בדיקת תקינות רציפה ומתמשכת של מערך ה-CSOC - Cyber Security Operations Center - הארגון וידא באופן קבוע את רמת התקינות של מערך הניטור</t>
  </si>
  <si>
    <t>18.	הארגון וידא כי מערך הניטור בודק את עדכניות אמצעי ההגנה אשר ברשותו (דוגמת בחינת תקינות קבלת עדכוני חתימות, שימוש בגרסה עדכנית של המוצר וקיומו של רישיון תקף).
19.	הארגון מבצע תרגול רבעוני של מערך הניטור ע"י "צוות סגול" (Purple Team) מטעמו לשם בחינת איכות תהליך הניטור וביצוע פעולות תגובה בהתאם ל-Playbooks מוגדרים.
20.	הארגון וידא כי מערך הניטור מצליח לגלות ולזהות מגמות לאורך זמן (Trends), וכי הארגון מסוגל להשתמש במידע שהופק לשם טיוב מערך ההגנה.</t>
  </si>
  <si>
    <t>A.14.2.8,A.14.2.9,</t>
  </si>
  <si>
    <t>הארגון הגדיר מנגנוני התרעה בזמן אמת</t>
  </si>
  <si>
    <t>מנגנוני התרעה בזמן אמת - הארגון וידא כי הטמיע מנגנונים המתריעים בזמן אמת בפני ניסיונות התקפה</t>
  </si>
  <si>
    <t>SI-4, SI-4 (2), SI-4 (5)</t>
  </si>
  <si>
    <t>A.16.1.1,A.16.1.2,A.16.1.3,A.16.1.4,A.16.1.4,A.16.1.5,A.16.1.6,A.16.1.7,</t>
  </si>
  <si>
    <t>ניטור תקשורת נתונים</t>
  </si>
  <si>
    <t>ניטור תקשורת נתונים  - הארגון מנטר תעבורת תקשורת יוצאת ונכנסת לגילוי וזיהוי איומים, פעילות בלתי שגרתית או בלתי מורשית</t>
  </si>
  <si>
    <t>6.	הארגון וידא כי הטמיע אמצעים טכנולוגיים לגילוי וזיהוי איומים בתווך (דוגמת IDS/IPS) תוך ביצוע הבדיקה מחוץ לתווך (Port Mirror/TAP/NPB). יש לוודא כי האמצעים הטכנולוגיים מקורם מיצרן פתרון אחר מזה אשר נעשה בו שימוש לטובת ביצוע בדיקות בתווך (Inline). כמו כן, יש לוודא כי האמצעי הנבחר מתעדכן תדיר בחתימות עדכניות, וכן מסוגל לגלות ולזהות אנומליה ברמת הפרוטוקולים ותוכן התעבורה.</t>
  </si>
  <si>
    <t>SI-4 (4)</t>
  </si>
  <si>
    <t>A.12.4.1,A.13.2.3,A.14.1.2,A.14.1.3,</t>
  </si>
  <si>
    <t>ניטור טלפוניה</t>
  </si>
  <si>
    <t>ניטור טלפוניה - הארגון מנטר את מערך הטלפוניה לזיהוי פעילות בלתי שגרתית או בלתי מורשית - וזאת מעבר ליישום בקרות הגנה לתשתית התקשוב</t>
  </si>
  <si>
    <t>14.	הארגון וידא באופן רציף כי לא ניתן לעשות שימוש לרעה בזיוף עמוק (Deepfakes).
15.	הארגון וידא באופן רציף כי לא ניתן לבצע העברת מידע לא לגיטימי באמצעות ניצול לרעה של פרוטוקולי הטלפוניה/ערוץ-סמוי (Covert Channel).</t>
  </si>
  <si>
    <t>ניתוח/אנליזה של ארטיפקטים ואיומים</t>
  </si>
  <si>
    <t>ניתוח/אנליזה של ארטיפקטים ואיומים - הארגון וידא כי הטמיע מערך המנתח אירועים ודפוסי התנהגות וכן מאתר אירועים חריגים</t>
  </si>
  <si>
    <t>מתודולוג + טכנולוג + מיישם + חוקר סייבר + בודק חדירות</t>
  </si>
  <si>
    <t>SI-4(20)</t>
  </si>
  <si>
    <t>A.12.4.1,A.12.6.1,</t>
  </si>
  <si>
    <t>6. הארגון וידא כי הטמיע מערך לגילוי וזיהוי תקלות/פגמים/חריגה ממפרט טכני מאושר של התוצר (לרבות בדיקות ללא הרס, בדיקות הכוללות הרס), וזאת בשילוב צוות הגנת המידע וסייבר.
7. הארגון וידא כי במסגרת ניטור תהליך הייצור והבקרה הוא בוחן כשלים תפעולים (דוגמת חריגה מה-MTBF הרשמי של נכס סייבר), וזאת לשם וידוא כי אין מקור הכשל/החריגה מתקיפת סייבר.
8. הארגון וידא כי הוא עושה שימוש במידע אשר הופק מטלמטריה (Telemetry) לשם שיפור איכות ניטור הגנת המידע וסייבר.</t>
  </si>
  <si>
    <t>טכנולוג + חוקר סייבר</t>
  </si>
  <si>
    <t>A.12.4.1,</t>
  </si>
  <si>
    <t>ניתוח פעולות ודפוסי התנהגות  (דוגמת פעולות משתמשים היוצרים רמת סיכון בינונית ומעלה)  - הארגון וידא כי הטמיע בקרות הגנה המבוססות על ניתוח פעולות ודפוסי התנהגות (משתמשים אנושיים ומכונה)</t>
  </si>
  <si>
    <t>1.	לשם מיפוי פרמטרים רגישים, דוגמת קבוצות ומשתמשים רגישים וכו', יש לעיין בתיעוד יצרן יעדי ההגנה, וזאת לצד וידוא כי מתבצע תיעוד לפעילויות רגישות (דוגמת שינוי ערך פרמטר), וכי במקרה של גילוי וזיהוי שינוי חריג מתבצע תהליך תחקור ובחינה האם מדובר בשינוי מאושר או לא.
2. יש ליישם מנגנון להקלטה ומעקב של פעילות המשתמשים (User Session) ביעדי ההגנה. כמו כן, יש להגדיר את מנגנון ההקלטה וכן את כללי השימוש במנגנון זה לרבות המקרים בהם יש להקליט, כללי זהירות בנושא פרטיות משתמשים בהקשר זה והרשאות הגישה למערכת ההקלטה. ככלל, מומלץ לשמור את ההקלטה ל-90 ימים לפחות.
3. בארגונים בעלי רמת סיכון בינונית ומעלה מומלץ להשתמש בעקרונות הגנה שקטה (Silence Defense).
4. מומלץ לבחון את המלצות יעדי ההגנה לגבי ניטור פעולות ודפוסי התנהגות.
5. מומלץ לוודא כי הארגון עושה שימוש ביכולות UEBA.
6. מומלץ לוודא שמירה של הלוגים לתקופה של שלושה חודשים כמינימום.</t>
  </si>
  <si>
    <t>A18.2</t>
  </si>
  <si>
    <t>גילוי וזיהוי מידע אלקטרוני (e-Discovery)</t>
  </si>
  <si>
    <t>גילוי וזיהוי מידע אלקטרוני (e-Discovery)  - הארגון בנה תהליך לטובת גילוי וזיהוי מידע אלקטרוני (e-Discovery)</t>
  </si>
  <si>
    <t>8.	הארגון וידא כי הוא משתמש ביכולות אוטומטיות תוך צמצום המעורבות ביד-אדם לאיסוף מידע עבור הליכים משפטיים ושמירת ראיות.
9. הארגון וידא כי התהליך לטובת גילוי מידע אלקטרוני עומד בדרישות תקינה בינלאומית מקובלת ועדכנית (דוגמת ISO/IEC 27037 /  ISO/IEC 27050).</t>
  </si>
  <si>
    <t>A.8.1.1,
A.8.2.1,
A.8.2.3,
A.18.1.3,A.18.1.4,</t>
  </si>
  <si>
    <t>RESPOND</t>
  </si>
  <si>
    <t>ניהול אירועים ודיווח</t>
  </si>
  <si>
    <t>תוכנית לטיפול באירועי הגנת מידע וסייבר</t>
  </si>
  <si>
    <t xml:space="preserve">הארגון וידא כי הגדיר תוכנית לטיפול באירועי הגנת מידע וסייבר </t>
  </si>
  <si>
    <t>מתודולוג + טכנולוג + מיישם + חוקר סייבר</t>
  </si>
  <si>
    <t xml:space="preserve">IR-1
</t>
  </si>
  <si>
    <t>מוכנות וכשירות הארגון להתמודדות עם אירועי הגנת מידע וסייבר</t>
  </si>
  <si>
    <t>הארגון בודק ומוודא באופן קבוע את רמת המוכנות והכשירות שלו להתמודדות עם אירועי הגנת מידע וסייבר</t>
  </si>
  <si>
    <t>1.	הארגון וידא כי המשאבים אשר הוקצו לטובת הקמה ותפעול מערך התגובה מאפשרים לו עמידה במדדים אשר הוגדרו.
2. הארגון וידא באופן עתי כי ברשותו יכולת אפקטיבית לעקיבות (Traceability) אחר הפעולות אשר ביצע תוקף במרחב הסייבר.
3. הארגון וידא כי ברשות הארגון יכולת אפקטיבית לעקיבות (Traceability) אחר הפעולות אשר התבצעו במרחב הסייבר.</t>
  </si>
  <si>
    <t>IR-1
IR- 3
IR-4, IR-4(1)
IR-8</t>
  </si>
  <si>
    <t>A.6.1.4, A.7.2.2,
A.16.1.1,A.16.1.5,</t>
  </si>
  <si>
    <t>הכשרה/ריענון ומבדק כשירות של הגורמים המעורבים בטיפול באירועי הגנת מידע וסייבר</t>
  </si>
  <si>
    <t>לארגון תוכנית הכשרה/ריענון ותרגול של הגורמים המעורבים בטיפול באירועי הגנת מידע וסייבר (הרחבה לבקרות רוחביות)</t>
  </si>
  <si>
    <t xml:space="preserve">1.	הארגון וידא כי הגורמים המעורבים בטיפול באירוע מכירים את יעדי הארגון, התהליכים העסקיים וה- BIA הארגוני.
2.	הארגון וידא כי הוא ביצע הכשרות יזומות בתחום התמודדות עם אירועים, וזאת תוך הכללת כל הגורמים המעורבים בתהליך (בארגון ומחוצה לו).
3.	הארגון וידא כי קיים ברשותו הידע הנדרש לטובת איסוף ראיות בהתאם לדרישות הדין. </t>
  </si>
  <si>
    <t xml:space="preserve">4.	הארגון וידא כי צוות התגובה עבר פעם אחת לפחות בשנה מבדק כשירות, וזאת תוך שילוב אמצעי סימולציה מקובלים.
5.	הארגון וידא כי הגורמים המעורבים מקבלים הדרכות ממוקדות, כל אחד לפי תפקידו בטיפול באירועי סייבר. </t>
  </si>
  <si>
    <t>IR-7
IR-2
IR-2(1)
IR-2(2)</t>
  </si>
  <si>
    <t>A.7.2.2,
A.16.1.1,A.16.1.5,</t>
  </si>
  <si>
    <t xml:space="preserve">ניהול יומן פעילות בעת אירוע הגנת מידע וסייבר </t>
  </si>
  <si>
    <t>הארגון וידא כי הוא מנהל יומן המתעד את האירועים,  תהליכי קבלת ההחלטות והפעולות הנגזרות בעת אירוע הגנת מידע וסייבר</t>
  </si>
  <si>
    <t>1.	הארגון וידא כי הגדיר פונקציה ארגונית קבועה האמונה על נושא רישום ועדכון יומן האירועים בעת אירוע סייבר.
2.	הארגון וידא כי יומן האירועים הוגדר כמידע "חסוי".
3. הארגון וידא כי ברשותו רישום פרטני אשר מאפשר התחקות אחר פעולות חריגות או פעולות תוקף (Traceability).</t>
  </si>
  <si>
    <t>8. הארגון וידא כי המערכת הממוכנת לניהול אירועי סייבר כוללת יכולת לניהול זרימת העבודה (Workflow), לרבות ניהול תהליכי אסקלציה באופן אוטומטי.</t>
  </si>
  <si>
    <t>מתודולוג + טכנולוג  + חוקר סייבר</t>
  </si>
  <si>
    <t>IR-5
IR-6
IR-7(1)</t>
  </si>
  <si>
    <t>A.16.1.1,A.16.1.2,A.16.1.3,A.16.1.5,A.16.1.7,</t>
  </si>
  <si>
    <t xml:space="preserve">ממשקי עבודה ודיווח </t>
  </si>
  <si>
    <t>הארגון וידא כי הגדיר את ממשקי העבודה, דרכי הדיווח וההצהרות לדיווח על ידי הגורמים השונים לגורמים פנימיים וחיצוניים</t>
  </si>
  <si>
    <t>1.	הארגון וידא כי הגדיר גורמים האמונים על פיקוח ממשקי העבודה והדיווחים הפנימיים והחיצוניים.</t>
  </si>
  <si>
    <t>7. הארגון וידא כי גם במקרה של פגיעה מהותית בפעילותו, המערכת הממוכנת התומכת בתהליך דיווח פנימי וחיצוני הכוללת מידע על זמני הדיווח הנדרשים מול שותפים עסקיים, לקוחות ובעלי עניין, תהיה זמינה לגורמים הרלוונטיים.
8. הארגון וידא כי ברשותו אתר חלופי הזמין 24/7, ואשר ממנו ניתן לבצע פעולות דיווח והצהרה לגורמי פנים וחוץ.</t>
  </si>
  <si>
    <t>RECOVER</t>
  </si>
  <si>
    <t>המשכיות עסקית</t>
  </si>
  <si>
    <t>מדיניות ארגונית ואסטרטגיה להמשכיות עסקית  בהיבטי הגנת מידע וסייבר</t>
  </si>
  <si>
    <t xml:space="preserve">לארגון קיימת מדיניות ארגונית ואסטרטגיה סדורה להמשכיות עסקית בהיבטי הגנת מידע וסייבר </t>
  </si>
  <si>
    <t>CP-1</t>
  </si>
  <si>
    <t>A.5.1.1,
A.5.1.2,
A.6.1.4, A.17.1.1,A.17.1.2,A.17.1.3,A.18.2.2,</t>
  </si>
  <si>
    <t>מיקום פיזי ונגישות לאתר החלופי (DR)</t>
  </si>
  <si>
    <t>הארגון וידא כי התשתית הפיזית והסביבתית נגישות ותומכות בדרישות ההמשכיות העסקית של תהליכים מבוססי טכנולוגיה</t>
  </si>
  <si>
    <t>15.	הארגון וידא כי ברשותו אתר חלופי (DR Site) הממוקם במקום שונה גיאוגרפית, וזאת במרחק אווירי של 60 ק"מ כמינימום מהאתר הראשי.
16.	הארגון וידא כי קיימת תשתית פיזית וסביבתית תומכת לעבודה ממושכת של צוותי העבודה השונים כולל צוות הסייבר, דוגמת : מיקום ישיבה פיזי, שינה, שתייה, מזון וכד', וזאת לתקופה מינימלית של שבוע לפחות.
17. הארגון וידא עמידה של האתר החלופי בדרישות תקנים מקובלים בתחום דוגמת : TIA-942 רמה 3 ומעלה.</t>
  </si>
  <si>
    <t>18. הארגון וידא כי ברשותו אתר חלופי (DR Site) הממוקם במקום שונה גיאוגרפית, וזאת במרחק אווירי של 100 ק"מ כמינימום מהאתר הראשי.
19.	הארגון וידא כי נעשות בדיקות אבטחה שוטפות על אתר החלופי וקיים ניטור רציף לאבטחה פיזית וסביבתית שאינו תלוי בספק השירותים עצמו.
20. הארגון וידא כי קיימת תשתית פיזית וסביבתית תומכת לעבודה ממושכת של צוותי העבודה השונים כולל צוות הסייבר, דוגמת : מיקום ישיבה פיזי, שינה, שתייה, מזון וכד', וזאת לתקופה מינימלית של חודש לפחות.
21. הארגון וידא עמידה של האתר החלופי בדרישות תקנים מקובלים בתחום דוגמת : TIA-942 רמה 4 ומעלה.</t>
  </si>
  <si>
    <t>CP-6
CP-7</t>
  </si>
  <si>
    <t>A.6.1.4, A.11.1.2,A.11.1.3,A.11.1.4,A.17.2.1,A.18.2.3,</t>
  </si>
  <si>
    <t>תכנון טכנולוגי של מערך החירום</t>
  </si>
  <si>
    <t>הארגון וידא כי האתר החלופי (DR Site) עומד בסטנדרט שנקבע בתוכנית המשכיות עסקית, ומספק את כל הצרכים לתהליכים העסקיים הנדרשים בשגרה ובחירום</t>
  </si>
  <si>
    <t xml:space="preserve">מתודולוג + טכנולוג + מיישם </t>
  </si>
  <si>
    <t>CP-2
CP-4
CP-6
CP-7
CP-8
CP-9
CP-10
SC-22</t>
  </si>
  <si>
    <t>A.17.2.1,A.18.2.2,A.18.2.3,</t>
  </si>
  <si>
    <t xml:space="preserve">הכשרה ומבדק כשירות של הגורמים המעורבים בהמשכיות עסקית </t>
  </si>
  <si>
    <t>לארגון תוכנית הכשרה/ריענון ותרגול של הגורמים המעורבים בטיפול בהמשכיות עסקית (הרחבה לבקרות רוחביות)</t>
  </si>
  <si>
    <t>3.	הארגון וידא כי עובדי הארגון עברו פעם אחת לפחות בשנה מבדק כשירות, וזאת תוך שילוב אמצעי סימולציה מקובלים.</t>
  </si>
  <si>
    <t>CP-3</t>
  </si>
  <si>
    <t>A.7.2.2,</t>
  </si>
  <si>
    <t>8. הארגון וידא כי נוהלי הגנת הסייבר משולבים בנוהלי העבודה השונים בארגון, כגון נוהלי רכש או קליטת עובדים.
9. הארגון וידא כי אחת לשנה לפחות בוצע סקר פנימי של תהליכי הגנת מידע וסייבר, על מנת להעריך את מידת ההתאמה וההטמעה של נוהלי העבודה בארגון.
10. הארגון וידא כי שיטות העבודה, עקרונות והאמצעים הטכנולוגיים עומדים ברמת העדכניות והחדשנות המקובלת בעולם.</t>
  </si>
  <si>
    <t>1. ודאו כי הארגון מנטר את כל יעדי ההגנה הרלוונטיים.
2. ודאו כי ברשות הארגון פירוט של הארטיפקטים אותם הוא אוסף מכל יעד הגנה, וזאת תוך ציון מטרת האיסוף.
3. ודאו באופן מדגמי כי איסוף הארטיפקטים מיעדי ההגנה אינו פוגע בשלמות ומהימנות אותם יעדי הגנה.
4. ודאו כי הזמן בין יצירת הארטיפקטים להעברתו למערך הניטור המרכזי קצר ככל הניתן.
5. ודאו כי כל אחד מיעדי ההגנה מייצר  לכל הפחות את רשומות הבקרה/יומן מופעים הבאות: סוג פעולה, תאריך ושעה,  מקור האירוע, שם המשתמש, זהות יעד ההגנה.  
6. ודאו כי קיימת הגנה מפני מחיקה או שינוי לא מורשה של  רשומות הבקרה ביעדי ההגנה, וזאת ע"י בחינת רמת ההרשאות הקיימת לגורמים השונים, ובדיקה אקראית כי לא ניתן לבצע מחיקה או שינוי.
7. ודאו כי ביכולת הארגון לגלות ולזהות בזמן אמת אי שלמות ומהימנות של ארטיפקטים ותוכנם, דוגמת מחיקה או שינויים בדיווחים הקיימים ברשומות הבקרה/יומן המופעים.
8. ודאו כי סוג הארטיפקטים הנאסף הינו בהתאם להמלצות היצרן ומתודות מקובלות בתחום דוגמת MITRE CAR (Cyber Analytics Repository).
9. ודאו באופן מדגמי כי השעון ביעדי ההגנה מסונכרן ומנוהל ממקום מרכזי, וכי לא ניתן לשנות את ערך השעון באופן לא רצוני.
10. ודאו כי ברשות הארגון תרשים ארכיטקטורה של מערך הניטור.
11. ודאו באופן מדגמי כי תהליך איסוף הארטיפקטים אינו מגדיל משמעותית את משטח התקיפה של יעדי ההגנה.
12. ודאו כי בארגונים בעלי רמת סיכון גבוהה נעשה שימוש בשיטות ואמצעים שונים לאיסוף אותם ארטיפקטים, תוך תיקוף זהותם.
13. ודאו כי איסוף ארטיפקטים מסביבת ענן מתבצעת בהתאם להמלצות ספק הענן ויצרן מערך הניטור.
14. ודאו ע"י ביצוע בדיקה מדגמית כי הארגון יכול לשפר את עומק התיעוד בהתאם לצורך.
15. ודאו כי ברשות הארגון יכולת מוכחת לאיסוף ארטיפקטים במקרה של כשל מערך הניטור המרכזי.
16. ודאו באופן מדגמי כי ברשות הארגון יכולת אפקטיבית לאתר ארטיפקטים ספציפיים ביעדי ההגנה. דוגמת חיפוש ע"י RegEx, YARA Rule וכד'.
17. ודאו באופן מדגמי כי איסוף הארטיפקים מיעד ההגנה אינו פוגע בשלמות ומהימנות אותם יעדי הגנה.
18. ודאו כי קיים תהליך טיוב חוקי הניטור אשר ימקד את הארגון בצורה הטובה ביותר בהתרעות לחשד לאירועים.
19. ודאו כי לתהליך הניתוח/האנליזה מוזן לכל הפחות מידע אשר בכמותו ואיכותו עונה לדרישות -MITRE ATT&amp;CK בגרסתה העדכנית.
20. ודאו כי לתהליך הניתוח/האנליזה מוזן לכל הפחות מידע אשר בכמותו ואיכותו עונה לדרישות -MITRE D3FEND Matrix בגרסתו העדכנית.</t>
  </si>
  <si>
    <t>12.	הארגון וידא כי ביכולתו לאסוף מידע אודות הפעלת פקודות ע"י מנועי סקריפטים (דוגמת Python, PowerShell) ושורת פקודה (דוגמת Cmd, Bash Shell) וזאת לשם זיהוי פעילות חריגה ו-TTP/IOC/IOA/IOE (דוגמת ניסיון לביצוע Privilege Escalation).
13.	הארגון וידא כי ביכולתו לבצע איסוף ממצאים/ארטיפקטים (Artifacts) אשר מקורם משירותי ענן.
14. הארגון וידא כי ביכולתו לבצע איסוף ממצאים/ארטיפקטים (Artifacts) אודות רכיבי החומרה והתוכנה ביעד ההגנה.
15.	הארגון וידא כי תהליך האיסוף מתבצע ע"י שימוש במערכת ממוכנת, וזאת תוך מזעור רמת המעורבות של יד-אדם למינימום.
16.	הארגון וידא כי הוא אוסף ממצאים/ארטיפקטים (Artifacts) אודות ביצועים ושימוש (Use) לאורך זמן (Metric Data), לרבות טלמטריה (Telemetry).
17.	הארגון וידא כי הוא אוסף ממצאים/ארטיפקטים (Artifacts) אודות מצב (Status) ושינויים במערך תקשורת הנתונים (דוגמת טבלאות ניתוב, ARP\CAM Table, DHCP Logs).
18.	הארגון וידא כי ביכולתו לבצע איסוף ממצאים/ארטיפקטים (Artifacts) מכלל יעדי ההגנה אשר ברשות הארגון (לרבות שירותי ענן).
19. הארגון וידא כי הלוגים ביעדי ההגנה מופעלים ומטויבים בהתאם להמלצות יצרן או המלצות ארגון מוכר המפרסם מסמכי הקשחה (בהתאם להמלצה המחמירה מבין החלופות).
20. הארגון וידא כי הוא אסף מיעדי ההגנה את כל הארטיפיקים (Artifacts) המומלצים בהתאם ל-MITRE ATT&amp;CK וכן MITRE D3FEND Matrix בגרסתם העדכנית.</t>
  </si>
  <si>
    <t xml:space="preserve">1. ודאו כי  החלטת הנהלת הארגון בדבר הקמת מערך ניטור מרכזי עוגנה בפרוטוקול סדור, תוך הצגת הנימוקים להצגת הצורך בהקמתו.
2. ודאו כי הנהלת הארגון וידאה כי הגדירה תקציב המאפשר לארגון  להקים מערך ניטור המספק מענה לפרופיל הסיכון של הארגון.
3. ודאו כי הוגדרו מדדים לבחינת אפקטיביות מערך הניטור וזאת בהתאם לצורכי הארגון.
4. ודאו כי ברשות הארגון איפיון טכנולוגי ועסקי עדכני של מערך הניטור, והוא מכיל יישום של המלצות מקובלות ועדכניות בתחומים הרלוונטיים.
5. ודאו כי הארגון הגדיר תהליכי עבודה תומכים.
6. ודאו כי אנשי התפעול של מערך הניטור הוכשרו לעבודה ומומחים בביצוע עבודתם.
7. ודאו כי שולבה ראיית צוות סגול (Purple Team) בבניית מערך הניטור.
8. ודאו כי ברשות הארגון מיפוי עדכני של שגרות ההגנה, הגדרה של גורמים אחראים ומבקרים, וכי קיימים מדדים איכותיים וכמותיים לבחינת רמת האפקטיביות של שגרות ההגנה.
</t>
  </si>
  <si>
    <t>14.	הארגון וידא כי עיגן חוזית את הדרישה שמרכז ניטור הגנת מידע וסייבר (CSOC - Cyber Security Operations Center) יספק לארגון שיפוי במקרה של אי עמידה בדרישות הסכם ההתקשרות (דוגמת ביטוח אחריות מקצועית וסייבר).
15.	הארגון וידא כי מרכז ניטור הגנת מידע וסייבר (CSOC - Cyber Security Operations Center) עושה שימוש במתודולוגיות הגנת מידע וסייבר מקובלות ועדכניות. 
16.	הארגון וידא כי ביצע השוואה בין חלופות הקיימות בשוק למתן שירותים מרכז ניטור הגנת מידע וסייבר (CSOC - Cyber Security Operations Center).
17.	הארגון וידא כי מרכז ניטור הגנת מידע וסייבר (CSOC - Cyber Security Operations Center) עושה שימוש בטכנולוגיות הגנה עדכניות. 
18.	הארגון וידא כי הוא מטייב באופן קבוע עם מרכז ניטור הגנת מידע וסייבר (CSOC - Cyber Security Operations Center) / חוקי הניטור, וזאת לשם צמצום למינימום של רמת ה- False-Positives וה- False-Negative.
19.	הארגון וידא כי עיגן חוזית את הדרישה כי צוות מרכז ניטור הגנת מידע וסייבר (CSOC - Cyber Security Operations Center) מקצה לארגון נציג ייעודי לטובת מתן מענה לסוגיות מקצועיות.</t>
  </si>
  <si>
    <t>20.	הארגון וידא כי עיגן חוזית את תרחישי התקיפה אשר מרכז ניטור הגנת מידע וסייבר (CSOC - Cyber Security Operations Center) אמור לגלות ולזהות.
21.	הארגון וידא כי עיגן חוזית כי מרכז ניטור הגנת מידע וסייבר (CSOC - Cyber Security Operations Center) הטמיע סנסורים מטעמו בתשתית החיצונית לתשתית התקשוב של הארגון, וזאת לשם שיפור תמונת מצב האבטחה (Security Posture).
22.	הארגון וידא כי עיגן חוזית כי מרכז ניטור הגנת מידע וסייבר (CSOC - Cyber Security Operations Center) הטמיע סנסורים מטעמו בתשתית התקשוב הפנימית של הארגון, וזאת לשם שיפור תמונת מצב האבטחה (Security Posture).
23.	הארגון וידא כי עיגן חוזית כי מרכז ניטור הגנת מידע וסייבר (CSOC - Cyber Security Operations Center) שילב שימוש במודיעין סייבר עדכני לשם שיפור כושר גילוי וזיהוי איומים.
24.	הארגון וידא כי עיגן חוזית מדדים אובייקטיבים לשם בחינת איכות השירותים של מרכז ניטור הגנת מידע וסייבר (CSOC - Cyber Security Operations Center), ותרומתם לשיפור רמת הגנת המידע והסייבר.
25.	הארגון וידא כי מרכז ניטור הגנת מידע וסייבר (CSOC - Cyber Security Operations Center) מסוגל לספק מיפוי מלא ועדכני של משטח התקיפה (Attack Surface) ופרופיל הסיכון (Risk Profile) של כל יעד הגנה.</t>
  </si>
  <si>
    <t>26.	הארגון עשה שימוש במתודולוגיות ניטור מקובלות (דוגמת  MITRE D3FEND Matrix ו-DeTTECT) וזאת לשם בחינת רמת האפקטיביות של מרכז ניטור הגנת מידע וסייבר (CSOC - Cyber Security Operations Center), וזאת תוך ביצוע קורלציה מול מתודולוגיות תקיפה  מקובלות (דוגמת  MITRE ATT&amp;CK).
27.	הארגון וידא כי עיגן חוזית כי מרכז ניטור הגנת מידע וסייבר (CSOC - Cyber Security Operations Center) יעשה שימוש בטכנולוגיות ואמצעי הגנה בלתי-תלויים, וזאת לשם שיפור כושר גילוי וזיהוי איומים, כך שגם אם תוקף ישתלט באופן מלא על רשת הארגון, התוקף לא יצליח לשבש או להשבית את פעילות הניטור.</t>
  </si>
  <si>
    <t xml:space="preserve">1. ודאו כי קיים הסכם התקשרות עם גורם המפעיל את מערך הניטור המרכזי (חיצוני או פנימי) הכולל מדדים מקובלים.
2. ודאו כי הוגדר SLA/OLA, זמני דיווח, גורמי דיווח בהתאם לרמות הסיכון השונות, תהליכי אסקלציה וכד'.
3. ודאו טיוב של המדדים אחת לתקופה מול ספק הגורם המפעיל.
4. ודאו כי הסכם ההתקשרות כולל ביצוע פעולות משותפות באופן עתי, דוגמת סקר אתר, תרגולות וכד'.
5. ודאו כי הסכם ההתקשרות כולל אסטרטגית יציאה מוסכמת. 
6. ודאו ע"י צוות סגול כי המידע הארגוני מוגן בספק.
7. ודאו כי ברשות ספק השירות הסמכה מקובלת ועדכנית בתחום הגנת מידע וסייבר.
</t>
  </si>
  <si>
    <t>הסכמי התקשרות  בנושא ניטור סייבר
(רלוונטי לעבודה מול מערך ניטור מנוהל ע"י גורם חיצוני או גורם פנימי שאינו תחת ניהול ישיר של מנהל הגנת מידע וסייבר בארגון)</t>
  </si>
  <si>
    <t>הארגון הסדיר את רמות השרות הנדרשות מול הגורמים הפנימיים והחיצוניים המעורבים בפעילות מערך הניטור שאינו מנוהל ישירות ע"י מנהל הגנת מידע וסייבר בארגון</t>
  </si>
  <si>
    <t>21.	הארגון  וידא כי הוא ביצע תרגול חודשי של מערך הניטור ע"י "צוות סגול" (Purple Team) מטעמו לשם בחינת איכות תהליך הניטור וביצוע פעולות תגובה בהתאם ל-Playbooks מוגדרים, וכן מענה לאירועים שאינם ב-Playbooks.
22.	הארגון וידא כי הוא עושה שימוש בשני מערכי ניטור בלתי תלויים, ובוחן מדדים ופרמטרים מקובלים לשם בחינת רמת המקצועיות ואיכות השירות.</t>
  </si>
  <si>
    <t xml:space="preserve">1. ודאו כי ברשות הארגון תרשים עדכני של מערך הטלפוניה.
2. ודאו כי הארגון הגדיר חוקים לניטור מערך הטלפוניה.
3. ודאו כי הארגון עוקב אחר חיובים חריגים במערך הטלפוניה.
4. ודאו כי הארגון הפעיל את הלוגים במערך הטלפוניה, והעביר אותם למערך הניטור המרכזי.
5. ודאו כי ברשות הארגון מענה אפקטיבי כנגד תקיפות כנגד מערך הטלפוניה.
</t>
  </si>
  <si>
    <t>1.	יש לפנות לבקרת אבטחת ציוד תקשורת נתונים.
2.	יש לוודא תיעוד לפעולות המתבצעות ב-Shares\Exports המכילים קבצי תוכנה והגדרות תצורה ((Configuration Management, לרבות הקבצים אותם מושך הטלפון באתחול, וזאת לשם גילוי וזיהוי שינוי לא מורשה.
3.	יש לנטר בזמן אמת פעולות רגישות, דוגמת הפעלת "צלצול כפול", הקלטת שיחה, החלפת מספרי השלוחות של ה-VIPs.
4. יש לוודא כי נעשה שימוש ב-SBC (Session Border Controller) לאבטחת הממשק מול ספק השירותים.</t>
  </si>
  <si>
    <t>1. ודאו כי מנהל רצפת היצור והבקרה היה שותף לאפיון תהליך הניטור.
2. ודאו כי הניטור התבצע בהתאם להמלצות יצרן ה-OT.
3. ודא כי ברשות הארגון מערך ניטור לתהליך הייצור והבקרה מחוץ לתהליך (OOB).
4. ודאו כי הארגון וידא כי הטמיע אמצעי אבטחה המתאימים לניטור מערך הייצור ובקרה. דוגמת סוג הפרוטוקולים בהם הארגון עושה שימוש.
5. ודאו כי קיומן של תקלות תפעול (דוגמת סתימה של Orifice Flowmeter/Double-Ended Fixed Annubar Flowmeter) לא תפגע באיכות/יכולת/הדיוק בניטור תהליך הייצור והבקרה.
6. ודאו כי מתבצעת קורלציה בין דו"ח תקלות, המלצות יצרן ו-MTBF של יעד ההגנה, לבין דו"ח אירועי הסייבר.
7. ודאו כי ברשות הארגון מיפוי מלא של יעדי ההגנה ברשת ה-OT.
8. ודאו באופן מדגמי כי הזנת מידע כוזב ב-HMI, סנסור (לא רק סנסור סייבר), בקר וכד' נחשפת לפני גרימת נזק לתהליך הייצור והבקרה או התוצר עצמו.
9. ודאו כי הארגון משלב סנסורים מיצרנים שונים במערך הייצור והבקרה.
10. ודאו באמצעות צוות סגול כי תרחישי תקיפה נחשפים לפני גרימת נזק לתהליך הייצור והבקרה או התוצר עצמו.
11. ודאו שימוש במערך הניטור בעקרונות הגנה שקטה (Silence Defence).
12. ודאו כי מערך הניטור המרכזי מציג את הממצאים בהתאם ל-MITRE ATT&amp;CK ו-MITRE MITRE D3FEND Matrix בגרסתם העדכנית.</t>
  </si>
  <si>
    <t xml:space="preserve">1. ודאו כי ברשות הארגון אמצעים מקובלים לאיסוף המידע באופן אשר יאפשר שימוש בהם במסגרת הליכים משפטיים (Chain of Custody).
2. ודאו כי ברשות הארגון מערך אחסון ייעודי עם בקרות הגנה מספקות לשם הגנה על מידע הנשמר לטובת הליכים משפטיים.
3. ודאו כי רמת החשיפה למידע לגורם המחפש מידע לטובת הליכים משפטיים נמוכה ככל הניתן.
4. ודאו תאימות של האמצעים הקיימים בארגון לסביבות השונות אשר ברשות הארגון, דוגמת סביבת ענן ציבורי.
</t>
  </si>
  <si>
    <t>27. הארגון וידא כי הוא ביצע בכל יעד הגנה סריקה לגילוי וזיהוי חולשות ידועות אחת ליום לכל הפחות.
28. הארגון וידא כי הוא הטמיע עדכוני אבטחה (פאצ'ים) בהתאם ל- SLA\OLA המומלץ על ידי יצרן יעד ההגנה או תוך 72 שעות משחרור עדכון האבטחה (לפי הערך המחמיר מבין השניים). כמו כן, הארגון וידא כי ביכולתו להטמיע עדכון אבטחה קריטי תוך זמן קצר יותר ביעדי הגנה רלוונטיים.
29. הארגון וידא כי הוא משתמש בשני אמצעים בלתי תלויים כדי לבצע סריקות לגילוי וזיהוי חולשות, ומבצע טיוב בהתאם לממצאים.
30. הארגון וידא כי הוא משתמש במספר רב של מאגרי מידע למיפוי חולשות (דוגמת CVE, CWE ומאגרי מידע מסחריים).
31. הארגון וידא כי הוא מבצע באופן עצמאי פעולות מקובלות לגילוי וזיהוי חולשות שאינן ידועות (Zero-Days). 
32. הארגון וידא כי הוא מיישם את דרישות בקרה זו על ספקים מהותיים בשרשרת האספקה (וכן על ספקים אחרים), וזאת בהתאם לממצאי תהליך ניהול הסיכונים של הארגון.</t>
  </si>
  <si>
    <t>15. הארגון וידא כי הוא ביצע בכל יעד הגנה סריקה לגילוי וזיהוי חולשות ידועות אחת לשבוע לכל הפחות.
16. הארגון וידא כי תהליך גילוי וזיהוי החולשות אינו מתבצע על ידי גורמי תפעול.
17. הארגון וידא כי אמצעי גילוי וזיהוי החולשות אינו משמש לביצוע פעולות תפעוליות.
18. הארגון וידא כי תהליך גילוי וזיהוי החולשות כולל התייחסות לבדיקות קונפיגורציה (CWE vs. CVE vs. Approved Baseline).
19. הארגון וידא כי שילב את תהליך גילוי וזיהוי החולשות בתהליכים רוחביים, דוגמת פיתוח מאובטח.
20. הארגון וידא כי אמצעי גילוי וזיהוי החולשות מקושר למערך ניהול מרכזי, וזאת לשם בניית תמונת מצב עדכנית ואחודה (Security Posture).
21. הארגון וידא כי הוא מבצע בדיקות מדגמיות ידניות/אוטומטיות כדי להבטיח שתהליך גילוי וזיהוי החולשות פועל בהתאם לנדרש.
22. הארגון וידא כי ביחס לכל יעד הגנה, צבר יעדי הגנה בעלי פונקציונליות דומה, ולכלל יעדי ההגנה ישנם Vulnerability Graphs עדכניים. זאת, תוך החלת תהליך שיפור תקופתי על סמך ניסיון וידע של מומחי תוכן רלוונטיים (דוגמת Purple Team). 
23. הארגון וידא כי ביחס לכל יעד הגנה, צבר יעדי הגנה בעלי פונקציונליות דומה, ולכלל יעדי ההגנה ישנם Attack Graphs, Attack Maps, Attack Treesעדכניים. זאת, תוך החלת תהליך שיפור תקופתי על סמך ניסיון וידע של מומחי תוכן רלוונטיים (דוגמת Purple Team). 
24. הארגון וידא כי הוא הטמיע עדכוני אבטחה (פאצ'ים) בהתאם ל- SLA\OLA המומלץ על ידי יצרן יעד ההגנה או תוך שבועיים משחרור עדכון האבטחה (לפי הערך המחמיר מבין השניים). כמו כן, הארגון וידא כי ביכולתו להטמיע עדכון אבטחה קריטי תוך זמן קצר יותר ביעדי הגנה רלוונטיים.
25. הארגון וידא כי הוא מבצע בדיקות מדגמיות באופן ידני/אוטומטי, כדי להבטיח שתהליך הטמעת עדכוני האבטחה פועל בהתאם לנדרש.
26. הארגון וידא כי מערכת הניהול המרכזית והממוכנת, שאחראית על וידוא סגירת הממצאים הרלוונטיים, כוללת יכולות לניהול זרימת עבודה (Workflow) ואסקלציה אוטומטית במקרה של חריגה.</t>
  </si>
  <si>
    <t>14. שימוש בשירותי פדרציה (Federation):
א. הארגון אינו מאפשר שימוש בתשתיות אימות אחרות בינו לבין ספק הענן זולת פדרציה (Federation).</t>
  </si>
  <si>
    <t>26. הארגון וידא כי הוא גילה, זיהה וסיכל אנומליה בצריכת משאבי API, וזאת גם כאשר הבקשות עמדו בספים וברפים שאושרו במקור.
27. הארגון וידא כי יעד הגנה שאינו ה-API Gateway אחראי לקבלת החלטות בנושא אימות וניהול הרשאות של משתמשים.</t>
  </si>
  <si>
    <t xml:space="preserve">1. יש לפנות לבקרת התממה.
2. יש לוודא כי התהליך מלווה באופן צמוד ע"י היועץ המשפטי של הארגון.
3. ככלל יש להעדיף לעשות שימוש בפתרונות אשר עברו מבחנים משפטיים מקובלים, דוגמת ממצאי המערכת זכו להכרה כראיה קבילה ע"י ערכאה משפטית.
4. יש לוודא כי הפתרונות בהם נעשה שימוש תומכים בשפה/ קידוד של התכנים.
5. יש לוודא כי ברשות הארגון נהלי עבודה עדכניים לטובת קבלה/הוצאה של מידע לגורמי צד שלישי (דוגמת לקוחות, ספקי משנה, רגולטורים), וזאת תוך התאמה לדרישות החוק, רגולציה, דרישות חוזיות וצרכים עסקיים.
6. יש להעדיף שימוש בפתרונות התומכים בעקרונות למימוש PEC (Privacy-Enhancing Cryptography).
</t>
  </si>
  <si>
    <t xml:space="preserve">1.	הארגון וידא כי ברשותו מיפוי עדכני של תרחישים בהם הוא נדרש לבצע פעולות e-Discovery (דוגמת "זכות העיון" בחוק הגנת הפרטיות במדינת ישראל ודרישות ה-GDPR). 
2. הארגון וידא כי ברשותו תהליך חוצה ארגון לטובת גילוי וזיהוי מידע אלקטרוני, וזאת תוך התייחסות לשלבי עבודה מקובלים דוגמת: תכנון מקדים (Identification), איסוף (Collection), סקירה (Review), הפקה (Production), ממשל (Governance), תוך התייחסות לסוגי מידע מקובלים דוגמת emails, documents, presentations, databases, voicemail, audio and video files, CSOC - Cyber Security Operations Centerial media, and web sites
3.	הארגון וידא כי הוא משתמש ביכולות ידניות/אוטומטיות לאיסוף מידע עבור הליכים משפטיים.
4.	הארגון וידא כי הוא שומר את הממצאים בהתאם לדרישות החוק, הרגולציה, חוזיות ועסקיות.
</t>
  </si>
  <si>
    <t>5.	הארגון וידא כי ברשותו תהליך/ נוהל עדכני להעברת המידע/הממצאים בין הגורמים המעורבים לרבות גורמים חיצוניים דוגמת : לקוחות וגורמי אכיפה וכד'.
6.	הארגון וידא כי צימצם את מספר המעורבים בתהליך ה- e-Discovery למינימום האפשרי.
7. הארגון וידא כי הוא עושה שימוש ביכולות ידניות משולבות עם טכנולוגיה לאיסוף מידע עבור הליכים משפטיים ושמירת ראיות.</t>
  </si>
  <si>
    <t>1. ודאו כי הארגון הקצה משאבים נדרשים להקמת מערך הגנה בהתאם לנדרש (ראה פרק בקרות Protect  ו- Detect)
2.ודאו כי קיימת הגדרה לכל הגורמים המעורבים הנדרשים בעת אירוע  וכי הוגדרו תחומי האחריות והסמכות שלהם בקבלת החלטות שונות.
3. ודאו כי קיימת תוכנית תרגולים שנתית, לרבות שימוש ב- Cyber Range . 
4. ודאו כי הארגון הטמיע מנגנונים ממוכנים לתמיכה בתהליך הטיפול באירועי הגנת סייבר
5. ודאו כי הארגון הקים מערך ניטור מרכזי.
6. ודאו כי כל יעדי ההגנה בארגון קושרו למערך הניטור המרכזי.
7. ודאו כי עומק הניטור עונה לצרכי הארגון באופן מיטבי.
8. ודאו כי הארגון עושה שימוש במערכות תומכות החלטה, ומערכות  ניהול Workflow, וזאת במטרה לצמצם למינימום את הזמן הנדרש לתגובה.
9. ודאו כי הארגון וידא כי הטמיע מערכות המאפשרות איסוף, תיעוד ושימור ראיות מהותיות, וזאת עמידת בדרישות משפטיות מקובלות דוגמת עקרון השמירה על שרשרת הראיות (Chain of Custody).
10. ודאו כי לארגון קיים צוות חוקרי סייבר המומחה בניתוח אירועי סייבר .
11. ודאו כי ברשות הארגון יכולת להפיק רצף אירועים מלא, המאפשר התחקות אחר פעולות חריגות או פעולות תוקף/עקיבות (Traceability).
12. ודאו כי ברשות הארגון יכולת אפקטיבית לעקיבות (Traceability) אחר הפעולות אשר התבצעו במרחב הסייבר.
13. ודאו כי הארגון עיגן מול ספקי השירות השונים מדדים רלוונטיים בנושא התמודדות עם אירוע סייבר. דוגמת ספק שירותי DFIR או חברת שחזור מידע.
14. ודאו כי ברשות הארגון אמצעים עדכניים ומקובלים להתמודדות עם אירועי הגנת מידע וסייבר, וכי הארגון בוחן באופן עתי את כשירותם ורמת האפקטיביות שלהם. במקרה של ספק ענן, יש לבחון המלצות הספק בהתאם.
15. ודאו כי ברשות הארגון רשימה עדכנית של בעלי עניין (Stockholders) פנימיים/חיצוניים אשר מושפעים או עשויים להיות מושפעים.</t>
  </si>
  <si>
    <t xml:space="preserve">1. ודאו כי מבחן הכשירות מקביל באיכותו וכמותו למבחנים מקובלים המשמשים לטובת הסמכות בינלאומיות.
2. ודאו כי כל הגורמים הרלוונטיים עברו את ההכשרה, וזאת בהתאם להיקף והתדירות המומלצים.
3. ודאו כי כל הגורמים הרלוונטיים עברו את מבדק הכשירות בהצלחה, וזאת בהתאם למדדים אובייקטיבים, כי היקף המבדק והתדירות נגזרו מפרופיל הסיכון הארגוני.
4. ודאו באופן מדגמי את בקיאות הגורמים הרלוונטיים בתהליכים העסקיים, ושיטות העבודה לתגובה במקרה של אירוע סייבר.
5. ודאו כי במסגרת הפעילות, הארגון עשה שימוש ב- Cyber Range המדמה את הסביבה הקיימת בארגון.
</t>
  </si>
  <si>
    <t xml:space="preserve">1. ודאו כי ברשות הארגון קיים יומן פעילות מנוהל.
2. ודאו כי הגורמים הרלוונטיים מכירים והוכשרו בעדכון יומן האירועים.
3. ודאו כי כל ההחלטות והפעולות המתבצעות מתועדות ביומן זה 
4. ודאו כי לא ניתן למחוק או לשנות נתונים מיומן האירועים ללא אישור גורם ניהולי.
5. ודאו כי קיימת הרשאת צפייה לכל הגורמים המעורבים בניהול אירוע ולהנהלה הבכירה של הארגון.
6. ודאו כי ברשות הארגון יכולת לנהל יומן פעילות ללא שימוש במחשוב.
7. ודאו כי הארגון מינה בעל תפקיד האחראי לרישום ומעקב אחר יומן הפעילות.
8. ודאו כי הארגון עושה שימוש בממצאי יומן הפעילות לשם הפקת לקחים (Lesson Learned).
9. ודאו כי היומן מאפשר התחקות אחר הפעילות/עקיבות (Traceability) אשר בוצעה ע"י הארגון, וכן ע"י התוקף. </t>
  </si>
  <si>
    <t>8. הארגון וידא כי צוות התגובה עבר מבדק כשירות תוך שימוש בסביבה הזהה באופן מלא לסביבת הייצור (Digital Twin).</t>
  </si>
  <si>
    <t>9. הארגון וידא כי המערכת הממוכנת לניהול אירועים סייבר כוללת את היכולות הבאות:
א. מתן המלצות באופן דינמי על סמך ניסיון מצטבר של הארגון, וגופים אחרים בארץ ובעולם
ב. שילוב תמונת מצב עדכנית (Security Posture) כחלק מהתיעוד המובנה.</t>
  </si>
  <si>
    <t xml:space="preserve">1. הארגון צריך להתייחס לדיווח רשמי ממקורות מוסמכים, ודיווחים כתוצאה מהדלפה (עובדים/ ספקים וכד'), וכן דיווחים אשר מקורם ממתחרים עסקיים אשר מטרתם לפגוע במוניטין הארגון.
2. יש לבצע בדיקות כשירות עתית לגורמים המעורבים ומערכות התומכות.
3. שקיפות מהווה אמצעי אפקטיבי להתמודדות עם משבר סייבר.
4. יישנם מקרים בהם משבר סייבר עשוי להוות פתח לתקיפת סייבר נוספת, דוגמת שליחת הודעות ללקוחות כי עליהם להחליף סיסמה בהקדם. לאור זאת, יש לוודא כי תהליכי העבודה כוללים התייחסות למקרים מסוגים אלו.
5. יש לוודא כי הארגון עדכן גורמים רלוונטיים (דוגמת נשוא המידע / Data Subject ורגולטורים רלוונטיים) במקרה של אירוע דלף מידע אישי או חשד לקיום אירוע מסוג זה.
</t>
  </si>
  <si>
    <t xml:space="preserve">1. ודאו כי קיים ברשות הארגון נוהל עבודה סדור ועדכני לממשקי עבודה ודיווח במקרה חירום/אירוע סייבר.
2. ודאו כי ברשות הארגון תבניות מוכנות ועדכניות של הצהרות לציבור/לעובדים, אשר נוצרו תוך שיתוף הגורמים השונים בארגון - דובר, יועץ משפטי, מנהל הגנת הפרטיות, מנכ"ל, גורמים עסקיים וכד'.
3. ודאו כי ברשות הארגון קיימת רשימה עדכנית של כל בעלי העניין ודרכי ההתקשרות עימם. יש לוודא קיום העתק של רשימה זו במספר נקודות מפתח בארגון, לרבות באתר החלופי.
4. ודאו כי קיימת רשימת תיוג עדכנית למעקב אחר פעולות שיש לבצע בעת אירוע סייבר והגנת מידע. יש לוודא קיום העתק של רשימה זו במספר נקודות מפתח בארגון, לרבות באתר החלופי.
5. ודאו כי הארגון ביצע בשנה תרגיל עם בעלי העניין אשר קשורים לנושא ממשקי עבודה ודיווח.
6. ודאו כי ברשות הארגון אמצעי תקשורת חלופיים הזמינים במקרה של אי זמינות או חשד לפגיעה במהימנות מערך המחשוב.
</t>
  </si>
  <si>
    <t>1. ודאו כי קיימת תוכנית המשכיות עסקית הכוללת פרק התאוששות מערך הטכנולוגי של הארגון.
2. ודאו כי הוגדרו התהליכים הקריטיים, והמידע והנדרשים להיות זמינים בעת אסון, וזאת בהתאם למדדים מקובלים.
3.ודאו כי נבחנו תרחשי סייבר רלוונטיים במסגרת הכנת תוכנית ההמשכיות העסקית, לרבות תרחישי קיצון
4.ודאו כי הוגדרו הנכסים התומכים בפעילות בזמן חירום, וכי הוקצו משאבים מתאימים להפעלתם.
5. ודאו כי הוגדרו פרקי הזמן המינימליים והמקסימליים הנדרשים להפעלת קווי שירות שהוגדרו קריטיים, ולא קריטיים, וזאת בהתאם למדרג חשיבות אשר נקבע ע"י הנהלת הארגון
6.ודאו כי הוגדרו הגורמים הנדרשים להפעלת מערכי התאוששות של הארגון, לרבות גורמים מחליפים בעת הצורך.
7. ודאו כי המערך הטכנולוגי שהוגדר עומד בדרישות המינימליות המקובלות לעבודה בעת חירום.
8. ודאו כי הוגדרו ספקי חירום וקיימת יתירות במידה וספק מסוים אינו זמין או אם אין ברשותו יכולת לספק מענה הולם.
9. ודאו באופן מדגמי את בקיאות הגורמים בנהלי העבודה במקרה של התאוששות מאסון.
10. ודאו קיומה של יתירות (Redundancy) ברמת יעדי ההגנה, ומתחמי העבודה.
11. ודאו כי ברשות הארגון רשימה עדכנית של בעלי עניין (Stockholders) פנימיים/חיצוניים אשר מושפעים או עשויים להיות מושפעים.</t>
  </si>
  <si>
    <t>18.	הארגון וידא כי הוא אחת לשנה לפחות  מבצע מבדק כשירות ומוכנות לעבודה באתר חלופי (DR), וזאת ע"י דילוג כל התהליכים לעבודה באתר החלופי.</t>
  </si>
  <si>
    <t>1. ודאו כי נבדקו והוגדרו דרכי הגישה אל אתר החירום, וכי אין חסמים/הפרעות בדרכים אלו. בכלל זה, לבצע בחינה פיזית עיתית כי אכן דרכי הגישה תקינות וזמינות.
2. ודאו כי המבנה של האתר החלופי נמצא באזור המוגן מאסונות טבע שונים, וזאת בהתאם לתוכנית העסקית של הארגון.
3.ודאו כי קיימת דרך לתפעול האתר החלופי מרחוק, ומהי זהות הגורמים הניגשים מרחוק.
4. ודאו כי רמת המוכנות והכשירות של האתר החלופי עונה לדרישות הארגון מבחינת ציוד, מיקום, מידע הקיים בו וכד'.
5.ודאו כי קיימות רשימות תיוג עדכניות לבדיקת כל המערך הקיים ועדכניותו.
6. ודאו את אופן עדכון המידע באתר והאם הוא עומד בסטנדרטים שנקבעו על ידי הארגון. דוגמת שמירה על נהלי עבודה עדכניים בכספת.
7. ודאו כי רמת האבטחה הפיזית והסביבתית זהה או גבוהה מזו של האתר הראשי.
8. ודאו כי ברשות הארגון רשימה עדכנית של בעלי עניין (Stockholders) פנימיים/חיצוניים אשר מושפעים או עשויים להיות מושפעים.</t>
  </si>
  <si>
    <t>1. ודאו כי ברשות הארגון תרשים רשת עדכני של האתר החלופי והממשקים השונים.
2. ודאו קיומה של הפרדה לוגית ופיזית מלאה/העדר יחסי תלות בין אתר החלופי לאתר הראשי.
3. ודאו את מספר האתרים החלופיים הקיימים, ואת הממשקים הלוגיים והפיזיים ביניהם.
4. ודאו את רמת האפקטיביות של תהליכי השחזור וזאת תוך עמידה במדדים מקובלים אשר אושרו ע"י הנהלת הארגון (דוגמת RTO, RPO).
5. ודאו כי קיים אחראי משאב טכנולוגי בחירום וכי קיימים כל פרטי ההתקשרות 
6.ודאו כי יושמו מנגנוני אבטחה על מידע רגיש/חסוי.
7. ודאו כי מערך הגיבוי תומך בבקרות שהוגדרו 
8. ודאו באמצעות מדגם מייצג כי ניתן לשחזר מידע היסטורי.
9. בארגוני SMB ומעלה, וודא כי הארגון עבר לעבודה באתר החלופי (DR) לתקופה של שבוע אחד לפחות, וזאת תוך ניתוק הקישור הפיזי והלוגי לאתר המקור
10. ודאו כי קיימים הסכמי התקשרות תקפים מול גורמים רלוונטיים, הכוללים מדדים מתאימים לתיקוף עמידת הגורמים הרלוונטיים בדרישות הארגון.
11. ודאו באופן מדגמי את כשירות האמצעים ויעדי ההגנה.
12. ודאו כי ממצאי תרגילים מעידים על כשירות ומוכנות האמצעים ויעדי ההגנה.
13. ודאו קיומו של נוהל עבודה עדכני לחזרה לשגרה (לרבות שגרה מפוקחת).
14. ודאו כי ברשת הארגון יכולת לבצע רכש מהיר לציוד חסר באתר החלופי.</t>
  </si>
  <si>
    <t>25. הארגון וידא כי הוא מסוגל להחזיר את יעדי ההגנה ותהליכים העסקיים לגרסה ספציפית, וזאת תוך השקעת מאמץ אפסית (Zero-Touch)
26. הארגון וידא כי האתר החלופי (DR Site) מתעדכן בזמן אמת (Real Time) מהאתר הראשי, ובכך מאפשר יכולת התאוששות מידית (RTO=0, RPO=0). 
27. הארגון וידא כי הוא עושה שימוש בכלים אוטומטיים המאפשרים בקרה ובדיקה של אפקטיביות התוכנית להמשכיות עסקית, וזאת תוך מתן יכולת לחיזוי (Prediction) של אפשרות לקיומה של חריגה לפני השפעתה השלילית בפועל, ומתן המלצות לתיקון בהתאם.</t>
  </si>
  <si>
    <t>1. הארגון וידא כי הגורמים המעורבים בטיפול בהמשכיות עסקית מכירים את יעדי הארגון, התהליכים העסקיים וה- BIA הארגוני.
2. הארגון וידא כי הוא ביצע הכשרות יזומות בתחום המשכיות עסקית, וזאת תוך הכללת כל הגורמים המעורבים בתהליך (בארגון ומחוצה לו).</t>
  </si>
  <si>
    <t xml:space="preserve">1. ודאו כי ברשות הארגון תוכנית הדרכה ותרגולים שנתית בנושא המשכיות עסקית, הכוללת התייחסות לסוגיות רלוונטיות.
2. ודאו כי בתוכנית קיימת התייחסות לתרגול אתר החלופי (DR Site) באופן המאפשר בדיקה ממשית של עדכניות, רלוונטיות והבטחה לעמידה במדדים שהוגדרו (דוגמת RTO, RPO) לרבות עמידה בנפחי העבודה הרצויים , זמינות שטחי אחסון ויכולת גדילה עתידית וכד'.
3. ודאו כי העובדים עברו הכשרות מתאימות על פי תפקידיהם בתפעול מערך הטכנולוגי ובתהליכי העבודה בעת חירום
4. ודאו כי ספקי הארגון עוברים הדרכות ותרגולות משותפות.
5. ודאו כי ההדרכות כוללות התייחסות ללקחים מתרגילים ואירועים חריגים אשר התרחשו בארגון 
</t>
  </si>
  <si>
    <t>1. ודאו כי נעשה שימוש בגרסה עדכנית של אמצעי הסריקה, וכי הרישיון שלהם תקף והחתימות עדכניות.
2. ודאו כי הארגון משתמש במערכת ניהול מרכזית לגילוי וזיהוי פגיעויות/חולשות ברשת הארגון (Vulnerability Scanning), ולמעקב אחר ביצוע ההטמעה בהתאם לתוכנית העבודה.
3. ודאו כי תדירות ביצוע הסריקות מותאמת לעומק היישום.
4. ודאו כי תדירות הטמעת עדכוני האבטחה (פאצ'ים) מותאמת לעומק היישום.
5. ודאו כי כל יעדי ההגנה נסרקים באופן תקופתי.
6. ודאו כי קיימת תוכנית לסגירת פערי האבטחה שאותרו, וזאת תוך עמידה של הארגון ב-SLA/OLA שנקבע.
7. ודאו באופן מדגמי כי קיימת יכולת לעקוב אחר השינויים במצב האבטחה של יעד הגנה, וזאת ברזולוציה של יום, שבוע, חודש, שנה ושלוש שנים לאחור.
8. ודאו כי קיים תהליך התרעה ואסקלציה ממוכן במקרה של אי עמידה במדדים שנקבעו.
9. ודאו את זהות מפעיל אמצעי הסריקה, וכי הוא לא נמצא במצב של ניגוד עניינים.
10. ודאו כי אמצעי הסריקה הוא בלתי תלוי.
11. ודאו כי הארגון משתמש במאגרי מידע רלוונטיים ועדכניים לשם מיפוי חולשות.
11. ודאו כי תהליך סריקת החולשות שולב בתהליכים ארגוניים, דוגמת פיתוח מאובטח.
13. ודאו כי ברשות הארגון יכולת לגלות ולזהות שגיאות בהחלת תצורה, אשר עלולות ליצור חולשה.
14. ודאו כי קיימת תמונת מצב אחידה בין ה-IAM למערכות גילוי וזיהוי הפגיעויות, לרבות מערכות להפצת עדכוני אבטחה.
15. ודאו כי מערך הניטור עוקב בזמן אמת אחר סטטוס הפגיעויות/חולשות ברשת הארגון (Vulnerability Scanning). אם קיימת מערכת SIEM, יש לוודא היתוך של מידע זה במערכת.
16. ודאו באופן מדגמי כי הארגון מבצע סריקה לכל יעד הגנה חדש.
17. ודאו כי הממצאים מוצגים בהתאם למתודה מקובלת, דוגמת MITRE ATT&amp;CK.
18. ודאו כי ברשות הארגון מיפוי עדכני של ה-IOEs הקיימים בכל יעד הגנה, בכל קבוצת יעדי הגנה בעלי מאפיינים דומים, ובכל יעדי ההגנה.
19. ודאו כי ביחס לכל יעד הגנה, צבר יעד הגנה בעלי פונקציונליות דומה, ולכלל יעדי ההגנה ישנם Vulnerability Graphs המתעדכנים בזמן אמת.
20. ודאו כי ביחס לכל יעד הגנה, צבר יעד הגנה בעלי פונקציונליות דומה, ולכלל יעדי ההגנה ישנם Attack Graphs, Attack Maps, Attack Trees המתעדכנים בזמן אמת.</t>
  </si>
  <si>
    <t xml:space="preserve">משאבי אנוש ומהימנות עובדים / הטיפול בגורם האנושי
</t>
  </si>
  <si>
    <t xml:space="preserve">1. ודאו באמצעות צוות סגול כי לא ניתן לבצע הדלפת מידע בערוץ ה-DNS או קישור לשרת C&amp;C. יש להתייחס לפרוטוקולים עדכניים דוגמת DoH ו-DoT, ולא רק לפרוטוקול המסורתי.
2. ודאו כי הארכיטקטורה הקיימת עונה למתווה.
3. ודאו באופן מדגמי כי אין רשומות כוזבות בתשתית ה-DNS.
4. ודאו את תקינות רשומות ה-DNS וזאת באמצעות קורלציה למסדי נתונים ארגוניים, דוגמת ARP\CAM Table, IPAM AD ו-DHCP.
5. ודאו כי ממשק ניהול הדומיין החיצוני כולל מימוש אמצעי מקובלים, דוגמת MFA.
6. ודאו את רמת העמידות של תשתית ה-DNS הציבורית בפני תקיפות DOS/DDoS. בכלל זה, יש לבצע סימולציה תיאורטית תוך התייחסות למשאבים הקיימים, לדרישות החוזיות מול הספקים השונים (דוגמת ספק האינטרנט), ולדרישות העסקיות של הארגון.
7. ודאו כי בעת ביצוע DNS Enumeration לא נחשף מידע רגיש/חסוי, דוגמת מזהים ארגוניים ייחודיים. בעת עבודה עם ענן ציבורי יש לזכור כי פעמים רבות מייצר הספק עבור הארגון דומיין ייחודי, הכולל פרטי יעדי הגנה, וכי כל גורם באינטרנט מסוגל לבצע תשאול לדומיין ולרשומות.
8. ודאו כי לא ניתן לבצע DNS Zone Transfer מיעד לא מורשה.
9. ודאו כי מומשו מנגנוני אבטחה מקובלים, דוגמת DNSSEC ו-Certificate Transparency Log.
10. ודאו כי ביעדי ההגנה לא נעשה שימוש בפרוטוקולי Name Resolution לא מורשים.
11. ודאו כי קיימת יתירות למערך ה-DNS.
12. וודאו כי קיימת יכולת לגלות, לזהות ולסכל פניות באמצעות פרוטוקול DNS לא סטנדרטי.
13. ודאו שילוב של יכולות מניעה והונאה (D&amp;D), דוגמת DNS Sinkholes.
14. ודאו כי שרתי ה-DNS משתמשיםבגרסה העדכנית של המוצר.
15. ודאו אכיפה של מדיניות תגובה (RPZ - Response Policy Zones) לבקשות DNS אשר מקורם מיעדי ההגנה, וזאת תוך מניעת גישה ליעדים בעלי רמת מהימנות נמוכה/מוניטין נמוך.
</t>
  </si>
  <si>
    <t>3. כללי:
א. הארגון וידא כי כל הבקשות ופעולות הניהול מתועדות בלוג, שנשלח למערך האבטחה.
ב. הארגון וידא כי הפונקציונליות Open Resolver מבוטלת בשרתים שאינם נדרשים לעשות בה שימוש בשגרה.
4. דרישות הגנה הקשורות לתשתית ה-DNS המשרתת משתמשים באינטרנט:
א. הארגון וידא כי פרטי הקשר של עובדי הארגון או גורמי תמיכה חיצוניים (דוגמת שם פרטי ומשפחה, כתובת דוא"ל, מספר טלפון) אינם מופיעים ב-Whois או ברישומים מקבילים (דוגמת שימוש במנגנון Whois Privacy).
ב. הארגון וידא כי שרת ה-Authoritative Server אינו משמש כמקור לביצוע Zone Transfer לשרת אחר.
ג. הארגון וידא כי שרת ה-Authoritative Server אינו משמש במקביל כ-Recursive Server
ד. הארגון וידא כי הוא הגדיר מדיניות תגובה (RPZ - Response Policy Zones) לבקשות DNS אשר מקורם מיעדי ההגנה, וזאת תוך מניעת גישה ליעדים בעלי רמת מהימנות נמוכה/מוניטין נמוך..</t>
  </si>
  <si>
    <t>8.	הארגון וידא כי תהליך ניהול זרימת עבודה (Workflow) שקוף לו באופן מלא, וכי יש ברשותו יכולת לבצע אסקלציה מהירה בעת הצורך.
9.	הארגון וידא כי לספק קיים ביטוח (דוגמת ביטוח אחריות מקצועית וביטוח סייבר) מתאים, אשר מספק לארגון פיצוי/שיפוי במקרה של אירוע הגנת מידע וסייבר במערך הניטור, ואירועים רלוונטיים אחרים.
10.	הארגון וידא כי מערך הניטור משקף את משטח התקיפה (Attack Surface) הקיים בארגון וזאת ביחס פרופיל הסיכון (Risk Profile), וזאת נכון ל"זמן אמת" (Real Time), או לכל הפחות "קרוב לזמן אמת" (Near Real Time).
11. הארגון וידא כי הגדיר מכשירים משפטיים לשם אכיפת ההסכם במקרה של הפרה או חריגה.
12. הארגון וידא כי ביצע בדיקות מהימנות עצמאיות לעובדי מערך הניטור של ספק חיצוני.</t>
  </si>
  <si>
    <t>1. ודאו כי באופן עתי מתבצע טיוב של חוקי הניטור והמדדים.
2. ודאו כי הארגון מספק מענה אפקטיבי להתמודדות עם התרעות המסווגות כ- False Positive ו-False Negative
3. ודאו כי הארגון מתרגל את צוות הניטור / מערך הניטור באופן עתי.
4. ודאו את עמידת הארגון במדדים אשר הוגדרו.
5. ודאו כי הניטור מכסה את כל יעדי ההגנה.
6. ודאו כי עומק הניטור עונה לצורכי הארגון.
7. ודאו כי במקרה של כשל/תקלה/השבתה, ברשות הארגון יכולת להמשיך בניטור ע"י שימוש בבקרות מפצות.
8. ודאו כי הארגון יישם שגרות הגנה בהתאם למתווה מאושר, וכי המתווה עונה לדרישות מקובלות בתחום ופרופיל הסיכון של הארגון.</t>
  </si>
  <si>
    <t>1. הארגון וידא כי הוא ביצע סקר סיכונים (Risk Assessments) לספק הענן, תוך התייחסות לסוגיות ארגוניות רלוונטיות.
2. הארגון וידא כי הוא בוחן באופן תקופתי את יכולות ההגנה שמציעים ספקי ענן אחרים, ובוחן את החלתן על ההתקשרות הקיימת עם הספק הנוכחי או עם ספק חלופי.
3. הארגון וידא כי הסכם ההתקשרות עם ספק שירותי הענן כולל התייחסות להיבטים הבאים:
א. חלוקת האחריות בין ספק הענן לבין הארגון (Shared Responsibility) בנושא הגנת מידע וסייבר.
ב. קיומו של בידול לוגי אפקטיבי בין דיירים (Tenants) החולקים משאבים משותפים. 
ג. אי-תלות בגרסת תוכנה (הארגון יוכל לבחור איזו תוכנה להריץ ללא תלות בבחירה של דיירים אחרים).
ד. קיומם של תהליכי הגנת מידע וסייבר מקובלים (דוגמת פיתוח מאובטח).
ה. אי-תלות של תוספים (Plug-ins) - אפשרות להריץ תוסף ללא תלות בכך שדייר אחר מריץ תוסף זהה/שונה או לא מריץ תוסף כלל.
ו. איסור העברה של מידע ארגוני לצד ג'.
ז. איסור פנייה ישירה של ספק הענן או מי מטעמו ללקוחות הארגון בהצעות שיווקיות/מכירתיות. 
ח. הגדרת אמנת שירות (SLA) הכוללת פירוט של השירותים, וזאת ביחס לפרמטרים מקובלים דוגמת דרישות עסקיות של הארגון, זמני תגובה וזמני השבתה.
ט. עמידה של ספק הענן בתקינה/הסמכה מקובלת (דוגמת הסמכת שרשרת אספקה של מערך הסייבר,  ISO/IEC 27017, ISO/IEC 27001, FedRAMP, CSA STAR).
י. מחויבות הספק לסייע לארגון בעת ביצוע חקירות פורנזיות, לרבות איסוף ארטיפקטים (Artifacts) מהסביבות השונות.
יא. מחויבות הספק להמציא התרעה מקדימה לפני ביצוע שינויים מהותיים (דוגמת החלפת מיקום Data Center, החלפת בעלות או הסרת יכולת הגנתית).
יב. מחויבות הספק להמציא הודעה לארגון במקרה של אירוע סייבר או חשד לקיום אירוע מסוג זה, גם אם לשיטת הספק הוא לא השפיע על הארגון.
יג. מחויבות הספק להמציא הודעה לארגון במקרה של אי עמידה בתקינה/הסמכה מקובלת.
יד. ביצוע בדיקות חוסן על ידי הארגון ליעדי הגנה המאוחסנים בספק הענן.
טו. יכולת נוחה להעברת מידע מספק הענן לספק ענן חלופי (Cloud Portability).
טז. יכולת לסיים את הסכם ההתקשרות  באופן חד-צדדי (דוגמת אי עמידת הספק בדרישות הגנת מידע וסייבר).
יז. פיצויים במקרה של הפרה.
יח. מקום בירור תביעות משפטיות בנושא הגנת מידע וסייבר (מדינת ישראל כברירת מחדל).
יט. זמן הודעה מראש מצד ספק הענן לפני סיום התקשרות ולפני ביטול או שדרוג שירות.
כ. שמירה על סודיות (NDA).
כא. הסדר למניעת ניגוד עניינים.
4. הארגון וידא כי קיימים מנגנונים אפקטיביים, טכנולוגיים ואחרים, המבטיחים שספק הענן עומד בהתחייבויותיו.</t>
  </si>
  <si>
    <t xml:space="preserve">1. ודאו כי הארגון הגדיר חוקים לשליחת התרעות וזאת בהתאם לצרכים העסקיים שלו.
2. ודאו באופן מדגמי כי נשלחות התרעות במקרה של חריגות.
3. ודא קיומו של תהליך אסקלציה אוטומטי במקרה של אי עמידה ב-OLA\SLA.
4. ודאו כי לא ניתן לעשות שימוש לרעה במערכת ההתרעות, דוגמת הצפה של המשתמשים.
5. ודאו כי במקרה של שליחת התרעות מחוץ לארגון, ההתרעות אינן מכילות מידע רגיש/חסוי.
6. ודאו קיום ניטור רציף על תקינות מנגנון שליחת ההתרעות.
7. ודאו קיומו של תהליך סדור ל Lesson Learned והטמעת המסקנות בתהליכי העבודה הרלוונטים.
8. ודאו באופן מדגמי כי תהליך שליחת ההתרעות אינו חושף מידע רגיש/חסוי ללא מורשים (דוגמת שליחת הודעת דוא"ל או מסרון לכתובת פרטית תוך ציון מידע טכני פרטני).
9. ודאו באופן מדגמי כי אמצעי האבטחה של הארגון כוללים מנגנון Watchdog מובנה ופעיל.
</t>
  </si>
  <si>
    <t>4.	הארגון וידא כי הגדיר חוקי קורלציה (Correlation Rules) רוחביים בהתאם להמלצת יצרני יעדי ההגנה אשר ברשותו, וכי איתור חריגה גורר שליחת התרעה (Alert) לגורם מוסמך.
5.	הארגון מבצע טיוב עתי לחוקי הקורלציה.
6.	הארגון וידא כי שורה של התרעות (Alerts) החוזרות על עצמן עוברות תהליך הקבצה/אגרגציה (Aggregation) של ההתרעות, וזאת למניעת הצפה של הנמען.</t>
  </si>
  <si>
    <t>7.	הארגון וידא כי הוא עושה שימוש במערכת ניהול טכנולוגית המבוססת על ניהול מרכזי לשם קבלת לוגים, ניתוחם והפקת התרעות (Alerts).
8.	הארגון וידא כי במקרה של כשל או גילוי וזיהוי תקיפה ע"י אמצעי אבטחה מסוים, ישנו אמצעי אבטחה הגנה חלופי המסוגל לספק מענה בהתאם.
9.	הארגון וידא כי הוא מנהל את זרימת העבודה (Workflow) לטובת ניהול ההתרעות, וזאת תוך ביצוע אסקלציה אוטומטית במקרה של חריגה מ-SLA\OLA מוגדר או העדר זמינות של נציג מוסמך.
10. הארגון וידא כי לצד ההתרעה הטכנית, נלווה הסבר המתאים לכל קהל יעד רלוונטי וזאת תוך ניתוח ההשפעה העסקית של התקיפה.</t>
  </si>
  <si>
    <t>1. ודאו כי ברשות הארגון יכולות ממוכנות לניתוח/אנליזה של ארטיפקטים ואיומים, כך שהצורך במעורבות יד-אדם תהיה מינימלית ככל הניתן.
2. ודאו כי בשלב הניתוח/אנליזה מתבצעת קורלציה ממוכנת מול ממצאי מודיעין איומי סייבר עדכני.
3. ודאו כי הארגון הגדיר חוקי ניטור בהתאם לצרכים העסקיים.
4. ודאו כי כי ברשות הארגון Pipeline ממוכן לניתוח/אנליזה הכולל את מודולי האבטחה הרלוונטיים, וכן ניתן לבצע החלפה של כל מודול במינימום מאמץ.
5. ודאו כי ה IOA\IOC\TTP מתעדכנים תדיר בעקבות ממצאי חקירה (Enrichment).
6. ודאו כי ישנה קורלציה עדכנית בין משטח התקיפה (Attack Surface) לרף הסיכון המתעדכן בזמן אמת, וזאת ע"י בחינת דו"ח מנהלי עבודה, Dashboard או אמצעי אחר.
7. ודאו תקינות הופעת רצף אירועים וחשד לאירועים על מספר Timeline אקראיים, בראיה של יום, שבוע, חודש, רבעון, חצי שנה ושנה.
8. ודאו כי מערך הניטור המרכזי מציג את הממצאים בהתאם ל-MITRE ATT&amp;CK בגרסתה העדכנית.
9. ודאו כי הארגון עושה שימוש בפרוטוקולים פתוחים ומקובלים לאוטומציה דוגמת REST API או STIX\TAXII.
10. ודאו כי ברשות הארגון תרשים PFD (Process Flow Diagram) המתעדכן בזמן אמת, ומאפשר תחקור לאחור.
11.  ודאו כי ברשות הארגון תרשים DFD (Data Flow Diagram) המתעדכן בזמן אמת, ומאפשר תחקור לאחור.
12. ודאו כי ביחס לכל יעד הגנה, צבר יעדי הגנה בעלי פונקציונליות דומה, ולכלל יעדי ההגנה ישנם Vulnerability Graphs עדכניים.
13. ודאו כי ביחס לכל יעד הגנה, צבר יעדי הגנה בעלי פונקציונליות דומה, ולכלל יעדי ההגנה ישנם Attack Graphs, Attack Maps, Attack Nets עדכניים.
14. ודאו כי ברשות הארגון יכולת אפקטיבית לביצוע Automating Threat Actor Tracking, דוגמת שימוש ב-MITRE ATT&amp;CK בגרסתה העדכנית.
15. ודאו כי לתהליך הניתוח/האנליזה מוזן לכל הפחות מידע אשר בכמותו ואיכותו עונה לדרישות -MITRE ATT&amp;CK ו-MITRE D3FEND Matrix בגרסתם העדכנית.</t>
  </si>
  <si>
    <t>1. יש צורך לוודא כי ברשות צוות ה-IR הבנה מעמיקה בעולמות ה-IT/OT.
2. יש לוודא כי ביכולת צוות ה-IR לבצע חקירה ברמת קושחה (דוגמת GPU/BIOS/UEFI).
3. יש לוודא כי אירוע הסייבר הינו "אירוע אמת," ולא התרעת שווא או מסיח אשר מטרתו לאפשר לתוקף לבצע פעילות זדונית "מתחת לרדאר" (דוגמת התגנבות למתחם הארגון תוך ניצול "הרעש").
4. יש לבצע זיהוי אלמנטים של קורנים (יעדי הגנה משדרים).
5. יש לוודא כי ברשות צוות ה-IR ערכת כלים שאינה מחוברת בשגרה לרשת הארגון, כך שבמקרה של אירוע מהימנותה לא תפגע.
6. יש לוודא עדכון של הרגולטור הרלוונטי במקרה של אירוע / חשד לאירוע.
7. יש לוודא כי ברשות הארגון ספרי מרשם (Playbooks) המספקים מענה לתרחישים שכיחים, דוגמת:
א. Webshell.
ב. חולשת תוכנה אשר נוצלה לרעה.
ג. טעות בהחלת הגדרות תצורה אשר נוצלה לרעה.
ד. אובדן / גניבת יעד הגנה.
ה. אובדן / גניבת פרטי אימות.
ו. דלף מידע.
ז. השתלטות על דף רשת חברתית.
ח. תקיפת מניעת שירות (DOS/DDoS).
ט.נוזקה - WIPER, כופרה (Ransomware), כופרה + דלף מידע (Double Extortion) וסחיטה משולשת (Triple Extortion)  וכד'.
י. Phishing, Vishing, Smishing   וכד.
יא.איום פנימי (Insider Threat).
יב. הטמנת חומרה/תוכנה.
יג. שיבוש ומחיקת מסד נתונים.
יד. השחתת אתר (Defacement).
טו. דופק אלקטרומגנטי (דוא"מ)/EMP.
טז. חטיפת DNS.
יז. חטיפת BGP.
יח. Misinformation, Disinformation ו-Deepfakes.
יט. חיבור ציוד לא מורשה לרשת הארגון.
כ. תקיפה נגד תשתית הטלפוניה (TDoS, Fake Call ID וכד')
כא. ניסיון התחזות טלפוני.
כב. תקיפה כנגד ספק של הארגון.
כג. Disinformation, Deepfakes and Propaganda
כד. תקיפת ממשק ניהול.
כה. תקיפת ממשק התחברות מרחוק.</t>
  </si>
  <si>
    <t>6. הארגון וידא כי הוא ביצע הכשרה/ריענון לצוותים הטכנולוגיים, וזאת תוך התמקדות בנושאים רלוונטיים, דוגמת פורנזיקה וקבלת החלטות בתנאי אי-ודאות. 
7. הארגון וידא כי צוות התגובה עבר אחת לפחות בשנה מבדק כשירות יומי ע"י גורם צד-שלישי, וזאת תוך שילוב אמצעי סימולציה מקובלים.</t>
  </si>
  <si>
    <t>1. הארגון וידא כי ברשותו הידע ויכולת ניתוח ההשפעות, האיומים והסיכונים להם חשוף הארגון (BIA-Business Impact Analysis) תוך התייחסות לתהליכים קריטיים ומדדים מקובלים (דוגמת RPO, RTO, WRT, MTD\MTDP).
2.	הארגון וידא כי הנהלת הארגון וידאה, הגדירה ואישרה מדיניות ואסטרטגיה בנושא המשכיות עסקית (BCP), הכוללת התייחסות להתאוששות מערך התקשוב וזאת בהתאם לדרישות החוק, הרגולציה, דרישות חוזיות וצרכים עסקיים אחרים.
3. הארגון וידא כי הנהלת הארגון הגדירה ואישרה את תכנית התאוששות מאסון (DRP).
4. הארגון וידא כי מונתה פונקציה ארגונית מוגדרת לריכוז ויישום נושא הגנת מידע וסייבר בתהליך המשכיות עסקית ארגונית, וכי גורם זה עובד בשיתוף פעולה עם הממונה על המשכיות עסקית של הארגון.
5. הארגון וידא כי הגדיר את הגורמים המוסמכים בארגון לביצוע משימות וקבלת החלטות בזמן אירוע קצר טווח (דוגמת השבתה/שיבוש פעילות במשך מספר דקות עד חצי שעה) , ומתמשך (דוגמת השבתה/שיבוש פעילות מעל חצי שעה).
6.	הארגון וידא כי הוא מבצע מבדק כשירות ומוכנות עתי לבחינת תקינות תהליכי התאוששות בחירום.
7.	הארגון וידא כי יש ברשותו חלופות עבודה ידנית או חלופה אחרת (דוגמת מיקור חוץ) במקרה של אי תקינות יעדי ההגנה ו/או אי יכולת לשמר רציפות פעילות באמצעים טכנולוגיים עקב סיבה אחרת.
8.	הארגון וידא כי אחת לשנה לפחות הנהלת הארגון עורכת דיון בנושא המשכיות עסקית בהיבטי הגנת מידע וסייבר, וזאת תוך התייחסות לנושאים מקובלים, דוגמת:
א. בחינת עדכניות תרחישי האיום וה-BIA.
ב. עדכון סטאטוס.
ג. הצגת פערים והמלצות ליישום
ד. מבנה ארגוני בשגרה ובחירום.
ה. אישור מסמך המדיניות ותכנית העבודה.
ו. הצגת ממצאי מבדקי כשירות ומוכנות.
ז. הכשרות מקצועיות ומודעות לתהליכי התאוששות בחירום.
ח.מדיניות הגיבוי ושמירה על מידע.
ט. עדכניות תוכנית להמשכיות עסקית ותוכנית התאוששות מאסון של הארגון ביחס ליעדי הארגון.
י. וידוא כי הארגון והספקים הרלוונטיים עומדים במדדים אשר הוגדרו.
יא.אישור תקציב ומשאבים.
יב. וידוא קיום הסכם Colocation Hosting.
יג. חיזוק מעגלי בקרה לשם מניעת ניצול לרעה של עתות משבר ע"י גורמי פנים וחוץ
יד. הגדרת הארגון כמפעל חיוני ו/או מפעל למתן שירותים חיוניים</t>
  </si>
  <si>
    <t>1.	הארגון וידא כי ברשותו אתר חלופי (DR Site) הממוקם במקום שונה גיאוגרפית, וזאת במרחק אוירי של 20 ק"מ כמינימום מהאתר הראשי.
2. הארגון וידא כי המיקום הפיזי של האתר החלופי (DR Site) עומד בדרישות החוק, רגולציה דרישות חוזיות וצרכים עסקיים.
3. הארגון וידא כי קיים ברשותו הסכם התקשרות תקף עבור זמן אירוח בחברה אחרת (Colocation Hosting), כאשר ההסכם כולל מדדים מאושרים ע"י הנהלת הארגון.
4. הארגון וידא כי באתר החלופי קיימת תשתית פיזית תומכת לצוותי העבודה השונים כולל צוות הסייבר, דוגמת : מיקום ישיבה פיזי, שינה,  שתייה, מזון וכד'.
5. הארגון וידא כי רמת האבטחה הפיזית והסביבתית של האתר החלופי הינה זהה או יותר גבוהה מזו הקיימת באתר הראשי.
6. הארגון וידא כי בחן אפשרות לשימוש בשירותי ענן ציבוריים כחלופה לאתר חלופי פיזי.
7. הארגון וידא כי האתר החלופי (DR Site) נגיש לעובדים וגורמי תמיכה.
8. הארגון וידא עמידה של האתר החלופי בדרישות תקנים מקובלים בתחום דוגמת : TIA-942 רמה 1 ומעלה.
9. הארגון וידא כי לא מתקיימים יחסי תלות בין האתר הראשי, לאתר החלופי (DR Site).</t>
  </si>
  <si>
    <r>
      <t xml:space="preserve">1. הארגון וידא כי קיים תהליך ארגוני לניהול מחזור החיים של הגדרות התצורה  (System Configuration) ביעדי ההגנה.
2. הארגון וידא כי לכל יעד הגנה נקבעו והוחלו הגדרות תצורה, תוך יישום עקרונות מקובלים. 
3. הארגון וידא כי ביכולתו לגלות ולזהות שינויים לא מורשים בהגדרות תצורה, וכי הוא נוקט פעולות מתקנות בהתאם.
4. הארגון וידא כי ביכולתו לעקוב אחר החרגות (Exclude) שאושרו, ולהחיל את הגדרות התצורה הנדרשות לאחר תום תקופת ההחרגה.
5. הארגון וידא כי העתק הגדרות התצורה מאוחסן (מגובה) מחוץ ליעד ההגנה עצמו, כך שניתן יהיה להשתמש בגרסה הקיימת לשם שחזור ההגדרות מאפס. 
</t>
    </r>
    <r>
      <rPr>
        <b/>
        <sz val="12"/>
        <color theme="1"/>
        <rFont val="Calibri"/>
      </rPr>
      <t xml:space="preserve">היסטוריית השינויים בהגדרות התצורה של יעדי ההגנה ויכולת חזרה לאחור:
</t>
    </r>
    <r>
      <rPr>
        <sz val="12"/>
        <color theme="1"/>
        <rFont val="Calibri"/>
      </rPr>
      <t>6. הארגון וידא כי ביכולתו לראות את היסטוריית השינויים בהגדרות התצורה של יעדי ההגנה, וזאת לתקופה של רבעון לאחור.
7. הארגון וידא כי יש לו יכולת חזרה לאחור (Rollback) של עד חמש גרסאות לאחור או רבעון לאחור (הדרישה המחמירה מבין השתיים).</t>
    </r>
  </si>
  <si>
    <t>הארגון וידא כי הטמיע מנגנון לניהול, יישום ואימות תצורת המערכת (System Configuration) חומרה/תוכנה</t>
  </si>
  <si>
    <t>1. ודאו כי קיימים מודולי הגנה באמצעי האבטחה, וכי ברשותם רישיון מתאים ותקף.
2. ודאו כי הארכיטקטורה הארגונית מונעת משרת ה-Web לפנות באופן עצמאי לאינטרנט.
3. ודאו באופן מדגמי כי לא ניתן לטעון לאתר קובץ מסוג שאינו מוגדר ב-Allowlist.
4. ודאו באמצעות בדיקות חוסן כי האתר לא חשוף לתקיפות שכיחות. כברירת מחדל מומלץ להסתייע ב-OWASP Testing Guide העדכני או במסמך רלוונטי אחר.
5. ודאו באופן מדגמי כי שינוי במערכת הקבצים של שרת ה-Web גורר שליחת התרעה לצוות האבטחה.
6. ודאו באופן מדגמי כי אין אפשרות לטעון קובץ המדמה נוזקה.
7. ודאו את רמת חוסן האתר באמצעות צוות סגול.
8. ודאו כי ממשקי הניהול של האתר אינם נגישים מהאינטרנט.
9. ודאו כי ספריות הקוד של האתר עדכניות, וכי אינן מכילות חולשות ידועות.
10. ודאו כי האתר מוגן באמצעות WAF האוכף גישה בהתאם ל-Allowlist של פרמטרים, שדות וכדומה.
11. ודאו הזרקת HTTP Security Headers מתאימים לצד לקוח.
12. ודאו כי לא ניתן לגשת לאתר באמצעות דפדפנים/אפליקציות המכילים חולשות ידועות. 
13. ודאו כי הארגון משתמש במנגנון למניעת חבלה באתר (WTP – Web Tampering Protection), וכי מנגנון זה עובד באופן אפקטיבי.
14. ודאו את יכולת הארגון לחזור למצב אפס (Steady State), וזאת בהתאם למדדים שהנהלת הארגון אישרה.
15. ודאו כי לא ניתן לגשת לאתר ללא שימוש בפרוטוקול עדכני.
16. ודאו באופן מדגמי עמידות בפני עומסים.
17. ודאו כי ברשות הארגון תיעוד של הפעילות באתר בשלושת החודשים האחרונים לפחות, וכי הלוגים נשמרים מחוץ לאתר.
18. ודאו כי האתר עושה שימוש בטכנולוגיה עדכנית ומקובלת.
19.  ודאו כי קיים מערך הלבנה בערוץ הכניסה.</t>
  </si>
  <si>
    <t>1. ודאו כי ברשות הארגון מיפוי עדכני של הדרישות לאבטחה ולשימוש ב-API, וזאת בהתאם לדרישות החוק והרגולציה, דרישות חוזיות וצרכים עסקיים.
2. ודאו כי הוחלו בפועל ספים (Bars) ורפים (Thresholds) עבור בקשות המוגשות ל-API בזמן נתון (Rate Limiting).
3. ודאו כי הגישה ל-API מתבצעת דרך API Gateway, וכי לא ניתן לבצע גישה ישירה ל-API.
4. ודאו באופן מדגמי את חסינות האסימונים שבהם נעשה שימוש, ואת עמידתם בדרישות תקינה מקובלות.
5. ודאו באמצעות בדיקות חוסן כי ה-API אינו מכיל חולשות מובנות (בדגש על חולשות לוגיות).
6. ודאו כי ניתן לבצע Discovery ל-API מ-Allowlist בלבד.
7. ודאו כי ניתן לבצע גישה ל-API בהתאם ל-Allowlist מוגדר.
8. ודאו כי לא ניתן לגשת לגרסת API ישנה יותר מזו שמוגדרת כברירת המחדל.
9. ודאו באמצעות צוות סגול (Purple Team) את חסינות ה-API ביחס לגרסה עדכנית של OWASP Top 10 API Security.
10. ודאו הזרקת HTTP Security Headers.
11. ודאו כי סוג האסימונים שבהם נעשה שימוש מספק מענה לדרישות האבטחה, תוך התאמה לסוג ה-API (SPA, Mobile, or Browser-Based).</t>
  </si>
  <si>
    <t>1. ודאו כי קיימים מודולי הגנה באמצעי האבטחה, וכי ברשותם רישיון מתאים ותקף.
2. ודאו כי הארכיטקטורה הארגונית מונעת אפשרות לגישה ישירה לאינטרנט. 
3. ודאו באופן מדגמי כי לא ניתן לגשת ישירות לאינטרנט מיעדי ההגנה.
4. ודאו באופן מדגמי כי לא ניתן לגשת לאתרים בעלי רמת אמון נמוכה.
5. ודאו באופן מדגמי כי לא ניתן להוריד מהאינטרנט סוגי קבצים שמדיניות הארגון אוסרת על הורדתם.
6. ודאו באופן מדגמי כי לא ניתן להוריד מהאינטרנט קובץ המדמה נוזקה, גם אם הוא מאוחסן באתר לגיטימי.
7. ודאו באופן מדגמי כי לא ניתן להוריד מהאינטרנט קובץ מוצפן, גם אם הוא מאוחסן באתר לגיטימי.
8. ודאו כי קיים מערך הלבנה בערוץ הכניסה.
9. ודאו באופן מדגמי כי לא ניתן לגשת למתחמים (Domains) ול-URIs\URLs בעלי רמת אמון נמוכה, וכי ה-Denylist מתעדכן באופן דינמי על סמך מודיעין סייבר.
10. ודאו באופן מדגמי כי לא ניתן לעקוף את אמצעי האבטחה באמצעות שימוש ב-Shortcut urls.</t>
  </si>
  <si>
    <t>15. הארגון וידא באופן רציף כי בדיקת היגיינה טכנולוגית של יעדי ההגנה מתבצעת על ידי גורם שאינו היעד עצמו (דוגמת ה-NAC היוזם פנייה באמצעות WMI/SSH ליעד ההגנה).
16. הארגון וידא באופן רציף כי יעדי ההגנה מממשים באופן אפקטיבי ויעיל עקרונות מקובלים ועדכניים לשינוי משטח תקיפה דינמי (MTD- Moving Target Defense).
17. הארגון וידא באופן רציף כי המידע ביעדי ההגנה מוצפן בעת מנוחה (At Rest).
18. הארגון וידא באופן רציף כי יעדי ההגנה מממשים באופן אפקטיבי ויעיל עקרונות מקובלים ועדכניים למניעה והונאה (Denial and Deception).
19. הארגון וידא באופן רציף כי יעדי ההגנה עושים שימוש במנגנונים טכנולוגיים מקובלים ועדכניים לשם וידוא מהימנות ומקוריות מערכת ההפעלה ורכיבי המשנה (דוגמת דרייברים) שהיא טוענת (Secure Boot).
20. הארגון וידא באופן רציף כי יעדי ההגנה עושים שימוש במנגנונים טכנולוגיים מקובלים ועדכניים לשם אכיפת   Application Allowlist (e.g. File Path, File size, Digital Signature or Publisher, Cryptographic Hash), וזאת ביחס ל-Baseline מאושר.
21. הארגון וידא באופן רציף כי הקבצים ביעדי ההגנה מהימנים ושלמים (FIM – File Integrity Monitor), וזאת ביחס ל-Baseline מאושר.
22. הארגון וידא באופן רציף כי יעדי ההגנה עושים שימוש במנגנונים טכנולוגיים מקובלים ועדכניים לשם אכיפת Hardware Specification Allowlist, וזאת ביחס ל-Baseline מאושר.
23. הארגון וידא באופן רציף כי יעדי ההגנה עושים שימוש במנגנונים טכנולוגיים מקובלים ועדכניים לשם אכיפת דרישות הקשחת המערכת (System Hardening), וזאת ביחס ל-Baseline מאושר.
24. הארגון וידא באופן רציף כי יעדי ההגנה עושים שימוש במנגנונים טכנולוגיים מקובלים ועדכניים לשם אכיפת דרישות הגדרות תצורה (System Configuration), וזאת ביחס ל-Baseline מאושר.
25. הארגון וידא באופן רציף כי יעדי ההגנה עושים שימוש במנגנונים טכנולוגיים מקובלים ועדכניים לשם אכיפת CLI Allowlist (e.g. PowerShell, Bash, Shell Scripting), וזאת ביחס ל-Baseline מאושר.
26. הארגון וידא באופן רציף כי יעדי ההגנה עושים שימוש בגרסה העדכנית ביותר של רכיבי תוכנה/קושחה (Software/Firmware), וכי הגרסה העדכנית של עדכוני האבטחה המומלצים להתקנה על ידי היצרן הותקנה בפועל באופן תקין.
27. הארגון וידא כי כשל/מעקף בקרת הגנה טכנולוגית מסוימת אינו מקנה לתוקף יכולת לעשות שימוש מוצלח באותה שיטת פעולה לעקיפת בקרת הגנה אחרת  (Design in-Depth).
28. הארגון וידא באופן רציף כי יעדי ההגנה אינם מכילים חולשות ידועות (Vulnerabilities).</t>
  </si>
  <si>
    <t>18. הארגון וידא כי ברשותו מיפוי של רכיבי התוכנה הקיימים ביעדי הגנה נכון ל"זמן אמת" (Real Time).
19. הארגון וידא כי ברשותו "חנות יישומים ואפליקציות" (App Store) המאפשרת למשתמש לבחור את רכיבי התוכנה הנדרשים. לאחר מכן, בכפוף לקבלת אישורים מתאימים, מותקן רכיב התוכנה ללא מעורבות יד אדם. כמו כן, יש לוודא כי קיים תהליך ארגוני לשם שמירה על עדכניות רכיבי התוכנה והתאמתם לצורכי הארגון.
20. הארגון וידא כי הוא מתיר הפעלה/הרצה של פקודות ופרמטרים של CLI , וזאת בהתאם ל-Allowlist.</t>
  </si>
  <si>
    <t>13. הארגון וידא כי ברשותו תהליך ממוכן לניהול זרימת העבודה (Workflow) לצורך מתן אישורים להתקנת תוכנה חדשה על יעדי ההגנה.
14. הארגון וידא כי הכנסת רכיב תוכנה חדש מחייבת קבלת אישור מוועדת ההיגוי להגנת מידע וסייבר.
15. הארגון וידא כי ברשותו מיפוי של רכיבי התוכנה הקיימים ביעדי הגנה הנכון ל"זמן אמת" (Real Time) או לכל הפחות נכון ל"קרוב לזמן אמת" (Near Real Time).
16. הארגון וידא כי ברשותו מערכת שליטה ובקרה מרכזית, המאפשרת הסרה מהירה ואפקטיבית של רכיבי תוכנה מיעדי ההגנה.
17. הארגון וידא כי הוא מתיר התקנה והפעלה של רכיבי תוכנה בהתאם ל-Allowlist.</t>
  </si>
  <si>
    <t>9. הארגון וידא כי הוא עושה שימוש בלוגים וב-APIs הזמינים כחלק משירות הענן לשם קבלת תמונת מצב ב"זמן אמת" לאיתור חריגות אבטחתיות, לקבלת יכולת תחקור בדיעבד ולזיהוי מגמות/טרנדים.
10. שימוש בשירותי פדרציה (Federation):
א. הארגון וידא כי תשתית ה-Federation שברשותו פועלת בגרסה העדכנית, לרבות עדכוני אבטחה אחרונים. יש לשים לב לנושא שרתי ה-IdP (Identity Providers).
ב. הארגון וידא כי תשתית ה-Federation הוטמעה בהתאם להמלצות ליישום (Best Practices) של יצרן הפתרון.
ג. הארגון וידא כי משתמשים בעלי הרשאות גבוהות אינם יכולים להשתמש בתשתית ה-Federation בעת גישה מחוץ לרשת הארגון. 
ד. הארגון וידא כי הוגדרה Allowlist של שרתי SP (Service Providers) / ספקי שירותים אשר שרתי ה-IdP (Identity Providers)  יעבדו מולם, ולהפך.
ה. הארגון וידא כי הוא עושה שימוש בטכנולוגיה עדכנית ומקובלת לצורך ניהול מנגנון ה-Tokens.
ו. הארגון וידא כי הוא משתמש בחשבונות ייעודים לצורך ניהול תשתית ה-Federation.
ז. הארגון וידא כי גישה לתשתית ה-Federation הארגונית מחייבת מעבר דרך גורם מתווך (Proxy) הכולל יכולות הגנה מפני תקיפות סייבר שכיחות.</t>
  </si>
  <si>
    <t>1. הארגון וידא כי הוטמע מערך השחרה ייעודי להסרת תכנים לא מורשים בממשקים השונים, וזאת לפני הוצאת המידע לרשת בעלת רמת אמון נמוכה (Trust Level) מזו של רשת המקור.
2. הארגון וידא כי הגדיר מדדים לבחינת איכות ההשחרה, תוך שקלול פרמטרים מקובלים שהתקבלו מיכולות הסינון של מערך ההשחרה.
3. הארגון וידא כי מספר המורשים לבצע פעולות השחרה הוא נמוך ככל הניתן.
4. הארגון וידא כי בסיום תהליך ההשחרה מתבצע תהליך מחיקה בלתי הדיר של הקבצים במערך ההשחרה. 
5. הארגון וידא כי לפני העתקת מידע למדיה נתיקה מתבצע אתחול/שכתוב תוכן למצב אפס (Zeroing).
6. הארגון וידא כי מדיה אופטית היא היעד המועדף להוצאת קבצים בתום תהליך ההשחרה.
7. הארגון וידא כי מערך ההשחרה יכול לפרק ולהרחיב קבצים (CDR - Content Disarm &amp; Reconstruction), לרבות:
א. הסרה/החלפה של מטא-דאטה (Metadata).
ב. הסרת אובייקטים (Embedded Objects) הנמצאים בקובץ (דוגמתPower Shell, SQL Queries, Macrocode, Links).
ג. הארגון וידא כי קובץ תמונה "מרוטש" וממומר לקובץ חדש, הכולל סטייה רנדומלית של 0.08% עד 0.3%  ממבנה התמונה המקורי.
8. הארגון וידא כי מערך ההשחרה מאפשר אכיפת חוקים ייעודיים באמצעות Regular Expresiones, Wild cards ושיטות סטנדרטיות אחרות.
9. הארגון וידא כי מערך ההשחרה יכול לזהות באופן חד-ערכי גודל של  קובץ, בהתאם ל-Allowlist.
10. הארגון וידא כי מערך ההשחרה תומך בפורמטים מקובלים, וכי הוא מבצע תיקוף לסוג הקובץ (True Type)  ביחס לסיומת שלו.
11. הארגון וידא כי מודול האכיפה מבצע מחיקה מלאה של מדיית האחסון לפני הכתיבה.</t>
  </si>
  <si>
    <t xml:space="preserve">1. ודאו את עדכניות נוהלי העבודה.
2. ודאו כי קיים תהליך ממוכן להטמעה ודיווח.
3. ודאו את אפקטיביות הבקרות המפצות.
4. ודאו כי לפחות 95% מיעדי ההגנה מעודכנים בהתאם למדיניות הארגון, וזאת בעזרת דו"חות מצאי/מלאי שמקורם באמצעי ממוכן.
5. בחנו את היקף ההטמעה בפועל של עדכוני האבטחה ביעדי ההגנה, וזאת באמצעות שימוש במדגם מייצג.
6. ודאו כי תהליך ניהול ההחרגות מתבצע בשיתוף הנהלת הארגון, וכי ההנהלה אישרה בכתב את קבלת הסיכונים הנגזרים.
7. ודאו כי מערך הניטור מציג את מדרג הסיכון של יעד ההגנה ביחס לרמת העדכניות של רכיבי התוכנה.
8. ודאו כי תהליך עדכוני האבטחה משולב בתהליכים ארגוניים משיקים, דוגמת ניהול שינויים ופיתוח מאובטח.
9. ודאו באופן מדגמי כי עדכוני האבטחה הוטמעו בהתאם להמלצות היצרן, וכי הם מספקים את האפקטיביות הנדרשת.
10. ודאו כי היקף הפריסה של העדכונים מותאם למצאי יעדי ההגנה האמיתי בארגון.
11. ודאו כי תהליך החלת עדכוני האבטחה מספק מענה לעדכון מכונות וירטואליות (Virtual Machines)  בתרחישי השימוש השונים, לרבות כאשר המכונה וירטואלית במצב Orphaned, Offline, Suspend.
12. ודאו כי תהליך החלת עדכוני האבטחה מספק מענה לעדכון יעדי הגנה פיזיים במצב כבוי (Offline). ניתן לשלב שימוש ב-WOL (Wake of Lan) או שיטה אחרת.
13. ודאו כי תהליך החלת עדכוני האבטחה מספק מענה לעדכון יעדי הגנה חדשים וזאת לפני שילובם בסביבת היצור.
14. ודאו כי ב- 99%  לפחות מיעדי ההגנה החשופים לאינטרנט עודכן עדכון האבטחה האחרון וזאת ביחס לחודש אחורה.
15. ודאו כי ב- 95%  לפחות מיעדי ההגנה שאינם חשופים לאינטרנט עודכן עדכון האבטחה האחרון וזאת ביחס לחודש אחורה. </t>
  </si>
  <si>
    <t>1. הארגון וידא כי ביצע לפחות אחת לשנה מיפוי של יעדי ההגנה, הכולל:
א. תשאול הגורמים הרלוונטיים, דוגמת צוות ה-IT, צוות הייצור והבקרה, מנהלי מאגרי המידע ומנהלי קווי העסקים.
ב. מיפוי ידני ו/או ממוכן תוך שימוש באמצעים ממוכנים מקובלים.
ג. ספירת מלאי פיזית.
ד. בחינת ה-BIA, תרשים ארכיטקטורה ומסמכים רלוונטים אחרים.
ה. מיפוי נתיבים קריטיים (ערוצי גישה לוגיים ופיזיים מ/אל יעדי ההגנה).
ו. הגדרה של כללי שימוש מקובלים (Acceptable Use Policies).
ז. הגדרה של בעלי עניין (Stakeholders) וגורם עסקי אחראי.
ח. מצאי חומרה ותוכנה הקיים בכל יעד הגנה.
2. הארגון וידא כי קבע את רמת הסיכון הנובעת מכל יעד הגנה.
3. הארגון וידא כי בעת סיום השימוש המורשה ביעד הגנה, הוא מוחזר אליו.</t>
  </si>
  <si>
    <t>ID.AM-2,</t>
  </si>
  <si>
    <t>1. יש לשים לב כי השיטות והאמצעים לזיהוי יעדי הגנה בסביבת IT אינם זהים תמיד לאלו שבהם נעשה שימוש בסביבת OT. בין הסיבות לכך ניתן למנות שוני בפרוטוקולים ובשיטות העבודה של יעדי ההגנה.
2. רמת הסיכון של יעד ההגנה צריכה להתעדכן תדיר בהתאם למצב בפועל, וזאת תוך שימוש במודיעין סייבר ככלי תומך החלטה.
3. בסביבת OT חובה לבצע את מיפוי יעדי ההגנה בשיתוף מנהל הבקרה והייצור.
4. יש לוודא כי מפת הסיכונים של כל יעד הגנה כוללת השוואה בין המצב הקיים לבין המצב הרצוי (Gap Analysis).
5. לפי תקנה 2 לתקנות אבטחת מידע, על בעלי מאגרי מידע לנהל מסמך הגדרות מאגר ולבחון את הצורך בעדכונו אחת לשנה לפחות. 
6. יש חשיבות למיפוי יחסי התלות בין יעדי ההגנה לבין עצמם, ובינם לבין תהליכים עסקיים.
7. יש לוודא כי מיפוי יעדי ההגנה כולל התייחסות לנושא סיווג מסמכים והגנה על מידע.
8.  יש לתת את הדעת על כך שרמת הסיכון מיעד הגנה עולה ככל שתלויים בו יותר תהליכים עסקיים/יעדי הגנה אחרים.
9. יש לתת את הדעת על יעדי הגנה שאינם מזוהים תמיד כ-IT, ואשר הארגון משתמש בהם באופן תדיר, כמו דף ברשת חברתית שמנהל צוות הדוברות של הארגון או גורם חיצוני.
10. יש לשים לב כי חלק ממערכות ה-SIEM מכילות מודול המאפשר ניתוח של של רמת הסיכון הנובעת מפעילות יעד הגנה/משתמש בזמן אמת.
11. יש להתייחס ליעדי הגנה אשר נמצאים או מאוחסנים בגורמי צד-שלישי, דוגמת חברת אירוח אתרים.</t>
  </si>
  <si>
    <t>תאימות/ציות (Compliance) לדרישות החוק, לרגולציה, לדרישות חוזיות ולצרכים עסקיים</t>
  </si>
  <si>
    <t>ID.BE-1, ID.BE-2, ID.BE-3, ID.BE-4, ID.BE-5, ID-GV-3,</t>
  </si>
  <si>
    <t xml:space="preserve">1. ודאו כי ברשות הארגון מדיניות הקשחה למערך תקשורת הנתונים, המותאמת למתודות מקובלות ועדכניות בתחום.
2. ודאו באופן מדגמי כי הארגון ביצע הקשחה לרכיבי מערך תקשורת הנתונים.
3. ודאו באופן מדגמי כי לשם הבדלה בין סביבות/רמות רגישות הארגון משתמש בסימון שונה של מחברים במערך תקשורת הנתונים.
4. ודאו כי יצרן מערך תקשורת הנתונים ביצע הפרדה בין שכבת הניהול (Management Plane), שכבת תעבורת המשתמשים (Data Plane) ושכבת השליטה (Control Plane).
5. בארגונים שבהם רמת הסיכון גבוהה, יש לוודא כי אין זהות בין יצרן הפתרון המשרת את שכבת הניהול (Management Plane), יצרן פתרון שכבת תעבורת המשתמשים (Data Plane) ויצרן פתרון שכבת השליטה (Control Plane).
6. ודאו באמצעות צוות סגול כי לא ניתן לעקוף את מערך בקרת הגישה לרשת הארגון, וזאת על ידי שימוש ב-HUB המחובר ליעד הגנה לגיטימי ולציוד תוקף.
7. ודאו כי לטובת ניטור מערך תקשורת הנתונים הארגון עושה שימוש במערכת NCCM (Network Configuration And Change Management ) או NSM (Network and Security Manager) או אמצעי חלופי.
8. ודאו באופן מדגמי כי הארגון משתמש בגרסה עדכנית של רכיבי תוכנה (דוגמת קושחה ו-Boot Loader).
9. ודא באופן מדגמי כי לא ניתן להתחבר לממשקי הניהול של מערך תקשורת הנתונים מכתובות IP לא מורשות.
10. ודאו כי הארגון החליף את התעודות הדיגיטליות שהוגדרו כברירת המחדל בתעודות דיגיטליות חדשות מטעמו.
11. ודאו כי פרוטוקולי ניתוב דינמיים עושים שימוש בשיטות הגנה מקובלות ועדכניות.
12. ודאו כי ברשות הארגון תרשים עדכני של יעדי ההגנה והפרוטוקולים שבהם נעשה שימוש.
13. ודאו באופן מדגמי כי מערך תקשורת הנתונים שומר על יציבות במקרה של שינויים חריגים ברשת.
14. ודאו כי קיימת יתירות במערך תקשורת הנתונים.
15. ודאו באופן מדגמי עמידות בפני  עומסים.
</t>
  </si>
  <si>
    <t xml:space="preserve">1. ודאו את עדכניות ונכונות תרשים הארכיטקטורה של תשתית התקשוב.
2. ודאו הטמעת אמצעי האבטחה בהתאם לרמות היישום.
3. ודאו באמצעות צוות סגול כי לא קיימים נתיבי יציאה/כניסה לא מורשים.
4. ודאו באופן מדגמי עמידה במדדים מקובלים לגילוי, זיהוי וסיכול פעילות רשתית חריגה.
5. ודאו כי מצאי יעדי ההגנה זהה למידע המופיע במאגרי מידע שונים הקיימים בארגון דוגמת IAM\AD\DHCP\DNS\ERP.
6. ודאו כי מערך הניטור המרכזי מציג את הממצאים בהתאם ל-MITRE ATT&amp;CK בגרסתה העדכנית.
7. ודאו כי מערך הניטור המרכזי מציג את הממצאים בהתאם ל-MITRE D3FEND Matrix ו-MITRE ATT&amp;CK בגרסתם העדכנית.
8. ודאו כי לטובת ניטור מערך תקשורת הנתונים הארגון עושה שימוש במערכת NCCM (Network Configuration And Change Management ) או NSM (Network and Security Manager) או אמצעי חלופי.
</t>
  </si>
  <si>
    <t>1. יש לפנות לבקרות "הגנה פיזית וסביבתית", "EMP" ו"ארכיטקטורת 'אפס אמון' (Zero-Trust Architecture) בעת גישה לרשת הארגון" - בדגש על שיטות אימות התקני תקשוב ובקרת חומת אש (FW).
2. יש לוודא כי ההגדרות ביעדי ההגנה מורות להם למשוך עדכונים משרת ארגוני ולא מהאינטרנט.
3. בעת עבודה עם Hypervisor יש לוודא כי הוקצה כרטיס רשת ייעודי לביצוע פעולות ניהול.
4. יש להעדיף רכישת אמצעי אבטחה עם כרטיס ייעודי פיזי המוקדש לניהול.
5. יש לשים לב להגנה על ממשקי ניהול, לשימוש בהצפנות מקובלות ועדכניות וכו'.
6. יש להגדיר, לתעד וליישם מדיניות הקשחה למערך תקשורת הנתונים, אשר מספקת מענה לדרישות הגנת המידע והסייבר של הארגון.
7. יש לתת את הדעת כי ישנו צורך לנטר באופן רציף את תקינות הפעילות של ממשקי הגישה לרשתות ציבוריות, ולא רק תקינות הפעילות של ממשקים פנים ארגוניים. 
8. ארגונים שמנהלים את מערך תקשורת הנתונים שלהם (דוגמת תשתית ה-BGP) באמצעות גורם חיצוני (דוגמת ISP) צריכים לעגן את דרישות האבטחה בחוזה ההתקשרות עם הספק.
9. יש לוודא כי לטובת ניטור מערך תקשורת הנתונים הארגון עושה שימוש במערכת NCCM (Network Configuration And Change Management ) או NSM (Network and Security Manager) או אמצעי חלופי.</t>
  </si>
  <si>
    <t>ID.RA-1, ID.RA-2, ID.RA-3, ID.RA-4, ID.RA-5, ID.RA-6,</t>
  </si>
  <si>
    <t xml:space="preserve">1. ודאו כי ברשות הארגון מדיניות ונוהלי עבודה לגילוי וזיהוי פגיעויות/חולשות ברשת הארגון (Vulnerability Scanning), אשר עודכנו ואושרו בשנה האחרונה על ידי ההנהלה.
2. ודאו כי הנוהל/המדיניות מכילים את הנושאים הבאים:
א. הגדרת תפקידים ואחריות לביצוע משימות.
ב. יישום ותפעול מערך ניהול חולשות וחשיפות אבטחה, פנימי או חיצוני.
ג. הפעלת כלים הסוקרים את הרשת ושימוש בסוקרים.
ד. ביצוע  מבדקי חוסן תשתיתיים ואפליקטיביים.
ה. תהליכי אסקלציה והחרגות.
ו. ביצוע תהליכי תיקון בעת הצורך, לרבות טיפול בדיווחים ממקורות חיצוניים.
3. ודאו כי הארגון משתמש בממצאי מודיעין סייבר עדכניים בתהליך קבלת ההחלטות.
4. ודאו כי ברשות הארגון מתודולוגיה מסודרת למיפוי עדכני של ה-IOEs הקיימים בכל יעד הגנה, בקבוצת יעדי הגנה בעלי מאפיינים דומים, וכלל יעדי ההגנה.
</t>
  </si>
  <si>
    <t>ID.RA-2,</t>
  </si>
  <si>
    <t>ID.BE-1, ID.BE-2, ID.BE-3, ID.BE-4, ID.BE-5, ID-GV-4, ID.RM-1, ID.RM-2, ID.RM-3</t>
  </si>
  <si>
    <t>ID.AM-1, ID.AM-2, ID.AM-3, ID.AM-4, ID.AM-5, ID.AM-6,
ID.SC-1, ID.SC-2,</t>
  </si>
  <si>
    <t xml:space="preserve">PR.AC-1, PR-AC-4, PR-AC-6, PR.AC-7, </t>
  </si>
  <si>
    <t xml:space="preserve">PR.AT-1, PR.AT-2, PR.AT-3, PR.AT-4, PR.AT-5, </t>
  </si>
  <si>
    <t>1. ודאו באופן מדגמי כי התיק האישי של המשתמש כולל תיעוד של השלמת הדרכות בהתאם לתדירות שאישרה הנהלת הארגון.
2. ודאו באופן מדגמי כי הגדרת התפקיד של המשתמשים כוללת מחויבות לנושא הגנת מידע וסייבר.
3. ודאו כי תוכני ההדרכות מותאמים לקהלי יעד רלוונטיים, וכי חומר ההדרכות עדכני וכולל התייחסות לאירועים רלוונטיים.
4. ודאו כי קיימים אמצעים טכנולוגיים תומכים, בהתאם לעומק היישום.
5. ודאו כי ברשות הארגון מיפוי עדכני של בעלי עניין (Stockholders) אשר נדרש לוודא כי רמת המודעות שלהם לאיומי סייבר ודרכי ההתמודדות הינה נאותה. בכלל זה יש להתייחס לגורמים חיצוניים, דוגמת ספקים וגורמי מיקור חוץ.</t>
  </si>
  <si>
    <t>1. יש לבחון את: רמת האפקטיביות של ההדרכות; רמת הכיסוי של הנושאים הנלמדים; והתאמת המסרים לאופי הארגון, המגזר והסביבה העסקית שבהם פועל הארגון. 
2. יש לבחון את: שיטת המעקב אחר נוכחות העובדים בהדרכות; הטמעה אפקטיבית של ההדרכות בתהליכי משאבי האנוש בארגון; שילוב אמצעים מתקדמים דוגמת מבחנים אינטראקטיביים; חיבור התכנים לאירועים שהתרחשו בארץ ובעולם; עדכניות התכנים; ורמת הידע של העובדים בארגון.
3. יש לוודא כי ברשות הארגון מיפוי עדכני של בעלי עניין (Stockholders) אשר נדרש לוודא כי רמת המודעות שלהם לאיומי סייבר ודרכי ההתמודדות הינה נאותה. בכלל זה יש להתייחס לגורמים חיצוניים, דוגמת ספקים וגורמי מיקור חוץ.</t>
  </si>
  <si>
    <t>בארגון קיים תהליך להגברת מודעות העובדים (לרבות גורמים חיצוניים דוגמת עובדי מיקור חוץ וספקים) לנושא הגנת המידע והסייבר</t>
  </si>
  <si>
    <t>מודעות עובדים להגנת מידע וסייבר
(Security Awareness)</t>
  </si>
  <si>
    <t>אמצעים ושיטות להשמדה של לוגרים (מצעי אחסון, אוגרים וכד'), מידע דיגיטלי ורשומות פיזיות המכילים מידע רגיש/חסוי בסוף מחזור החיים (גריטה וגריסה)</t>
  </si>
  <si>
    <t>PR.DS-5,</t>
  </si>
  <si>
    <t>PR.DS-1, PR.DS-2,</t>
  </si>
  <si>
    <t xml:space="preserve">PR.DS-6, PR.DS-8, </t>
  </si>
  <si>
    <t>PR.AC-5,</t>
  </si>
  <si>
    <t>PR.DS-7,</t>
  </si>
  <si>
    <t>PR.IP-2,</t>
  </si>
  <si>
    <t>PR.IP-3,</t>
  </si>
  <si>
    <t>PR.IP-3,PR.DS-7, PR.IP-3,</t>
  </si>
  <si>
    <t>PR.IP-4,</t>
  </si>
  <si>
    <t>PR.DS-3,PR.IP-6,</t>
  </si>
  <si>
    <t>הארגון וידא כי הגדיר והטמיע מדיניות ונוהלי עבודה לגבי הגנה פיזית וסביבתית, הכוללת:
1. מיפוי דרישות חוקיות, רגולטוריות וחוזיות וכן צרכים עסקיים, העוסקים בהגנה פיזית וסביבתית (לרבות דרישות פיזיות וסביבתיות לשם תפעול תקין של יעדי ההגנה).
2. מיפוי של יעדי הגנה פיזיים וסביבתיים, ושל יחסי התלות שלהם עם מערכות התקשוב.
3. מיפוי דרכי כניסה/יציאה פיזיות ממתחמי העבודה השונים.
4. סיווג מתחמי העבודה בהתאם למתודולוגיה מקובלת להערכת סיכונים, הכוללת התייחסות למדדים מקובלים (דוגמת סיווג המידע שמותר לאחסון בכל מתחם, היקף המידע מכל רמת סיווג שמותר לאחסון בכל מתחם, פרטי מנהל מאגר המידע, סמכות שיפוטית, סוג יעדי ההגנה שניתן להכניס לכל מתחם, הגורם המורשה להכניס את הציוד למתחם, זהות בעלי הציוד).
5. תהליך ניהול הסיכונים הארגוני כולל התייחסות לתרחישים בהתאם להנחיות משטרת ישראל, וכן המלצות ליישום בקרות הגנה.
6. קיומה של מדיניות שולחן נקי (Clean Desk).
7. התמודדות עם אסונות סביבתיים.
7. קידום מודעות העובדים (User Awareness) להתמודדות עם איומים שכיחים (דוגמת כניסת גורם לא מורשה בעקבות כניסת מורשה).
8. הטמעת אמצעי אבטחה לשם ביצוע ההגנה הפיזית.
9. הטמעת בקרות סביבתיות דוגמת כיבוי אש, חיישני חום/לחות וכו'. 
10. הגדרת נוהלי עבודה לעובדים וספקים.
11. הגדרת נוהלי עבודה להתמודדות עם מצבי חירום והתרעות, לרבות ריתוק עובדים בחירום.
12. מינוי פונקציה ארגונית האחראית על ההגנה הפיזית והסביבתית.
13. הסרת מידע רגיש/חסוי ממצעי אחסון ורשומות פיזיות.
14. קבלת אישור ממונה בטיחות בהתאם לכל דין.
15. סיווג רשומות בקרת הכניסה כ"מידע חסוי", ובהתאם החלה של בקרות הגנה מקובלות.
16. עריכת בדיקות אקראיות כדי לוודא שרשומות הבקרה משקפות את הנעשה בפועל.
17. ניהול מחזור החיים של יעדי ההגנה הנכנסים/מוצאים מהארגון, לרבות התייחסות לאורחים ולשרשרת האספקה.
18. יישום מדיניות "שולחן נקי" (Clear Desk) ו"שולחן עבודה נקי" (Clear Screen Policy).
19. התמודדות עם אסונות סביבתיים.
20. הגנה על יעדי הגנה המאוחסנים מחוץ לחצרות הארגון.</t>
  </si>
  <si>
    <t>1. הארגון וידא כי הדירקטוריון דן בנושאים הבאים ואישר אותם לפחות פעם בשנה:
א. מסמך מדיניות הגנה בסיסי/לא פרטני (דוגמת קווים כללים לתפיסת הגנת מידע וסייבר, ללא התייחסות לתהליכים ארגוניים ברמה הפרטנית).
ב. עמידה ביעדי ציות בתחום הגנת המידע לפי דרישות החוק, הנחיות הרגולציה דרישות חוזיות וצרכים עסקיים.
ג. פרופיל הסיכונים הארגוני (Risk Profile) והגדרת תיאבון הסיכון.
ד. חתירה לשיפור מתמיד (Continual Improvement) בהגנת מידע וסייבר.
ה. שמירה על עדכניות טכנולוגיות בהתאם לשינויים בתחום.
ו. בחינת אפקטיביות מערך ההגנה בהתאם למדדים מקובלים.</t>
  </si>
  <si>
    <t>ID-GV-1, ID-GV-2, ID-GV-3, ID-GV-4, PR.IP-7,PR.IP-8,</t>
  </si>
  <si>
    <t>PR.IP-9, PR-IP-10,</t>
  </si>
  <si>
    <t>PR.IP-11,</t>
  </si>
  <si>
    <t>PR.MA-1,</t>
  </si>
  <si>
    <t>1. מערך ההתחברות מרחוק הוא יעד תקיפה מועדף במרחב הסייבר.
2. הגדרה למושג "התחברות מרחוק": גישה של יעד הגנה מסוים ליעד הגנה הנמצא במיקום שונה (לוגי/פיזי), תוך הבנה שקיימת רמת אמון (Trust) נמוכה בין שני הרכיבים. בין הסיבות ליצירת מצב מסוג זה: רמת היגיינה שונה בין הסביבות, גורם ניהול שונה למקור וליעד, רמות סיכון שונות.
3. פתרונות הגנה מציעים פעמים רבות שימוש בפרופיל עבודה לפי מאפייני המשתמש ויעד ההגנה.
4. יש לוודא כי ה-Session Key מוחלף כל 30 דקות, וזאת באמצעות שרת אכיפת המדיניות (דוגמת שרת ה-SASE\VPN\SSL VPN\AP).
5. יש לוודא הפעלה של מנגנון PFS (Perfect Forward Secrecy), וזאת באמצעות שרת אכיפת המדיניות (דוגמת שרת ה-SASE\VPN\SSL VPN\AP).
6. בגישה ישירה מרחוק ליעד הגנה יש למנוע Administrator Login (ניתן לבצע גם בלינוקס על ידי ביטול PermitRootLogin).
7. בעת עבודה מרחוק אין לאפשר ביצוע שינוי הגדרות תצורה/הגדרות אבטחה וביצוע פעולות רגישות.
8. מומלץ למנוע שימוש ברשת אלחוטית בעת גישה מרחוק ליעדי הגנה, בדגש על יעדי הגנה המאחסנים/המעבדים מידע מסוג IP/PII/PHI/CHI וכו' או שרתי תהליכים קריטיים.
9. לפני הפעלת יכולת איכון של פעילות משתמש יש לקבל לגביה התייחסות מהיועץ המשפטי של הארגון.
10. יש להעדיף מתן גישה מרחוק באמצעות Private APN, כך שפעילות יעדי ההגנה לא תהיה חשופה לאינטרנט.
11. יש לספק מענה להתחברות מרחוק במקרה שתשתית האינטרנט אינה זמינה.
12. יש לוודא החלת בקרות הגנה מקובלות, דוגמת:
א. בדיקת היגיינה טכנולוגית של יעד הגנה (Technology Hygiene) בעבודה מול רשת הארגון.
ב. אמצעי לרישום, אימות ואכיפת מדיניות ארגונית.
ג. ארכיטקטורת אפס אמון.
13. בארגונים השואפים להשיג רמת אבטחה גבוהה, מומלץ כי הציוד הביתי של המשתמש יכלול אמצעי הגנה מקובלים, דוגמת IPS ושימוש במערכת הפעלה עדכנית שאין בה חולשות ידועות, ואשר הוקשחה בהתאם למקובל.
14. יש לתת את הדעת לנושא קבלת תמיכה מרחוק ע"י ספקים חיצוניים וכד', וזאת לנוכח העובדה כי הדבר מגדיל את משטח התקיפה באופן משמעותי.</t>
  </si>
  <si>
    <t>PR.AC-3,PR.MA-2,</t>
  </si>
  <si>
    <t xml:space="preserve">1. ודאו כי מנגנונים שהטמיע הארגון פועלים באופן תקין ונאות.
2. קבלו את הגדרת תצורת המערכת וודאו כי פורטים, פונקציות ופרוטוקולים שאינם נדרשים להפעלת המערכת חסומים.
3. ודאו כי רשימת יעדי ההגנה, השרתים ותחנות העבודה שהוחרגו מתצורה מוקשחת נסקרת ומאושרת אחת לשנה.
4. ודאו כי מבוצע ניתוח מעמיק של הפגיעויות שאיתר כלי הניהול המרכזי של תחנות העבודה והשרתים, וכי תוצאות הניתוח מתוקשרות ומתועדות.
5. ודאו באמצעות בדיקות מדגמיות כי לאחר שינוי הגדרת תצורה הארגון מסוגל להחזיר אותן לתצורתן הקודמת לפי הצורך. 
6. ודאו באופן מדגמי כי ניתן לבצע שחזור מוצלח של הגדרות תצורה אקראיות ביעדי הגנה.
7. ודאו באופן מדגמי כי ברשות הארגון תיעוד פרטני של היסטוריית השינויים בהגדרות התצורה של יעדי ההגנה.
8. ודאו באופן מדגמי כי הגדרות התצורה אינן מכילות מידע רגיש/חסוי, דוגמת סיסמאות.
9. ודאו כי קיים מידור המונע גישה של לא מורשים לגיבוי הגדרות התצורה.
10. ודאו כי הארגון אוכף אורך חיים מינימלי (Retention Time), כך שהגדרות התצורה המגובות לא יימחקו/ישונו עקב טעות אנוש או סיבה אחרת.
11. ודאו כי ברשות הארגון מערכת שו"ב מרכזית לניהול הגדרות תצורה.
12. ודאו כי בסיום החלת הגדרות תצורה יוסרו קבצים זמנים (Temp Files) מיעדי ההגנה.
13. ודאו כי לטובת ניהול הגדרות תצורה הארגון עושה שימוש במערכת SLCM (Security Lifecycle Config Management) או אמצעי חלופי.
</t>
  </si>
  <si>
    <t>PR.PT-1,</t>
  </si>
  <si>
    <t>PR.DS-5, PR.PT-2,</t>
  </si>
  <si>
    <t>PR.DS-6, PR.DS-8, PR.IP-1, PR.PT-3,</t>
  </si>
  <si>
    <t>PR.PT-4,</t>
  </si>
  <si>
    <t>PR.AC-5, PR.PT-4,</t>
  </si>
  <si>
    <t>PR.DS-3, PR.DS-4, PR.PT-5,</t>
  </si>
  <si>
    <t>PR.PT-1, DE.AE-3,</t>
  </si>
  <si>
    <t>DE.AE-5,</t>
  </si>
  <si>
    <t>DE.AE-1, DE.CM-1,</t>
  </si>
  <si>
    <t>DE.CM-1,</t>
  </si>
  <si>
    <t>PR.AC-5, PR.PT-4, DE.CM-1,</t>
  </si>
  <si>
    <r>
      <rPr>
        <b/>
        <sz val="12"/>
        <color theme="1"/>
        <rFont val="Calibri"/>
        <family val="2"/>
      </rPr>
      <t>ניתוח/אנליזה של תהליכי ייצור ובקרה</t>
    </r>
    <r>
      <rPr>
        <sz val="12"/>
        <color theme="1"/>
        <rFont val="Calibri"/>
      </rPr>
      <t xml:space="preserve"> - הארגון וידא כי הטמיע מערך המגלה ומזהה תקלות וחריגות שישנן בתהליכי הייצור והבקרה השונים, וזאת במטרה לזהות פעילות חשודה אשר עשויה להעיד על קיומה של תקיפת סייבר
(בקרה זו מרחיבה את בקרות הניטור הנדרשות ליישום, ולפיכך יש להסתכל עליה כתוספת מעולם ה-IT)</t>
    </r>
  </si>
  <si>
    <t>PR.AC-2,PR.IP-5, DE.CM-2, DE.CM-3,</t>
  </si>
  <si>
    <t>PR.AC-2, DE.CM-2,DE.CM-3,</t>
  </si>
  <si>
    <t>DE.CM-3,</t>
  </si>
  <si>
    <t>DE.CM-4,</t>
  </si>
  <si>
    <t>1. יש לפנות לבקרת מניעה והתמודדות עם קוד זדוני/נוזקות (Malware).
2. על הארגון להטמיע מערכת EMM (Enterprise Mobility Management) לצורך ניהול מרכזי של מכשירים ניידים מקומיים ומרוחקים, וזאת תוך החלת המודולים הבאים לכל הפחות: 
א. MDM (Mobile Device Management) אשר אחראי לניטור, ניהול והגנה, כגון אכיפת שימוש ב- PIN/סיסמה, נעילת המכשיר למניעת גישה בלתי מורשית, מעקב אחר מיקום ופעילות מכשירים, שליפת מידע ומחיקת מידע המאוחסן במכשיר.
ב. MAM (Mobile Application Management) אשר מטרתו להטמיע, לנהל ולהגן על אפליקציות במכשירים ניידים ביעדי ההגנה וההפעלה שלהם, כגון שמירת אפליקציות מאושרות בחנות ארגונית פרטית, הגבלת הגישה לאפליקציות, העברה ושמירה של אפליקציות באזור מבודד ומוצפן במכשיר, בדיקת אפליקציות שפותחו באופן חיצוני, הגדרות תצורה סטנדרטיות וביצוע עדכונים שוטפים לאפליקציות ושמירת גרסתן האחרונה.
ג. MCM (Mobile Content Management) אשר מטרתו לאפשר אחסון, שיתוף והגנה על קבצים או תוכן אחר הקיים במכשיר הנייד, כגון אכיפת מדיניות אחסון, מתן הרשאות גישה למידע ומניעת דלף מידע.
3. ניתן לאכוף את הדרישה להצפנת מידע במנוחה (At Rest) על ידי החלת Policy מתאים באמצעות ה-MDM (Mobile Device Management) .
4. יש לוודא כי פתרונות האבטחה מספקים מענה להגנה על מידע המאוחסן על גבי כרטיסי אחסון חיצוניים, דוגמת SD Card.
5. יש לוודא כי הדרכות המודעות לעובדים כוללות סקירה של איומים הנובעים משימוש במטען חשמלי וב-Wi-Fi ציבורי (לרבות בבית מלון וכדומה).</t>
  </si>
  <si>
    <t>DE.CM-5,</t>
  </si>
  <si>
    <t>PR.DS-1, PR.DS-2 ,DE.AE-5,</t>
  </si>
  <si>
    <t>PR.MA-2, DE.CM-6,</t>
  </si>
  <si>
    <t>ID.RA-1, ID.RA-2, ID.RA-3, ID.RA-4, ID.RA-5, ID.RA-6, PR.IP-12, DE.CM-8,</t>
  </si>
  <si>
    <t>PR.PT-1, DE.AE-1, DE.AE-2, DE.AE-3, DE.AE-4, DE.CM-2, DE.CM-3, DE.CM-7,</t>
  </si>
  <si>
    <t>DE.CM-3, DE.CM-7,</t>
  </si>
  <si>
    <t>DE.DP-1,DE.DP-2, DE.DP-3, DE.DP-4, DE.DP-5,</t>
  </si>
  <si>
    <t>PR.IP-9, PR-IP-10, RC.RP-1, RC.IM-1, RC.IM-2, RC-CO-1, RC-CO-2, RC-CO-3</t>
  </si>
  <si>
    <t>RS.AN-1,</t>
  </si>
  <si>
    <t>1. ודאו כי קיימת לארגון תוכנית עדכנית לטיפול באירוע הגנת מידע וסייבר.
2. ודאו כי קיימת התייחסות בתוכנית לטיפול באירוע הגנת מידע וסייבר לקווי העסקים השונים, רמות סיכון, השפעות רוחביות אפשריות וכד'.
3. ודאו כי פרוטוקול הדיון מעיד כי הנהלת הארגון אישרה משאבים נאותים לקידום תוכנית לטיפול באירוע הגנת מידע וסייבר. 
4. ודאו כי קיימת התייחסות להון האנושי הנדרש ורמת הידע בתחום לכל גורם שהוגדר כחלק מצוות המטפל באירוע. 
5. ודאו כי הארגן מינה בעל תפקיד האחראי למימוש ומעקב אחר תוכנית לטיפול באירוע הגנת מידע וסייבר . 
6. ודאו כי לפחות אחת בשנה ועדת היגוי להגנת מידע וסייבר מבצעת מעקב אחר מימוש תוכנית לטיפול באירוע הגנת מידע וסייבר.
7. ודאו כי תוכנית לטיפול באירוע הגנת מידע וסייבר נגזרת מתוכנית המשכיות עסקית של הארגון.
8. ודאו כי ברשות הארגון יכולת אפקטיבית לעקיבות (Traceability) אחר הפעולות אשר התבצעו במרחב הסייבר.
9. ודאו כי ברשות הארגון יכולת אפקטיבית לבחינת אפקט הנזק.
10. ודאו כי ברשות הארגון יכולת אפקטיבית לביצוע פעולות DFIR (Digital Forensics and Incident Response).
11. ודאו כי ברשות הארגון יכולת אפקטיבית לקבל מידע/פניות אודות אירועי הגנת מידע וסייבר מגורמי פנים וחוץ.</t>
  </si>
  <si>
    <t>4. הארגון וידא כי ברשותו תוכנית תגובה לניהול אירועי הגנת מידע וסייבר הכוללת בין השאר התייחסות לנושאים הבאים:
א. יכולת לימוד פעילות תוקף בסביבה מבודלת המדמה את הסביבה האמיתית של הארגון.
ב. יכולת אפקטיבית ועצמאית בעיקרה לביצוע פעולות DFIR (Digital Forensics and Incident Response) על בסיס 24/7.
ג. קיומו של MOU (Memorandum of Understanding) תקף לסיוע הדדי בין שותפים ברמת מגזר הפעילות והמדינה.</t>
  </si>
  <si>
    <t>RS.RP-1, RS.CO-1, RS.CO-2, RS.CO-3, RS.CO-4, RS.CO-5, RS.AN-1, RS.AN-2, RS.AN-3, RS.AN-4, RS.AN-5, RS.MI-1, RS.MI-2, RS.MI-3, RS.IM-1, RS.IM-2,</t>
  </si>
  <si>
    <t xml:space="preserve">2. הארגון וידא כי ברשותו תוכנית תגובה לניהול אירועי הגנת מידע וסייבר הכוללת בין השאר התייחסות לנושאים הבאים:
א. שימוש במודיעין סייבר (Cyber Intelligence) במסגרת בקרת הנזקים וטיפול באירוע.
ב. שימוש באמצעים טכנולוגיים מקובלים לקבלת תמונת מצב האבטחה (Security Posture).
ג. שיקולים למעבר לעבודה באתר חלופי (DR) או בענן ציבורי.
ד. שיתוף מידע עם שותפים רלוונטיים.
ה. מנהל צוות ניהול משברים הינו המנכ"ל או המשנה למנכ"ל.
ו. רכש מבצעי (רכש מהיר של חומרה, תוכנה, שירותים וכד').
ז. קיומה של יכולת אפקטיבית לעקיבות (Traceability) אחר הפעולות אשר התבצעו במרחב הסייבר.
ח. הכללת נושא תוכנית תגובה לניהול אירועי הגנת מידע וסייבר במסגרת פעילות ועדת היגוי הגנת מידע וסייבר.
ט. קיום הסכם שירות תקף מול חברת שחזור מידע.
י. חתירה לשיפור מתמיד של יכולות התגובה, והתאמת האסטרטגיה הארגונית בהתאם.
יא. קיומם של ספרי מרשם (Playbooks) פרטניים ועדכניים לתגובה אפקטיבית לאירועי הגנת מידע וסייבר שכיחים. </t>
  </si>
  <si>
    <t>7. הארגון וידא כי המדיניות מחייבת שימוש בשירותי צד שלישי או שירות מטעם ספק הענן לשם בחינת מצב האבטחה (Security Posture) ב"זמן אמת", וכי ביכולתו לבצע פעולות תיקון (Remediation) בזמן אמת (Real Time) במקרה של חריגה.
8. הארגון וידא כי המדיניות מחייבת ביצוע Applications Refactoring , והתאמת כל האפליקציות הישנות לעבודה בתצורת Native Cloud.
9. הארגון וידא כי המדיניות מחייבת פיתוח אפליקציות חדשות בתצורת Cloud Native בלבד.</t>
  </si>
  <si>
    <t>1. יש לפנות לבקרת "הגדרת מודל לבקרת גישה".
2. יש לפנות לבקרת "היגיינה טכנולוגית של יעדי ההגנה".
3. יש לוודא כי משתמשים שברשותם גישה רוחבית ליעדי ההגנה התקשוב/צבר מידע יוגדרו כברירת מחדל כבעלי רמת סיכון גבוהה, ויינקטו צעדים מקובלים לצמצום מסגרת הסיכון, דוגמת ניטור פרטני והחמרה בבדיקות מהימנות.
4. בעת עבודה עם מערכות ניהול תוכן (CMS) יש לבצע הפרדה בין הרשאות עריכה לבין הרשאות פרסום לציבור, כך שתהליך הפרסום יחייב אישור של שני גורמים שונים.
5. יש לתת את הדעת לחשבונות חזקים המוקמים ומוגדרים אוטומטית בעת התקנה, דוגמת SPN's.
6. על המדיניות להתייחס לסוגיות ייחודיות למגזר הפעילות, דוגמת דרישות רגולציה בבנקאות ובתקשורת.
7. יש לשלב בין פעילות מערך בקרת הגישה הלוגית למערך הגישה הפיזי.
8. על המדיניות להתייחס לסוגיות הנוגעות לקהלי יעד שונים, דוגמת משתמשים בעלי מוגבלויות.
9. יש להגביל את הגישה לחשבונות ניהול של דפים ברשתות חברתיות, ולהפעיל מנגנוני הגנה מקובלים (דוגמת MFA).
10. יש לוודא כי תהליכי ההוספה/הסרה/שינוי של חברות בקבוצות חזקות מתועדים ומבוקרים.
11. יש לוודא כי תהליכי Delegations רוחביים מתועדים ומבוקרים.
12. בעת עבודה עם שירותי ענן ציבוריים יש לוודא כי הרישוי הנרכש כולל יכולות בקרת גישה מתקדמות, דוגמת Adaptive Authentication.
13. על מנת לבצע בקרה וניהול מרכזי של הזהויות בארגון, מומלץ לעשות שימוש ב-IDM.
14. להלן סקירה של אמצעי אבטחה מקובלים להגנה על משתמשים חזקים:
PIM (Privileged Identity Management) \ PAM (Privileged Access Management) \  PASM (Privileged Account and Session Management)
15. יש לוודא כי חשבונות מסוג Break Glass Accounts זוכים לניטור קפדני.
16. יש לודא שימוש ב-802.1x לאימות מחשבים, תוך שימוש במערכת ניהול מרכזית דוגמת NAC\SASE.
17. במקרה של צורך בשימוש בהרשאות גבוהות ביעד ההגנה ניתן לעשות שימוש ב-Endpoint Privilege Management (EPM) לשם צמצום רמת ההרשאות למינימום , וזאת בהתאם לפונקציונאליות העסקית הנדרשת.
18. יש לתת את הדעת לנושא Permissions Inheritance.</t>
  </si>
  <si>
    <t>1. ודאו כי נעשה שימוש במודל ניהול ההרשאות המתאים בכל יעדי ההגנה, וזאת תוך התאמה לפרופיל הסיכון.
2. ודאו עם יצרן יעדי ההגנה כי מימוש המודל מתבצע בהתאם למתודולוגיות מקובלות (דוגמת NIST).
3. ודאו כי מימוש המודל מאפשר אכיפה של מדיניות הארגון בפועל.
4. ודאו את קיומה של מערכת ניהול מרכזית לאכיפת המודל.
5. ודאו כי בהתאם לרמת הסיכון של יעד ההגנה/המשתמש, רמת הסיכון משתנה באופן דינמי, ובהתאם מתשנים ההרשאות והיקף הגישה.
6. ודאו באופן מדגמי כי אין ביעדי ההגנה הרשאות עודפות.
7. ודאו כי במקרה של מתן הרשאות חריגות נשלחת התרעה בזמן אמת לצוות האבטחה.
8. ודאו באופן מדגמי כי תהליך ניהול ה-Permissions Inheritance הינו אפקטיבי.</t>
  </si>
  <si>
    <t>1. יש לפנות לבקרת "אבטחת קוד פתוח".
2. יש לפנות לבקרת "אבטחת קונטיינרים".
3. יש לפנות לבקרת "אבטחת Serverless".
4. יש לפנות לבקרת "הגנה על יעדי הגנה העושים שימוש בבינה מלאכותית".
5. יש לפנות לבקרת "יישום ואימות הגדרות תצורה של המערכת".
6. יש לפנות לבקרת "בדיקות יעד הגנה לפני עלייה ליצור".
7. יש לוודא כי ספק התוכנה מעביר תיעוד של אופן מימוש עקרונות פיתוח מאובטח בפועל, וכי הדבר מעוגן משפטית.
8. ביצוע בדיקות קוד יתבצע בסיוע כלים ממוכנים, אשר בוחנים קטעי קוד בתצורות שונות ומאתרים פרצות הקיימות בו.
9. עבור יעדי הגנה ברמה 2 ומעלה יש ליישם פתרון טכנולוגי כגון WAF ברמת התשתית או RASP.
10. יש לבחון את ה-Control Flow (Direct, Indirect, External Objects) וה-Data Flow באמצעות שימוש בכלים אוטומטיים (לרבות כלי Fuzzing), ידניים ו-Code Review לשם זיהוי שגיאות לוגיות, פעילות זדונית ו"קוד מת".
11. יש לוודא כי לפני תהליך ה-Build מוסרים מהקוד מצבי בדיקה (Debug) ודלתות אחוריות.
12. משימות הגנה במסגרת SSSDLC:
א. איסוף דרישות (Requirements):
- קדם דרישות (Pre-SSDLC Requirements) - כתיבת מסמך מדיניות לרכש ופיתוח יעדי הגנה ושירותים.
- איסוף דרישות (Requirements) כללי - פונקציונליות המוצר, דרישות עסקיות וטכנולוגיות, מדדי ביצוע, סיווג הנתונים, אישורי אבטחה, ביטוח סייבר וכו'.
ב. תכנון/עיצוב (Design).
ג. פיתוח (Development).
ד. בדיקת יעדי ההגנה (System Testing).
ה. תפעול (Operations).
13. כלים ייעודיים לאבטחת תהליך הפיתוח:
א. Lint Tool/IDE Plug-in. 
ב. SCA (Software Composition Analysis).
ג. SAST (Static Application Security Testing).
ד. DAST (Dynamic Application Security Testing).
ה. IAST (Interactive Application Security Testing).
ו. Static Binary and Bytecode Analysis (Code Genealogy/Software Lineage).
ז. VA (Vulnerability Assessment).
ח. Dependency Checking /Bill of Materials (BOM) Checking Tool.
ט. הוספת מנגנון (Runtime Application Self-Protection) RASP למוצר.
י. בדיקות חוסן.
14. יש להשוות בין המדדים שהוגדרו במסגרת תוכנית פיתוח מאובטח, לבין כושר העמידה של תוצרי הארגון במדדים אלה. הדבר יתבצע באמצעות תשאול, בדיקות אמפיריות העושות שימוש בכלים ממוכנים ומומחי תוכן (Code Review), בדיקות חוסן, בדיקת דו"חות, ביצוע ותיקון ליקויים ועוד.
15. אם הארגון מבצע מיקור חוץ של שירותי הפיתוח, יש לוודא כי הספק עומד בדרישות מתודולוגיות אבטחת שרשרת האספקה של מערך הסייבר הלאומי.
16. יש לוודא כי הארגון עושה שימוש בגרסת IDE עדכנית.
17. יש לוודא כי בצוות הפיתוח מונה נאמן אבטחה (Security Champion\Security Trustee), שיקשר בין גורמי הפיתוח לארכיטקט הגנת המידע והסייבר שממונה על הנחיית הפרויקט.
18. יש חשיבות לשילוב תהליכי פיתוח מאובטח כבר בשלב ייזום הפרויקט, כדי לוודא כי (א) הארגון לא יצטרך להשקיע בדיעבד משאבים חריגים לשם תיקון חולשות (ב) הוקצו משאבים מתאימים ביחס לפרופיל הסיכונים.
19. יש לוודא כי מזמין העבודה (פנימי/חיצוני) מאשר בכתב את פרופיל הסיכונים ואת תוכנית העבודה להגנת מידע וסייבר.
20. יש לוודא כי הארגון מאפשר קבלת דיווחים מגורמי פנים/חוץ אודות חולשות תוכנה שקיימות ביעדי ההגנה שהוא מפתח.
21. יש לוודא כי בדיקות המערכת כוללות אימות שבקרות אבטחת המידע שהוגדרו אכן מיושמות בהתאם לאפיון המקורי. בכלל זה, יש לנהל רשימת תיוג של דרישות ההגנה שהוגדרו למערכת, ולוודא כי כולן אכן מומשו על ידי אנשי הארגון והספק.
22. יש לוודא כי יעדי הגנה אשר נרכשים/מפותחים מיישמים מנגנוני מהימנות Session. בכלל זה, יש לוודא כי קיימים מנגנונים שמטרתם למנוע מתקפות על מנגנון ניהול החיבור, כגון חטיפת חיבור (session hijacking) או man-in-the-middle.
23. במקרה של שימוש במיקור חוץ, יש לוודא כי דרישות הגנת המידע והסייבר נכללו בחוזה ההתקשרות, לרבות בחינת איכות הקוד בהתאם למדדים מקובלים.
24. יש לוודא כי תהליך פיתוח מאובטח מוודא כי קוד IoC (Infrastructure as Code) אשר הארגון עושה בו שימוש אינו מכיל נוזקות/קוד זדוני.</t>
  </si>
  <si>
    <t>הגורם הפנימי</t>
  </si>
  <si>
    <t>כופרה</t>
  </si>
  <si>
    <t>DDOS</t>
  </si>
  <si>
    <t>שרשרת אספקה</t>
  </si>
  <si>
    <t>שם מענה</t>
  </si>
  <si>
    <t>קיצור באנגלית</t>
  </si>
  <si>
    <t>שם  מלא</t>
  </si>
  <si>
    <t>תועלת המענה</t>
  </si>
  <si>
    <t>זמן ההטמעה המשוער</t>
  </si>
  <si>
    <t>הערכת עלות</t>
  </si>
  <si>
    <t>משאבי כ"א  להטמעה</t>
  </si>
  <si>
    <t xml:space="preserve">משאבי כ"א  לתפעול </t>
  </si>
  <si>
    <t>שקלול כדאיות מספרי</t>
  </si>
  <si>
    <t>שקלול כדאיות מילולי</t>
  </si>
  <si>
    <t>Override על השקלול ו/או מצב נתון</t>
  </si>
  <si>
    <t>טיוב כדאיות
רף עליון</t>
  </si>
  <si>
    <t>טיוב כדאיות
רף תחתון</t>
  </si>
  <si>
    <t>אמצעי הגנה על עמדות קצה ושרתים</t>
  </si>
  <si>
    <t>אנטי וירוס / אנטי נוזקות לעמדות קצה/שרתים</t>
  </si>
  <si>
    <t>AV/AM</t>
  </si>
  <si>
    <t>Anti Virus / Anti Malware</t>
  </si>
  <si>
    <t>זיהוי ותגובה לפעילות חשודה/אנומליה בעמדות קצה</t>
  </si>
  <si>
    <t>EDR</t>
  </si>
  <si>
    <t>Endpoint Detection and Response</t>
  </si>
  <si>
    <t>אמצעי למניעת דלף מידע בעמדת קצה/שרת</t>
  </si>
  <si>
    <t>Endpoint DLP</t>
  </si>
  <si>
    <t>Endpoint Data Leakage Prevention</t>
  </si>
  <si>
    <t>אמצעי לבקרת התקנים (דוגמת DOK)</t>
  </si>
  <si>
    <t>Device Control</t>
  </si>
  <si>
    <t>Deception ברמת עמדה/שרת</t>
  </si>
  <si>
    <t>Honey Host</t>
  </si>
  <si>
    <t>ארגז חול ברמת עמדת קצה/שרת</t>
  </si>
  <si>
    <t>Host Sandbox</t>
  </si>
  <si>
    <t>שינוי משטח דינמי של עמדת קצה/שרת</t>
  </si>
  <si>
    <t>Host MTD</t>
  </si>
  <si>
    <t>Host Moving Target Defense</t>
  </si>
  <si>
    <t>חומת אש ברמת עמדת קצה/שרת</t>
  </si>
  <si>
    <t>Host Firewall</t>
  </si>
  <si>
    <t>אמצעי הגנה מפני מתקפות רשת על עמדת הקצה/השרת</t>
  </si>
  <si>
    <t>HIDS/HIPS</t>
  </si>
  <si>
    <t>Host Intrusion Detection/Prevention System</t>
  </si>
  <si>
    <t>אמצעי להצפנה מצע אחסון דיגיטלי</t>
  </si>
  <si>
    <t>Full Disk Encryption</t>
  </si>
  <si>
    <t>אתחול בטוח</t>
  </si>
  <si>
    <t>Secure Boot</t>
  </si>
  <si>
    <t>אמצעי לבדיקת מהימנות ושלמות קבצים בעמדת קצה/שרת</t>
  </si>
  <si>
    <t>FIM</t>
  </si>
  <si>
    <t>File Integrity Monitoring</t>
  </si>
  <si>
    <t>בקרת אפליקציות</t>
  </si>
  <si>
    <t>AC/AW</t>
  </si>
  <si>
    <t>Application Control/Application Whitelist</t>
  </si>
  <si>
    <t>אמצעי הגנה על ממשקים בין רשתות</t>
  </si>
  <si>
    <t>חומת אש הדור-הבא</t>
  </si>
  <si>
    <t>NGFW</t>
  </si>
  <si>
    <t>Next Generation Firewall</t>
  </si>
  <si>
    <t>בודל חד-כיווני</t>
  </si>
  <si>
    <t>Data-Diode</t>
  </si>
  <si>
    <t>חומת אש לממשקי Web (דוגמת REST)</t>
  </si>
  <si>
    <t>XML Firewall</t>
  </si>
  <si>
    <t>אמצעי הגנה מפני מתקפות רשת בתווך</t>
  </si>
  <si>
    <t>Network IDS/IPS</t>
  </si>
  <si>
    <t>Network Intrusion Detection/Prevention System</t>
  </si>
  <si>
    <t>סייוג נכסים ו/או מידע לצורך מיפויי רגישויות</t>
  </si>
  <si>
    <t>Data Classification</t>
  </si>
  <si>
    <t>שער למניעת דלף מידע</t>
  </si>
  <si>
    <t>DLP Gateway</t>
  </si>
  <si>
    <t>Gateway Data Leakage Prevention</t>
  </si>
  <si>
    <t>ארגז חול רשתי</t>
  </si>
  <si>
    <t>Network Sandbox</t>
  </si>
  <si>
    <t>אמצעי הגנה פנים רשתיים</t>
  </si>
  <si>
    <t>אמצעי לזיהוי אנומליה רשתית</t>
  </si>
  <si>
    <t>NBA</t>
  </si>
  <si>
    <t>Network Behavior Analysis</t>
  </si>
  <si>
    <t>אמצעי לזיהוי אנומליה בפעילות משתמשים וישויות</t>
  </si>
  <si>
    <t>UEBA</t>
  </si>
  <si>
    <t>User and Entity Behavior Analytics</t>
  </si>
  <si>
    <t>אמצעי לאכיפת מדיניות בקרת גישה לרשת (עמדות קצה, ציוד קצה וכו')</t>
  </si>
  <si>
    <t>NAC</t>
  </si>
  <si>
    <t>Network Access Control</t>
  </si>
  <si>
    <t>שינוי משטח דינמי של הרשת</t>
  </si>
  <si>
    <t>Network MTD</t>
  </si>
  <si>
    <t>Network Moving Target Defense</t>
  </si>
  <si>
    <t>מערכת לניהול תצורה</t>
  </si>
  <si>
    <t>CMDB</t>
  </si>
  <si>
    <t>Configuration Management Database</t>
  </si>
  <si>
    <t>Deception  רשתי</t>
  </si>
  <si>
    <t>HoneyNet</t>
  </si>
  <si>
    <t>אמצעי הגנה מפני מתקפות על רשת אלחוטית</t>
  </si>
  <si>
    <t>WIPS</t>
  </si>
  <si>
    <t>Wireless IPS</t>
  </si>
  <si>
    <t>מידור בין עמדות קצה/שרתים ברמת מתג בודד</t>
  </si>
  <si>
    <t>Private VLAN</t>
  </si>
  <si>
    <t>Private Virtual Local Area Network</t>
  </si>
  <si>
    <t>מידור רשתי (חלוקה למתחמי רשת והגדרת חוקי גישה)</t>
  </si>
  <si>
    <t>Network Segmentation and Segregation</t>
  </si>
  <si>
    <t>אמצעי להגנה מפני תקיפות כנגד מסדי נתונים</t>
  </si>
  <si>
    <t>DB  FW /DAM</t>
  </si>
  <si>
    <t>Database Firewall / Database Activity Monitor</t>
  </si>
  <si>
    <t>ניהול זכויות דיגיטליות</t>
  </si>
  <si>
    <t>DRM</t>
  </si>
  <si>
    <t>Digital Rights Management</t>
  </si>
  <si>
    <t>חומת אש להגנה על תשתית DNS</t>
  </si>
  <si>
    <t>DNS FW/DNS Sinkhole</t>
  </si>
  <si>
    <t>Domain Naming System Firewall</t>
  </si>
  <si>
    <t>אמצעי למידור מידע/אכיפת משילות ארגונית בנושא מידע</t>
  </si>
  <si>
    <t>DAG</t>
  </si>
  <si>
    <t>Data Access Governance</t>
  </si>
  <si>
    <t>מערכת לניהול והפצת עדכוני אבטחה (פאצים)</t>
  </si>
  <si>
    <t>Patch Management</t>
  </si>
  <si>
    <t>וירטואליזציה של שולחנות עבודה/עמדות קצה</t>
  </si>
  <si>
    <t>VDI</t>
  </si>
  <si>
    <t>Virtualization Desktop Infrastructure </t>
  </si>
  <si>
    <t>שרת טרמינל</t>
  </si>
  <si>
    <t>TS</t>
  </si>
  <si>
    <t>Terminal Server</t>
  </si>
  <si>
    <t>גיבויים ואחסון נתונים</t>
  </si>
  <si>
    <t>רפליקציה</t>
  </si>
  <si>
    <t>Replication</t>
  </si>
  <si>
    <t>מערכת גיבוי ארגונית</t>
  </si>
  <si>
    <t>Organization Backup System</t>
  </si>
  <si>
    <t>כתיבה חד-פעמית, קריאה מרובת פעמים</t>
  </si>
  <si>
    <t>WORM</t>
  </si>
  <si>
    <t>Write-Once, Read-Many (backup)</t>
  </si>
  <si>
    <t xml:space="preserve">פיזור וכפילות מידע - גיבוי ב-Online </t>
  </si>
  <si>
    <t>Online Backup solution</t>
  </si>
  <si>
    <t>מערך אחסון מבוסס MTD</t>
  </si>
  <si>
    <t>Storage Based on MTD</t>
  </si>
  <si>
    <t>Storage Based on Moving Target Defence</t>
  </si>
  <si>
    <t>אמצעים להגנה על זהויות דיגיטליות</t>
  </si>
  <si>
    <t>שרת קפיצה/אמצעי מאובטח לגישה באמצעות שימוש בחשבונות בעלי הרשאות יתר</t>
  </si>
  <si>
    <t>PIM/PAM/Jump Server</t>
  </si>
  <si>
    <t>Privileged Identity Management/Privilege Access Management/Jump Server</t>
  </si>
  <si>
    <t>מערכת לניהול תעודות דיגיטליות</t>
  </si>
  <si>
    <t>CA</t>
  </si>
  <si>
    <t>Certificate Authority</t>
  </si>
  <si>
    <t>מודול לאחסון מאובטח של תעודות דיגיטליות</t>
  </si>
  <si>
    <t>HSM</t>
  </si>
  <si>
    <t>Hardware Security Module</t>
  </si>
  <si>
    <t>הזדהות רבת גורמים</t>
  </si>
  <si>
    <t>MFA</t>
  </si>
  <si>
    <t>Multi-Factor Authentication</t>
  </si>
  <si>
    <t>כרטיס חכם</t>
  </si>
  <si>
    <t>Smart Card</t>
  </si>
  <si>
    <t>מערכת לניהול זהויות</t>
  </si>
  <si>
    <t>IDM</t>
  </si>
  <si>
    <t>Identity Management System</t>
  </si>
  <si>
    <t>בקרת גישה מסתגלת</t>
  </si>
  <si>
    <t>AAC</t>
  </si>
  <si>
    <t xml:space="preserve">Adaptive Access Control </t>
  </si>
  <si>
    <t>ספרייה משתמשים ויישויות ארגונית</t>
  </si>
  <si>
    <t>Directory</t>
  </si>
  <si>
    <t>אמצעים תומכים לפיתוח מאובטח</t>
  </si>
  <si>
    <t>בדיקת אבטחה אינטראקטיבית ליישום</t>
  </si>
  <si>
    <t>IAST</t>
  </si>
  <si>
    <t>Interactive Application Security Testing</t>
  </si>
  <si>
    <t>בדיקת אבטחה דינמית ליישום</t>
  </si>
  <si>
    <t>DAST</t>
  </si>
  <si>
    <t>Dynamic Application Security Testing</t>
  </si>
  <si>
    <t>בדיקת אבטחה סטאטית ליישום</t>
  </si>
  <si>
    <t>SAST</t>
  </si>
  <si>
    <t>Static Application Security Testing</t>
  </si>
  <si>
    <t>כתיבת קוד באופן מאובטח באמצעות שימוש ב-IDE Plugin</t>
  </si>
  <si>
    <t>SDLC IDE plugin/Lint Tool</t>
  </si>
  <si>
    <t>מערכת לניהול קוד מקור (Source Control Manager)</t>
  </si>
  <si>
    <t>SCM</t>
  </si>
  <si>
    <t>Source Code Manager</t>
  </si>
  <si>
    <t>ביצוע Code Review ידני</t>
  </si>
  <si>
    <t>Manual Code Review</t>
  </si>
  <si>
    <t>עיצוב לאבטחה</t>
  </si>
  <si>
    <t>Secure by Design</t>
  </si>
  <si>
    <t>עיצוב לפרטיות</t>
  </si>
  <si>
    <t>Privacy by Design</t>
  </si>
  <si>
    <t>בחינת מוניטין ומהימנות ספריות קוד פתוח</t>
  </si>
  <si>
    <t>SCA</t>
  </si>
  <si>
    <t xml:space="preserve"> Software Composition Analysis</t>
  </si>
  <si>
    <t>אמצעים לבחינת כושר העמידות הארגוני</t>
  </si>
  <si>
    <t>בנייה, הדמיה ו/או ביצוע בפועל של תרחישי תקיפה</t>
  </si>
  <si>
    <t>BAS</t>
  </si>
  <si>
    <t>Breach and Attack Simulation</t>
  </si>
  <si>
    <t>בדיקות חוסן</t>
  </si>
  <si>
    <t>PT</t>
  </si>
  <si>
    <t>Penetratin Testing</t>
  </si>
  <si>
    <t>התעדה וקרדיטציה</t>
  </si>
  <si>
    <t>C&amp;A - Certifaction &amp; Accreditation</t>
  </si>
  <si>
    <t>הערכת סיכונים</t>
  </si>
  <si>
    <t>Risk Assesment</t>
  </si>
  <si>
    <t>מערכת לבחינת רמת ציות למדיניות הארגונית</t>
  </si>
  <si>
    <t>Security Policy &amp;  Compliance/Hygiene</t>
  </si>
  <si>
    <t>מערכת ממוכנת לתמיכה בניהול משילות, רגולציה וציות</t>
  </si>
  <si>
    <t>GRC</t>
  </si>
  <si>
    <t>Governance, Risk &amp; Compliance</t>
  </si>
  <si>
    <t>תרגול מודעות לאבטחת מידע</t>
  </si>
  <si>
    <t>Information Security Awareness Training</t>
  </si>
  <si>
    <t>ניתוח משטח תקיפה חיצוני</t>
  </si>
  <si>
    <t>External Attack Surface Analysis</t>
  </si>
  <si>
    <t>ניתוח פגיעויות טכנולוגיות</t>
  </si>
  <si>
    <t>Vulnerability Assessment</t>
  </si>
  <si>
    <t>ביצוע ביקורות / Audit בארגון</t>
  </si>
  <si>
    <t>Audit</t>
  </si>
  <si>
    <t>אמצעים ייחודים להגנה על גלישת משתמשים באינטרנט</t>
  </si>
  <si>
    <t>שער גישה מאובטח לאינטרנט  (פרוקסי)</t>
  </si>
  <si>
    <t>SWG</t>
  </si>
  <si>
    <t>Security Web Gateway</t>
  </si>
  <si>
    <t>גישה אנונימית לאינטרנט</t>
  </si>
  <si>
    <t>Anonymous access to the Internet</t>
  </si>
  <si>
    <t>סביבה מבודדת לגלישה</t>
  </si>
  <si>
    <t>Web Surfing Isolution Detonation Chamber</t>
  </si>
  <si>
    <t>אמצעים ייחודים להגנה על אתר אינטרנט חיצוני</t>
  </si>
  <si>
    <t>שכבה הגנה חיצונית להגנה על סביבת הריצה של אפליקציה</t>
  </si>
  <si>
    <t>RASP</t>
  </si>
  <si>
    <t>Runtime Application Self-Protection</t>
  </si>
  <si>
    <t>חומת אש להגנה על אפליקציות Web</t>
  </si>
  <si>
    <t>WAF</t>
  </si>
  <si>
    <t>Web Application Firewall</t>
  </si>
  <si>
    <t>אמצעי לחלוקת עומסים והשגת יתירות באמצעות DNS</t>
  </si>
  <si>
    <t>GEO LB</t>
  </si>
  <si>
    <t>Geolocation Load Balancing</t>
  </si>
  <si>
    <t>אמצעים ייחודים להגנה על תעבורת דוא"ל אלקטרוני ארגוני</t>
  </si>
  <si>
    <t>אמצעי לזיהוי דלף מידע בשרת הדוא"ל הארגוני</t>
  </si>
  <si>
    <t>Mail Server DLP</t>
  </si>
  <si>
    <t>Mail Server Data Leakage Prevention</t>
  </si>
  <si>
    <t>שער גישה מאובטח לדוא"ל</t>
  </si>
  <si>
    <t>ESG</t>
  </si>
  <si>
    <t>Email Security Gateway (Mail Relay)</t>
  </si>
  <si>
    <t>מנגנוני אימות ודירוג מוניטין של דוא"ל</t>
  </si>
  <si>
    <t>DMARC/SPX</t>
  </si>
  <si>
    <t>Domain-based Message Authentication, Reporting &amp; Conformance/Service Provider Extension</t>
  </si>
  <si>
    <t>כללי</t>
  </si>
  <si>
    <t>סביבת רשת מבודלת שבה ניתן להפעיל נוזקות</t>
  </si>
  <si>
    <t>Detonation Chamber</t>
  </si>
  <si>
    <t>אמצעי להגנה על קישרויות בין מרכזיית IP לרשת חיצונית</t>
  </si>
  <si>
    <t>IPT SBC</t>
  </si>
  <si>
    <t>IP Telephony Session Border Controller</t>
  </si>
  <si>
    <t>ניהול התקני קצה ניידים (דוגמת טלפון נייד)</t>
  </si>
  <si>
    <t>MDM</t>
  </si>
  <si>
    <t>Mobile Device Management</t>
  </si>
  <si>
    <t>מנגנון הגנה על תשתית ה-DNS</t>
  </si>
  <si>
    <t>DNSSEC</t>
  </si>
  <si>
    <t>DNS Security</t>
  </si>
  <si>
    <t>פענוח תעבורת SSL\TLS לשם ביצוע בדיקות אבטחה</t>
  </si>
  <si>
    <t>SSL/TLS Interception</t>
  </si>
  <si>
    <t>מערכת לקבלת מזהים ומיידעים על איומי סייבר חדשים</t>
  </si>
  <si>
    <t>CTI System</t>
  </si>
  <si>
    <t>Cyber Threat Intellegence System</t>
  </si>
  <si>
    <t>אמצעי להגנה מפני תקיפות DDoS</t>
  </si>
  <si>
    <t>DDoS Protection</t>
  </si>
  <si>
    <t>Distributed Denial-of-Service Protection</t>
  </si>
  <si>
    <t>מערכת העברת מידע מאובטחת (דוגמת כספות)</t>
  </si>
  <si>
    <t>Secure File Transfer</t>
  </si>
  <si>
    <t>סביבת רשת חוצצת בין רשת פנימית בארגון לרשת ציבורית</t>
  </si>
  <si>
    <t>DMZ</t>
  </si>
  <si>
    <t>Demilitarized Zone</t>
  </si>
  <si>
    <t>הקשחה</t>
  </si>
  <si>
    <t>Hardening</t>
  </si>
  <si>
    <t>אמצעי ניטור ותגובה</t>
  </si>
  <si>
    <t>מערכת לניהול אבטחת מידע ואירועים</t>
  </si>
  <si>
    <t>SIEM</t>
  </si>
  <si>
    <t>Security Information Event Management</t>
  </si>
  <si>
    <t>מרכז פעולות אבטחה</t>
  </si>
  <si>
    <t>SOC</t>
  </si>
  <si>
    <t>Security Operations Center</t>
  </si>
  <si>
    <t>מרכז פעולות רשת</t>
  </si>
  <si>
    <t>NOC</t>
  </si>
  <si>
    <t>Network Operations Center</t>
  </si>
  <si>
    <t>ניטור אנומליה בניתוב מבוסס פרוטוקול BGP</t>
  </si>
  <si>
    <t>BGP Monitoring</t>
  </si>
  <si>
    <t>Border Gateway Protocol Monitoring</t>
  </si>
  <si>
    <t>מערכת לניהול אבטחה, תזמון ואוטומציה התגובה</t>
  </si>
  <si>
    <t>SOAR</t>
  </si>
  <si>
    <t>Security Orchestration Automation and Response</t>
  </si>
  <si>
    <t>מערכת  להפצת מסרים והתראות</t>
  </si>
  <si>
    <t>Messaging and Alerting System</t>
  </si>
  <si>
    <t>מערכת ממוכנת לביצוע צייד</t>
  </si>
  <si>
    <t>Threat Hunting System</t>
  </si>
  <si>
    <t>הפעלת לוגים במערכות המחשוב</t>
  </si>
  <si>
    <t>Enable Logs</t>
  </si>
  <si>
    <t>ממשק צפיה מתכלל לאירועים</t>
  </si>
  <si>
    <t>Security Dasboard</t>
  </si>
  <si>
    <t>שעון זמן מהימן (דוגמת שעון אטומי)</t>
  </si>
  <si>
    <t>Reliable Time Server</t>
  </si>
  <si>
    <t>אמצעיים ייחודים להגנה על אחסון/עיבוד/שינוע מידע בארגון</t>
  </si>
  <si>
    <t>הלבנה</t>
  </si>
  <si>
    <t>CDR</t>
  </si>
  <si>
    <t>Content Disarm &amp; Reconstruction</t>
  </si>
  <si>
    <t>הצפנה במנוחה</t>
  </si>
  <si>
    <t>Encryption At Rest</t>
  </si>
  <si>
    <t>הצפנה בתנועה</t>
  </si>
  <si>
    <t>Encryption In Transit</t>
  </si>
  <si>
    <t>הצפנה בעיבוד</t>
  </si>
  <si>
    <t>Encryption During Processing</t>
  </si>
  <si>
    <t>השחרה</t>
  </si>
  <si>
    <t>CDR + DLP</t>
  </si>
  <si>
    <t>Content Disarm &amp; Reconstruction + DLP</t>
  </si>
  <si>
    <t>אמצעים לאבטחה פיזית וסביבתית</t>
  </si>
  <si>
    <t>מידור מתחמי עבודה</t>
  </si>
  <si>
    <t>Zones Classification</t>
  </si>
  <si>
    <t>תג זיהוי אישי דיגיטלי</t>
  </si>
  <si>
    <t>Digital ID Card</t>
  </si>
  <si>
    <t>שומר/מאבטח כניסה</t>
  </si>
  <si>
    <t>Security Guard</t>
  </si>
  <si>
    <t>מערכת גילוי אש ואמצעי כיבוי אש</t>
  </si>
  <si>
    <t>Fire Detection and Extinguishing Systems</t>
  </si>
  <si>
    <t>ניטור ובקרה/חמ"ל</t>
  </si>
  <si>
    <t>Monitoring and Control</t>
  </si>
  <si>
    <t>מערכת התראה ואזעקה</t>
  </si>
  <si>
    <t>Alarm Systems</t>
  </si>
  <si>
    <t>מצלמות אבטחה</t>
  </si>
  <si>
    <t>Surveillance Cameras</t>
  </si>
  <si>
    <t>אחסון רשומות</t>
  </si>
  <si>
    <t>Records Storage</t>
  </si>
  <si>
    <t>מדיניות שולחן וצג נקי</t>
  </si>
  <si>
    <t>Clear Desk &amp; Clear Screen Policy</t>
  </si>
  <si>
    <t>מערכת אל פסק</t>
  </si>
  <si>
    <t>UPS System</t>
  </si>
  <si>
    <t>הזנות חשמל בפאזות שונות לכל ציוד מחשוב</t>
  </si>
  <si>
    <t>Redundant Power Lines</t>
  </si>
  <si>
    <t>אתר DR</t>
  </si>
  <si>
    <t>Disaster Recovery Site</t>
  </si>
  <si>
    <t>גריטת ציוד</t>
  </si>
  <si>
    <t>Equipment shredding</t>
  </si>
  <si>
    <t>גריסת מסמכים</t>
  </si>
  <si>
    <t>Paper shreding</t>
  </si>
  <si>
    <t>מערכות לניהול שערי כניסה פיזיים למתחמים</t>
  </si>
  <si>
    <t>PACS</t>
  </si>
  <si>
    <t>Physical Access Control Systems</t>
  </si>
  <si>
    <t>אמצעים ייחודים להגנה בעת התחברות מחוץ לארגון</t>
  </si>
  <si>
    <t>מערכת להקלטת פעילות משתמשים</t>
  </si>
  <si>
    <t>SSR</t>
  </si>
  <si>
    <t>Remote Sessions Recording</t>
  </si>
  <si>
    <t>שרת התחברות מאובטחת על בסיס SSL/TLS</t>
  </si>
  <si>
    <t>SSL/TLS VPN Server</t>
  </si>
  <si>
    <t>SSL/TLS Virtual Private Firewall Server</t>
  </si>
  <si>
    <t>בדיקות ציות של עמדות שמתחברות מרחוק למדיניות א"מ</t>
  </si>
  <si>
    <t>Remote Access Compliance/Hygiene</t>
  </si>
  <si>
    <t>תהליכים ארגונים תומכים</t>
  </si>
  <si>
    <t>אבטחת משאבי אנוש</t>
  </si>
  <si>
    <t>Human Resorces Information Security</t>
  </si>
  <si>
    <t>אבטחת שרשרת אספקה</t>
  </si>
  <si>
    <t>Supply Chain Security</t>
  </si>
  <si>
    <t>גיבויים</t>
  </si>
  <si>
    <t>Backups</t>
  </si>
  <si>
    <t>ניהול שינויים ופיתוח מאובטח</t>
  </si>
  <si>
    <t>SDLC and Change Management</t>
  </si>
  <si>
    <t>בקרת גישה - ניהול הרשאות ומשתמשים</t>
  </si>
  <si>
    <t>Access Control Management</t>
  </si>
  <si>
    <t>אבטחה בתהליך חיבור מרחוק</t>
  </si>
  <si>
    <t>Remote Access Security</t>
  </si>
  <si>
    <t>ניהול אבטחת רשומות דיגיטליות</t>
  </si>
  <si>
    <t>Digital Records Security Management</t>
  </si>
  <si>
    <t>ניהול נכסים</t>
  </si>
  <si>
    <t>Asset Management</t>
  </si>
  <si>
    <t>תכנית הדרכה / מודעות</t>
  </si>
  <si>
    <t>Awareness Training Program</t>
  </si>
  <si>
    <t>תכנית מבדקים פנימיים</t>
  </si>
  <si>
    <t>Internal Audits Plan</t>
  </si>
  <si>
    <t>BCP/ DRP</t>
  </si>
  <si>
    <t>Business Continuity Plan / Disaster Recovery Plan</t>
  </si>
  <si>
    <t>אימונים/תרגילים</t>
  </si>
  <si>
    <t>Training/Exercise</t>
  </si>
  <si>
    <t>הגנה על שרשרת אספקה</t>
  </si>
  <si>
    <t>עמידת ספקים בדרישות תורת ההגנה של מערך הסייבר הלאומי</t>
  </si>
  <si>
    <t>INCD Supply Chain Compliance</t>
  </si>
  <si>
    <t>הסכם משפטי מול ספק הכולל SLA</t>
  </si>
  <si>
    <t>Legal Aggrement (including SLA)</t>
  </si>
  <si>
    <t>ביצוע ביקורות / Audit בחצרות הספק</t>
  </si>
  <si>
    <t>On Site Audit</t>
  </si>
  <si>
    <t>משאבי כוח אדם להגנה  (פנימי/חיצוני)</t>
  </si>
  <si>
    <t>מנהל/ת יישום הגנת סייבר</t>
  </si>
  <si>
    <t>CSP</t>
  </si>
  <si>
    <t xml:space="preserve">Cyber Security Practitioner </t>
  </si>
  <si>
    <t>מוסמך/כת מתודולוגיות הגנת סייבר</t>
  </si>
  <si>
    <t>CSMP</t>
  </si>
  <si>
    <t>Cyber Security Methodology Expert</t>
  </si>
  <si>
    <t>מוסמך/כת טכנולוגיות הגנת סייבר</t>
  </si>
  <si>
    <t>CSTP</t>
  </si>
  <si>
    <t>Cyber Security Technology Expert</t>
  </si>
  <si>
    <t>מוסמך/כת מבדקי חדירה</t>
  </si>
  <si>
    <t>CSPTE</t>
  </si>
  <si>
    <t>Cyber Security Penetration Testing Expert</t>
  </si>
  <si>
    <t>מוסמך/כת תחקור סייבר</t>
  </si>
  <si>
    <t>CFE</t>
  </si>
  <si>
    <t>Cyber Forensics Expert</t>
  </si>
  <si>
    <t>שירותי צד-שלישי</t>
  </si>
  <si>
    <t>Cyber Insurance</t>
  </si>
  <si>
    <t>מנהל הגנת סייבר כשירות</t>
  </si>
  <si>
    <t>CISO As a Service</t>
  </si>
  <si>
    <t>Chief Information Security Officer As a Service</t>
  </si>
  <si>
    <t>צוות תגובה לאירועי סייבר</t>
  </si>
  <si>
    <t>IRT</t>
  </si>
  <si>
    <t>Incident Response Team</t>
  </si>
  <si>
    <t>שירות SOC מנוהל</t>
  </si>
  <si>
    <t>Managed SOC Services</t>
  </si>
  <si>
    <t>Managed Security Operations Center Services</t>
  </si>
  <si>
    <t>שירותי SIEM בענן</t>
  </si>
  <si>
    <t>Managed SIEM Service</t>
  </si>
  <si>
    <t>שירותי הגנה על תעבורת דוא"ל (כולל Sandbox)</t>
  </si>
  <si>
    <t>CASB - Mail Threat Protection</t>
  </si>
  <si>
    <t>שירותי הגנה על גלישה באינטרנט (כולל Sandbox)</t>
  </si>
  <si>
    <t>CASB - Web Surfing Threat Protection</t>
  </si>
  <si>
    <t>שירותי ניהול זהויות גישה</t>
  </si>
  <si>
    <t>IAM</t>
  </si>
  <si>
    <t>Identity and Access Management</t>
  </si>
  <si>
    <t>שירותי הגנה מפני DDoS</t>
  </si>
  <si>
    <t>DDoS Protection as Service</t>
  </si>
  <si>
    <t>שירותי הגנה על אתר אינטרנט  כנגד תקיפות אפליקטיביות</t>
  </si>
  <si>
    <t>WAF as a Service</t>
  </si>
  <si>
    <t>Web Application Firewall as a Service</t>
  </si>
  <si>
    <t>שירותי NGFW</t>
  </si>
  <si>
    <t>NGFW as a Service</t>
  </si>
  <si>
    <t>Next Generation Firewall as Service</t>
  </si>
  <si>
    <t>שירותי DLP ביציאה מהארגון</t>
  </si>
  <si>
    <t>DLP as a Service</t>
  </si>
  <si>
    <t>זיהוי אתרי פישינג המתחזים לאתר האינטרנט של הארגון</t>
  </si>
  <si>
    <t>Phising Tracking</t>
  </si>
  <si>
    <t>שירותי מודיעין איומים בסייבר</t>
  </si>
  <si>
    <t>CTI as Service</t>
  </si>
  <si>
    <t>Cyber Threat Intellegence as Service</t>
  </si>
  <si>
    <t>מידור ברשת ענן ציבורית</t>
  </si>
  <si>
    <t>Network Segmentation and Segregation (e.g. Cloud NCACLs)</t>
  </si>
  <si>
    <t>אתר DR בענן</t>
  </si>
  <si>
    <t>DR Site</t>
  </si>
  <si>
    <t>ספק שירותי אבטחה מנוהלים באתר</t>
  </si>
  <si>
    <t>Site MSSP</t>
  </si>
  <si>
    <t>Site Managed Security Service Provider</t>
  </si>
  <si>
    <t>שירות גיבוי מידע לענן</t>
  </si>
  <si>
    <t>Cloud Backup Service</t>
  </si>
  <si>
    <t>\</t>
  </si>
  <si>
    <t>מקרא קריטריונים</t>
  </si>
  <si>
    <t>הסבר</t>
  </si>
  <si>
    <t>סיכון ארגוני</t>
  </si>
  <si>
    <t>דירוג הסיכון נקבע לפי תכנית ניהול סיכונים ארגונית (בהתאם לחישוב הסתברות, השפעה, חשיפה)</t>
  </si>
  <si>
    <t>זמן הטמעה</t>
  </si>
  <si>
    <t>ייקבע בהתאם למורכבות היישום ומשך תהליך ההטמעה של פתרון מסוים.</t>
  </si>
  <si>
    <t>עלות</t>
  </si>
  <si>
    <t>בהתאם לסוג המוצר/שירות.</t>
  </si>
  <si>
    <t>כח אדם ליישום</t>
  </si>
  <si>
    <t xml:space="preserve"> כמות העובדים הנדרשים בכדי ליישם את הבקרה/הפיתרון.</t>
  </si>
  <si>
    <t>כח אדם לתפעול שוטף</t>
  </si>
  <si>
    <t xml:space="preserve"> כמות העובדים הנדרשים בכדי לתפעל בשוטף את הבקרה/הפיתרון.</t>
  </si>
  <si>
    <t>משפחה/דפ"א</t>
  </si>
  <si>
    <t>תת משפחה/דפ"א</t>
  </si>
  <si>
    <t>האיום</t>
  </si>
  <si>
    <t>אופן מימוש</t>
  </si>
  <si>
    <t>ממשק ביצוע</t>
  </si>
  <si>
    <t xml:space="preserve">קושי מימוש התרחיש
 1(H)-2(M)-3(L) </t>
  </si>
  <si>
    <t xml:space="preserve">מידת נפוצות התרחיש
1(L)-2(M)-3(H) </t>
  </si>
  <si>
    <t>ניצול הרשאות עובד פנימי/חיצוני</t>
  </si>
  <si>
    <t>איום חיצוני/שרשרת אספקה</t>
  </si>
  <si>
    <t>ניצול שירותי ענן חיצונים של החברה על מנת להוציא מידע סודי וזאת ע"י עובדי ספק הענן עצמו ואו באמצעותם</t>
  </si>
  <si>
    <t>גישה מרחוק, גישה רשתית</t>
  </si>
  <si>
    <t>אגירת מידע רגיש</t>
  </si>
  <si>
    <t>איום פנימי</t>
  </si>
  <si>
    <t>שליחת מידע עסקי (תכניות אסטרטגיות, סודות מסחריים, גורמים חיצוניים, לקוחות, שותפים עסקיים וכו') לכתובת מייל פרטית</t>
  </si>
  <si>
    <t>גישה לאינטרנט (גלישה, דוא"ל וכו')</t>
  </si>
  <si>
    <t>הגנת תחנות עבודה ושרתים</t>
  </si>
  <si>
    <t>חדירה מהאינטרנט ישירות לרשת הארגון</t>
  </si>
  <si>
    <t>איום פנימי/חיצוני</t>
  </si>
  <si>
    <t>חיבור ציוד מחשב לעמדת קצה ואו לעמדה/רשת מבודלת עם רגל החוצה לאינטרנט באמצעות: הקמת HOT SPOT ואו רשת אלחוטית</t>
  </si>
  <si>
    <t>התקן חיצוני (דוגמת LAPTOP, WIFI)</t>
  </si>
  <si>
    <t>אגירת המידע טרם הזלגתו - במערכת, ברשומות, במדיה חיצונית</t>
  </si>
  <si>
    <t>התקן חיצוני (דוגמת DOK, CD)</t>
  </si>
  <si>
    <t>שימוש בתהליך לגיטימי של מערכת מחשב שמוציא מידע החוצה לאינטרנט ועליו לייצא מידע נוסף שאינו רלוונטי לפעולה הנדרשת</t>
  </si>
  <si>
    <t>גישה לאינטרנט</t>
  </si>
  <si>
    <t xml:space="preserve">אבטחת רשת </t>
  </si>
  <si>
    <t>התקנה ושימוש בתוכנות שיתוף קבצים</t>
  </si>
  <si>
    <t>רשלנות מקצועית</t>
  </si>
  <si>
    <t>איבוד/הוצאה של מדיה, רשומות פיזיות ורכיבי מחשוב עם מידע מסווג, אל מחוץ למתקן והגעתם אל גורם עוין</t>
  </si>
  <si>
    <t>גישה פיזית</t>
  </si>
  <si>
    <t>הוצאה של רשומות גרוסות עם מידע מסווג, אל מחוץ למתקן והגעתם אל גורם עוין</t>
  </si>
  <si>
    <t>הנדסה חברתית לעובד פנימי/חיצוני</t>
  </si>
  <si>
    <t>שיטוי והתקנת רכיבי ריגול במתחם מסווג באמצעות הטמנת אמצעי האזנה/הקלטה/שידור</t>
  </si>
  <si>
    <t>אבטחה ברכש ופיתוח</t>
  </si>
  <si>
    <t>חבלה בשרשרת אספקה</t>
  </si>
  <si>
    <t>התקנת/החלפת מוצר/ציוד המוגדר כ"מטופל" ע"י גורם פנימי ואו חיצוני - לצרכי האזנה או לחדירה מרחוק לרשת, חוסר מודעות, רשלנות מקצועית, חוסר משמעת ואו עובד ממורמר.
ה"טיפול" יכול להתבצע לאורך כל שרשרת האספקה ואו התפעול: פיתוח, ייצור, משלוח, המתנה אצל ספק משנה, התקנה בלקוח, עדכוני חתימות, מפתחות הצפנה ותוכנה, תחזוקה, שליחה לתיקון וביצוע מבדקים (חדירה, פגיעויות, פורנזיקה וביקורת)</t>
  </si>
  <si>
    <t>גישה פיזית, גישה רשתית, גישה מרחוק</t>
  </si>
  <si>
    <t xml:space="preserve">ציתות לשיחות קוליות מסווגות בשל קירבה פיזית ואו בזמן ששיחה טלפונית אחרת מתקיימת ברקע </t>
  </si>
  <si>
    <t>גישה פיזית, גישה טלפונית</t>
  </si>
  <si>
    <t>נגישות לנקודה חמה ואו תווך/ציוד תקשורת אשר אליו מחוברות מערכות הארגון ופתיחת קו החוצה</t>
  </si>
  <si>
    <t>גישה פיזית, גישה רשתית</t>
  </si>
  <si>
    <t>נגישות לעמדת קצה של משתמש (כולל מכשיר סלולרי) והתקנת כלי הסנפה/תקיפה/השתלטות ואו הטמנת קוד, שינוי הגדרות מערכת, שאיבת מידע עם מדיה חיצונית ואו שימוש בהרשאות הלגיטימיות של המשתמש במערכות הארגון ואו ליצור חשבונות נוספים כדי לחדור למערכות.
במידה והעמדה אינה מחוברת לאינטרנט תיתכן התקנת ACCESS POINT  והמשך דפ"א בהתאם לעיל</t>
  </si>
  <si>
    <t xml:space="preserve">הצצה למחשבים/רשומות מסווגות </t>
  </si>
  <si>
    <t>שיבוש/השבתת שירותים</t>
  </si>
  <si>
    <t>איום חיצוני</t>
  </si>
  <si>
    <t>מניעת גישה למידע ואו שירות באתר אינטרנט באמצעות השבתת הרכיב על ידי מתקפת DDOS</t>
  </si>
  <si>
    <t>גישה פיזית, גישה ידי</t>
  </si>
  <si>
    <t>שרשרת אספקה ומיקור חוץ</t>
  </si>
  <si>
    <t>פרסום מידע סודי/שגוי</t>
  </si>
  <si>
    <t>הפצת מידע עסקי, פנימי ואו כוזב באתר אינטרנט (תכניות אסטרטגיות, סודות מסחריים, גורמים חיצוניים, לקוחות, שותפים עסקיים וכו')</t>
  </si>
  <si>
    <t>גישה פיזית, גישה שותפים</t>
  </si>
  <si>
    <t>האזנה לסניף בחו"ל מול המטה בישראל</t>
  </si>
  <si>
    <t>נגישות לנתונים של הארגון אשר עוברים בתווך בינ"ל מול המערכות בסניף בחו"ל.
לדוגמא האזנה לתקשורת בין רכיבי מחשוב של מערכת שלא בדרך קונבנציונלית (לדוגמא באמצעות שדה מגנטי בכבלים) ואו נגישות לנתונים של הארגון אשר עוברים בתווך בינ"ל</t>
  </si>
  <si>
    <t>גישה פיזית, גישה בתווך</t>
  </si>
  <si>
    <t>שטח למטה (סקאדה)</t>
  </si>
  <si>
    <t>הרכשה ושימוש בערוץ התקשורת מול הציוד בשטח</t>
  </si>
  <si>
    <t>גישה פיזית, גישה מול</t>
  </si>
  <si>
    <t xml:space="preserve">מניעת קוד זדוני
</t>
  </si>
  <si>
    <t>קשר של הארגון עם גורמים חיצוניים</t>
  </si>
  <si>
    <t>הטמנת קוד עוין בקבצים המועברים מהחברה לארגון - דרך המחשב של החברה ואו באתר אחסון המסמכים</t>
  </si>
  <si>
    <t>גישה פיזית, גישה באתר</t>
  </si>
  <si>
    <t>גיוס/ניצול בעל תפקיד עם הרשאות גבוהות, יכולת השפעה על המערכות/תהליכים, גישה מורשית רחבה למידע ואו נגישות פיזית למתחמים מסווגים והשבתתן/שיבושן תוך ביצוע נזק פיזי/לוגי ופרסום הנזק</t>
  </si>
  <si>
    <t>גישת הרשאות, גישה רשתית</t>
  </si>
  <si>
    <t>גיוס/ניצול בעל תפקיד עם הרשאות משתמש וניסיון לבצע העלאת הרשאות, החדרת כלי תקיפה ע"י התוקף במחשב של המשתמש (ביקורת, ספק, עובד חיצוני וכדומה) והמחובר למערכות הארגון</t>
  </si>
  <si>
    <t>גיוס/ניצול בעל תפקיד עם הרשאות משתמש ושימוש בחשבון של המשתמש כדי ליצור חשבונות נוספים ולהשתמש בחשבונות הללו לצורכי תקיפה תוך טשטוש יכולת הזיהוי של המתקפה בזמן אמת ואו באמצעות נתיב הביקורת</t>
  </si>
  <si>
    <t>מניעת קוד זדוני</t>
  </si>
  <si>
    <t>הדבקת מחשב של עובד באמצעים גלישה, לדוגמא:
א. קוד עוין ברשת אשר יורד ישירות מהאתר
ב. החדרת קוד עוין על גבי תעבורת הגלישה
ג. החדרת קוד עוין על גבי תשתית החזרת נתוני שאילתה אפליקטיבית
ד. חדירה באמצעות קוד עוין המקושר אל הרשת החברתית והדבקת התחנה כאשר מתבצעת פניה מתחנת העבודה לקישור</t>
  </si>
  <si>
    <t>הדרכות</t>
  </si>
  <si>
    <t>הדבקת מחשב של עובד באמצעות מייל, לדוגמא:
א. החדרת קוד עוין באמצעות שליחת קוד עוין המצורף להודעה.
ב. הכנסת קישור (LINK) נגוע להודעה המפנה לאתר מתחזה והטעיית המשתמש</t>
  </si>
  <si>
    <t>גישה פיזית, גישה מתחזה</t>
  </si>
  <si>
    <t>הדבקת מחשב של עובד על ידי חיבור מדיה נתיקה נגועה בקוד עוין</t>
  </si>
  <si>
    <t>גישה פיזית, גישה נגועה</t>
  </si>
  <si>
    <t>מסירת מידע ערכי ואו מסווג לגורמים לא מורשים ואו לתוקף, באופן וורבלי ואו באמצעות ניירת פיזית, העלולים לשמש לתקיפת המערכת</t>
  </si>
  <si>
    <t>גישה פיזית, גישה לשמש</t>
  </si>
  <si>
    <t>יצירת קישור לא מאובטח בין רשתות מבודלות</t>
  </si>
  <si>
    <t>גישה פיזית, גישה בין</t>
  </si>
  <si>
    <t>סקרי הערכת בקרות אבטחה</t>
  </si>
  <si>
    <t>איום הפנימי</t>
  </si>
  <si>
    <t>קנפוג/הקשחה לא מספקת/לא נכונה של אמצעי אבטחה ומחשוב</t>
  </si>
  <si>
    <t>עובד ממורמר</t>
  </si>
  <si>
    <t>שימוש בהרשאותיו הלגיטימיות לפעולות לא מורשות/גישה למידע שאינו מיועד עבורו</t>
  </si>
  <si>
    <t>גישה ממורמר, גישה רשתית</t>
  </si>
  <si>
    <t>מתקני אירוח חיצוניים HOSTING (שלא בניהול הארגון)</t>
  </si>
  <si>
    <t>חדירה לתווך/ציוד תקשורת/מערכות/מחשבי קצה של הספק אשר מחוברות למערכות הארגון.</t>
  </si>
  <si>
    <t>גישה אירוח, גישה רשתית</t>
  </si>
  <si>
    <t>חדירה למערכות הארגון דרך מערכות של לקוח אחר שמתארח במתקן</t>
  </si>
  <si>
    <t>גישה פיזית, גישה אחר</t>
  </si>
  <si>
    <t>האזנה מרחוק</t>
  </si>
  <si>
    <t>הפעלה מרחוק של המיקרופון/מצלמה במחשב אינטרנט</t>
  </si>
  <si>
    <t xml:space="preserve">הפעלה מרחוק של המיקרופון בטלפון IP </t>
  </si>
  <si>
    <t xml:space="preserve"> גישה המיקרופון</t>
  </si>
  <si>
    <t>הפעלה מרחוק של המיקרופון בטלפון נייד</t>
  </si>
  <si>
    <t>גישה המיקרופון</t>
  </si>
  <si>
    <t>דילוג מרכיב לרכיב (שרתים, תקשורת, מערכות) באמצעות ניצול הקישור ביניהם</t>
  </si>
  <si>
    <t>גישה פיזית, גישה ניצול</t>
  </si>
  <si>
    <t>חדירה לרשת ה- VOIP וממנה דילוג לרשתות אחרות</t>
  </si>
  <si>
    <t>גישה פיזית, גישה דילוג</t>
  </si>
  <si>
    <t xml:space="preserve">מיפוי משתמשי הארגון, חשבונות, כתובות, מבנה ארגוני ועוד </t>
  </si>
  <si>
    <t>גישה פיזית, גישה מבנה</t>
  </si>
  <si>
    <t>התחזות לארגון לצורך תקיפת ארגונים אחרים או משתמשים ספציפיים</t>
  </si>
  <si>
    <t>גישה פיזית, גישה או</t>
  </si>
  <si>
    <t>ניצול פגיעויות ידועות ולא ידועות בתוכנת המשתמש</t>
  </si>
  <si>
    <t>גישה פיזית, גישה ידועות</t>
  </si>
  <si>
    <t>שימוש בפרוטוקול לצורך חדירה לתחנת המשתמש והשתלטות</t>
  </si>
  <si>
    <t>גישה פיזית, גישה לתחנת</t>
  </si>
  <si>
    <t>כלל האיומים תחת "איום פנימי"</t>
  </si>
  <si>
    <t>החדרת נוזקה לארגון באמצעות גישה מרחוק</t>
  </si>
  <si>
    <t>גישה מרחוק</t>
  </si>
  <si>
    <t>החדרת נוזקה לארגון באמצעות תוכנה מטופלת</t>
  </si>
  <si>
    <t>גישה מרחוק, גישה לאינטרנט, התקן חיצוני (דוגמת DOK, CD)</t>
  </si>
  <si>
    <t>העתקת מידע של הארגון ללקוח אחר</t>
  </si>
  <si>
    <t>פיתוח מוצר תוכנה עבור הארגון המכיל חולשות מהותיות המנוצלות לרעה (דוגמת Back door)</t>
  </si>
  <si>
    <t>פגיעה בזמינות עקב מפגע סביבתי</t>
  </si>
  <si>
    <t>גורם עליון</t>
  </si>
  <si>
    <t>נסיבות קיצוניות הנגרמות בשל תופעות טבע היוצרות הצפה/שיטפון ופגיעה במתקן ואו נכסים חשובים</t>
  </si>
  <si>
    <t xml:space="preserve">נסיבות קיצוניות הנגרמות בשל תופעות טבע היוצרות רעידת אדמה ופגיעה פיזית במתקן </t>
  </si>
  <si>
    <t>נסיבות קיצוניות הנגרמות בשל תופעות טבע היוצרות שריפה ופגיעה במתקן ואו נכסים חשובים</t>
  </si>
  <si>
    <t>נסיבות קיצוניות הנגרמות בשל תופעות טבע היוצרות סערת ברקים והפרעות סטטיות ואו פגיעה במתקני שידור</t>
  </si>
  <si>
    <t>נסיבות קיצוניות הנגרמות בשל תופעות טבע היוצרות כשל באספקת חשמל ברמה הלאומית ואו המקומית</t>
  </si>
  <si>
    <t>נסיבות קיצוניות הנגרמות בשל תופעות טבע היוצרות כשל בממשק טלפוניה ציבורית</t>
  </si>
  <si>
    <t>נסיבות קיצוניות הנגרמות בשל תופעות טבע היוצרות כשל בממשק תקשורת לאינטרנט</t>
  </si>
  <si>
    <t>תיאור</t>
  </si>
  <si>
    <t>הממשק</t>
  </si>
  <si>
    <t>שליחת הודעת דוא"ל עם מידע ארגוני לגורם לא מורשה</t>
  </si>
  <si>
    <t>דוא"ל</t>
  </si>
  <si>
    <t>טעינת קובץ עם מידע ארגוני לאתר חיצוני  שאינו מורשה (דוא"ל, BOX וכו')</t>
  </si>
  <si>
    <t>העתקה ללא רשות של מידע ארגוני להתקן חיצוני (לרבות קוד מקור)</t>
  </si>
  <si>
    <t>התקן חיצוני (DOK, CD etc.)</t>
  </si>
  <si>
    <t>גישה למידע ארגוני (דיגיטלי/פיזי) ללא רשות</t>
  </si>
  <si>
    <t xml:space="preserve">גישה פיזית או גישה רשתית (כגון גישה מרחוק או שיטוט בתיקיות רשת)
</t>
  </si>
  <si>
    <t>התקנת תוכנה לא מורשית / תוכנה עם נוזקה</t>
  </si>
  <si>
    <t>עמדת עבודה, גישה רשתית</t>
  </si>
  <si>
    <t>חשיפת מידע ארגוני בפני לא מורשה (פישינג, שיחת חולין וכו')</t>
  </si>
  <si>
    <t>גישה לאינטרנט, גישה פיזית</t>
  </si>
  <si>
    <t>חיבור התקן חיצוני עם נוזקה לרשת הארגון</t>
  </si>
  <si>
    <t>מחיקה/שיבוש/מניעת גישה למידע ארגוני</t>
  </si>
  <si>
    <t>גניבה פיסית או אובדן של התקן/רכיב מחשוב</t>
  </si>
  <si>
    <t>גניבה פיסית או אובדן של מסמך מודפס המכיל מידע ארגוני</t>
  </si>
  <si>
    <t>מניעת שירות במבואות האינטרנט של הארגון</t>
  </si>
  <si>
    <t>חדירה/מחיקה/שיבוש/מניעת גישה לפורטל אינטרנטי</t>
  </si>
  <si>
    <t>החדרת נוזקה לארגון</t>
  </si>
  <si>
    <t>כיפוף ערוץ תקשורת (דוגמת BGP)</t>
  </si>
  <si>
    <t>טעות בהגדרה מאפשרת גישה של לא מורשים לרשת הארגון</t>
  </si>
  <si>
    <t>השתלטות על ממשק ניהול של שירות ענן ציבורי (דוגמת DNS, IaaS) או VPN ארגוני</t>
  </si>
  <si>
    <t>גניבת זהות ו/או התחזות לעובד/משתמש הארגון לשם השגת נגישות פיזית/לוגית</t>
  </si>
  <si>
    <t>גישה לאינטרנט, גישה טלפונית</t>
  </si>
  <si>
    <t>חשיפת מידע ארגוני בפני מבקר לא מורשה</t>
  </si>
  <si>
    <t>גניבה פיסית של התקן/רכיב מחשוב</t>
  </si>
  <si>
    <t>גניבה פיסית של מסמך מודפס המכיל מידע ארגוני</t>
  </si>
  <si>
    <t>סביבתי</t>
  </si>
  <si>
    <t>הצפה/שיטפון</t>
  </si>
  <si>
    <t>רעידת אדמה</t>
  </si>
  <si>
    <t>שריפה</t>
  </si>
  <si>
    <t>סערת ברקים</t>
  </si>
  <si>
    <t>כשל באספקת חשמל</t>
  </si>
  <si>
    <t>כשל בממשק טלפוניה ציבורית</t>
  </si>
  <si>
    <t>כשל בממשק תקשורת לאינטרנט</t>
  </si>
  <si>
    <t>אי עמידה ב-SLA או העדר שקיפות בעת מתן שירותי הגנה בסייבר</t>
  </si>
  <si>
    <t>גישה רשתית</t>
  </si>
  <si>
    <t>3. עבור כל איום, הגדר סבירות ועוצמה</t>
  </si>
  <si>
    <t>4. הגדר אופן טיפול באיומים בהתאם לתיאבון הסיכון</t>
  </si>
  <si>
    <t>5. הגדר בקרות מפצות וצעדים נוספים להפחתת הסיכון מתוך גיליון בקרות, או מתוך מאגר בקרות חלופי</t>
  </si>
  <si>
    <t>#</t>
  </si>
  <si>
    <t>חלופה בסיסית</t>
  </si>
  <si>
    <t>חלופה מתקדמת</t>
  </si>
  <si>
    <t>תת נושא</t>
  </si>
  <si>
    <t xml:space="preserve">שם נכס ויעד הגנה/תהליך </t>
  </si>
  <si>
    <t>יעד הגנה א</t>
  </si>
  <si>
    <t>יעד הגנה ב</t>
  </si>
  <si>
    <t>יעד הגנה ג</t>
  </si>
  <si>
    <t>יעד הגנה ד</t>
  </si>
  <si>
    <t>יעד הגנה ה</t>
  </si>
  <si>
    <t>סיכונים ואיומים</t>
  </si>
  <si>
    <t>מהות הנכס</t>
  </si>
  <si>
    <t>מערכת ERP המשרתת תהליכי רכש ותשלומים לספקים</t>
  </si>
  <si>
    <t>בעל הסיכון</t>
  </si>
  <si>
    <t>ישראל ישראלי</t>
  </si>
  <si>
    <t>סיווג המידע</t>
  </si>
  <si>
    <t>מידע חסוי, רמת הגנה גבוהה בהתאם לתקנות הגנת הפרטיות (אבטחת מידע)</t>
  </si>
  <si>
    <t>סווג סיכון</t>
  </si>
  <si>
    <t>זמינות/שלמות/סודיות</t>
  </si>
  <si>
    <t>תיאור הסיכון</t>
  </si>
  <si>
    <t>א. העדר יכולת לבצע רכש מוצרים, דבר הפוגע לאחר 24 שעות ביצור מוצרים חדשים
ב. העדר יכולת לשלם לספק תוך 14 ימים מיום קבלת מוצר עשוי לפגוע בחוסן האשראי של הארגון
ג. דלף מידע עשוי לפגוע במוניטין הארגון, וכן לגרור תביעות כנגד הארגון ונושאי המשרה</t>
  </si>
  <si>
    <t>עוצמה (Impact)</t>
  </si>
  <si>
    <t>סודיות, מהימנות ושלמות וזמינות</t>
  </si>
  <si>
    <t>מהי רמת הנזק המקסימלית שתיגרם לארגון בעקבות חשיפת מידע מהתהליך/נכס?  (C)</t>
  </si>
  <si>
    <t>מהי רמת הנזק המקסימלית שתיגרם לארגון בעקבות שיבוש המידע הקיים בתהליך/נכס? (I)</t>
  </si>
  <si>
    <t>מהי רמת הנזק המקסימלית שתיגרם לארגון בעקבות השבתת התהליך/נכס לפרק זמן ממושך?  (A)</t>
  </si>
  <si>
    <t>ציון עוצמה</t>
  </si>
  <si>
    <t>ציון ערך עוצמה</t>
  </si>
  <si>
    <t>סבירות (Likelihood)</t>
  </si>
  <si>
    <t>היסטוריית אירועים</t>
  </si>
  <si>
    <t>האם בשלוש שנים האחרונות התרחש בארגון ו/או בספקי הארגון אירוע סייבר?</t>
  </si>
  <si>
    <t>מודיעין איומים בסייבר
(במקרה של ספק אשר מאחסן מידע של צד ג', יש לקחת בחשבון את הערך הנגזר מהלקוח בעל רמת האיום המירבית)</t>
  </si>
  <si>
    <t>האם ממצאי מודיעין סייבר מהשנתיים האחרונות האחרונות מעידים כי הארגון ו/או ספקי הארגון ו/או ארגונים בסקטור הפעילות בארץ/בעולם מהווים יעד מועדף לתקיפה?</t>
  </si>
  <si>
    <t>האם ממצאי מודיעין סייבר מהשנתיים האחרונות האחרונות מעידים כי סוג המידע אשר הארגון מחזיק ברשותו מהווה יעד מועדף לתקיפה?</t>
  </si>
  <si>
    <t>האם ממצאי מודיעין סייבר מהשנתיים האחרונות האחרונות מעידים כי יעדי ההגנה (מערכות ו/או תהליכים ארגוניים) אשר הארגון עושה בהם מהווים יעד מועדף לתקיפה?</t>
  </si>
  <si>
    <t>האם ממצאי מודיעין סייבר מהשנתיים האחרונות האחרונות מעידים כי התגלו באופן תדיר חולשות ברמת חומרה גבוהה ביעדי ההגנה? (מערכות ו/או תהליכים ארגוניים)?</t>
  </si>
  <si>
    <t>מהו משטח התקיפה</t>
  </si>
  <si>
    <t>מספר המשתמשים (אנושי/אפליקטיבי/מחשב) הקיימים בתהליך/בנכס?</t>
  </si>
  <si>
    <t>מספר משתמשים חזקים במערכת (דוגמת Super user, Admin וכו)</t>
  </si>
  <si>
    <t>מי הם המשתמשים האנושיים בתהליך/הנכס?</t>
  </si>
  <si>
    <t>כמה ממשקים (לחיבור בין מערכת ל AD, API, WS, DB וכו') קיימים לתהליך/הנכס?</t>
  </si>
  <si>
    <t>מהו אופי ממשקי של התהליך/הנכס?</t>
  </si>
  <si>
    <t xml:space="preserve"> מהו סוג המידע הקיים בתהליך/הנכס?</t>
  </si>
  <si>
    <t>האם קיימת גישה מרחוק לתהליך/הנכס?
(גישת משתמשים מחוץ לרשת הארגונית, דוגמת VPN, IP-VPN , OWA וכו)</t>
  </si>
  <si>
    <t>מהי רמת מידור ההרשאות לתהליך/הנכס?</t>
  </si>
  <si>
    <t>מהי רמת העדכניות של התהליך/הנכס?</t>
  </si>
  <si>
    <t>מהי מדיניות העדכונים וטלאי האבטחה?</t>
  </si>
  <si>
    <t>מהי רמת האבטחה הפיזית של התהליך/ הנכס?</t>
  </si>
  <si>
    <t>מהו מספר התהליכים/הנכסים התלויים בנכס/התהליך הנבחן?</t>
  </si>
  <si>
    <t>ציון ערך סבירות</t>
  </si>
  <si>
    <t>ציון ערך סבירות להתרחשות האיום</t>
  </si>
  <si>
    <t>ציון ערך סיכון שורשי</t>
  </si>
  <si>
    <t>הטיפול הסיכון</t>
  </si>
  <si>
    <t>בקרות הגנה</t>
  </si>
  <si>
    <t>הגורם האחראי למימוש אמצעי הפחתה</t>
  </si>
  <si>
    <t>אפקטיביות הבקרות (סקרי בטיחות, תרגילי סייבר, מוצר חדש, ביקורות, בקרה טכנית דוגמת BAS)</t>
  </si>
  <si>
    <t>תקינות הבקרות [(1) האם המוצר פרוס באופן מלא בהתאם למדיניות ? בעיקר רלוונטי ל- AGENT-ים לדוגמה AV, PFW, EDR וכו' (2) האם המוצר פעיל  (3) האם המוצר מעודכן ? בעיקר רלוונטי למוצר שמבוסס עדכונים עיתיים (4) האם המוצר עושה מה שאמור היה לעשות ?]</t>
  </si>
  <si>
    <t>ציון ערך סיכון שיורי</t>
  </si>
  <si>
    <t>שאלה</t>
  </si>
  <si>
    <t>חישוב העוצמה (Impact)</t>
  </si>
  <si>
    <t xml:space="preserve">הנזק מוערך כאחד או יותר מהקריטריונים הבאים:
א) עלות של עד 500,000 ש"ח לארגון.
ב) השקעה של עד שני חודשי אדם לצורך טיפול באירוע. 
ג) הנכס מוגדר כמאגר מידע המנוהל על ידי יחיד על פי תקנות הגנת הפרטיות (אבטחת המידע).
ד) השבתה של השירות/מערכת למשך מספר דקות
ו) פגיעה נמוכה במוניטין הארגון
</t>
  </si>
  <si>
    <t>הנזק מוערך כאחד או יותר מהקריטריונים הבאים:
א) עלות לארגון של יותר מ-500,000 ש"ח, אך פחות מ-10,000,000 ש"ח.
ב) השקעה של יותר משישה חודשי אדם, אך פחות מ-5 שנות אדם לצורך הטיפול באירוע.
ג) הנכס מוגדר כמאגר מידע שחלה עליו רמת האבטחה הנמוכה על פי תקנות הגנת הפרטיות (אבטחת המידע).
ד) השבתה של השירות/מערכת למשך פרק זמן של עד ארבע שעות עבודה
ה) פגיעה בינונית במוניטין הארגון</t>
  </si>
  <si>
    <t>הנזק מוערך כאחד או יותר מהקריטריונים הבאים:
א) עלות לארגון של יותר מ-10,000,000 ש"ח.
ב) השקעה של יותר מ-5 שנות אדם לצורך הטיפול באירוע.
ג) הנכס מוגדר כמאגר מידע שחלה עליו רמת האבטחה הבינונית על פי תקנות הגנת הפרטיות (אבטחת המידע).
ד) קיימת סכנה אפשרית לחיי אדם.
ה) השבתה של השירות/מערכת למשך עד יום עבודה
ו) פגיעה גבוהה במוניטין הארגון</t>
  </si>
  <si>
    <t>ייגרם נזק משמעותי, אשר יכלול אחד משני התרחישים מטה:
א) קיימת סכנה ברורה ומיידית לחייהם של אנשים רבים. 
ב) נזק כלכלי המוערך ביותר מ-100,000,000 ש"ח.
ג) הנכס מוגדר כמאגר מידע שחלה עליו רמת האבטחה הגבוהה על פי תקנות הגנת הפרטיות (אבטחת המידע) .
ד) קיימת סכנה ברורה לבריאות הציבור
ה) קיימת סכנה ברורה לחיי אדם.</t>
  </si>
  <si>
    <t>חישוב הסבירות (Liklihood)</t>
  </si>
  <si>
    <t>לא התרחש אירוע סייבר.</t>
  </si>
  <si>
    <t>התרחש אירוע סייבר שולי אשר סוכל מידית.</t>
  </si>
  <si>
    <t>התרחש אירוע סייבר שולי אשר לא סוכל מידית.</t>
  </si>
  <si>
    <t>התרחש אירוע סייבר מהותי.</t>
  </si>
  <si>
    <t>מודיעין איומים בסייבר</t>
  </si>
  <si>
    <t>אין אינדיקציה</t>
  </si>
  <si>
    <t>מספר קטן של דו"חות המודיעין מצביעים כי הארגון ו/או ספקי הארגון ו/או ארגונים בסקטור פעילות דומה מהווים יעד מועדף לתקיפה</t>
  </si>
  <si>
    <t>חלק מדו"חות המודיעין מצביעים כי הארגון ו/או ספקי הארגון ו/או ארגונים בסקטור פעילות דומה מהווים יעד מועדף לתקיפה</t>
  </si>
  <si>
    <t>מרבית או כל דו"חות המודיעין מצביעים כי הארגון ו/או ספקי הארגון ו/או ארגונים בסקטור פעילות דומה מהווים יעד מועדף לתקיפה או ישנו מידע קונקרטי המעיד כי הארגון מהווה יעד מועדף לתקיפה</t>
  </si>
  <si>
    <t>מספר קטן של דו"חות המודיעין מצביעים כי מידע שברשות הארגון מהווה יעד מועדף לתקיפה</t>
  </si>
  <si>
    <t>חלק מדו"חות המודיעין מצביעים כי מידע שברשות הארגון מהווה יעד מועדף לתקיפה</t>
  </si>
  <si>
    <t>מרבית או כל דו"חות המודיעין מצביעים כי מידע שברשות הארגון מהווים יעד מועדף לתקיפה</t>
  </si>
  <si>
    <t>מספר קטן של דו"חות המודיעין מצביעים כי יעדי ההגנה בהם הארגון עושה שימוש מהווים יעד מועדף לתקיפה</t>
  </si>
  <si>
    <t>חלק מדו"חות המודיעין מצביעים כי יעדי ההגנה בהם הארגון עושה שימוש מהווים יעד מועדף לתקיפה</t>
  </si>
  <si>
    <t>מרבית או כל דו"חות המודיעין מצביעים כי יעדי ההגנה בהם הארגון עושה שימוש מהווים יעד מועדף לתקיפה</t>
  </si>
  <si>
    <t xml:space="preserve">נחשפו לפחות שתי חולשות אשר סווגו כ-CVSS במדרג 1 עד 3 (לא כולל) </t>
  </si>
  <si>
    <t xml:space="preserve">נחשפו לפחות שתי חולשות אשר סווגו כ-CVSS במדרג 3 עד 6 (לא כולל) </t>
  </si>
  <si>
    <t xml:space="preserve">נחשפו לפחות שתי חולשות אשר סווגו כ-CVSS במדרג 6 ומעלה </t>
  </si>
  <si>
    <t>משטח התקיפה</t>
  </si>
  <si>
    <t>.1-10</t>
  </si>
  <si>
    <t>.11-50</t>
  </si>
  <si>
    <t>.51-500</t>
  </si>
  <si>
    <t>יותר מ-500.</t>
  </si>
  <si>
    <t>1-3</t>
  </si>
  <si>
    <t>4-10</t>
  </si>
  <si>
    <t>11-15</t>
  </si>
  <si>
    <t>16 ומעלה</t>
  </si>
  <si>
    <t>עובדים פנימיים בלבד.</t>
  </si>
  <si>
    <t>ספקים חיצוניים/לקוחות קבועים.</t>
  </si>
  <si>
    <t>ספקים חיצוניים/לקוחות מזדמנים.</t>
  </si>
  <si>
    <t>הציבור הרחב.</t>
  </si>
  <si>
    <t>ללא ממשקים</t>
  </si>
  <si>
    <t>.1-5</t>
  </si>
  <si>
    <t>.6-10</t>
  </si>
  <si>
    <t>מעל 10.</t>
  </si>
  <si>
    <t>ללא ממשקים.</t>
  </si>
  <si>
    <t>ממשקים פנים- ארגוניים.</t>
  </si>
  <si>
    <t>ממשקים חיצוניים מול ספקים.</t>
  </si>
  <si>
    <t>ממשקים לציבור הרחב.</t>
  </si>
  <si>
    <t>ללא רגישות מיוחדת.</t>
  </si>
  <si>
    <t>מידע פנימי של הארגון.</t>
  </si>
  <si>
    <t>מידע עסקי רגיש/חסוי.</t>
  </si>
  <si>
    <t>מידע רגיש/חסוי בהתאם לחוק הגנת הפרטיות או בהתאם להגדרת חוק/רגולציה.</t>
  </si>
  <si>
    <t>ללא גישה מרחוק.</t>
  </si>
  <si>
    <t xml:space="preserve">הגישה מחייבת  MFA </t>
  </si>
  <si>
    <t>המערכת מצריכה פרטי הזדהות (דוגמת שם משתמש וסיסמה או כרטיס וכו')</t>
  </si>
  <si>
    <t>גישה אנונימית/פתוחה לכולם</t>
  </si>
  <si>
    <t>מידור מלא (הרשאות לפי קבוצות /תפקידים ובהתאם לעקרון need to know).</t>
  </si>
  <si>
    <t>מידור פרטני (הרשאות ניתנו בהתאם לצורך הארגוני להיחשף למידע הנדרש בהתאם לשיוך ארגוני).</t>
  </si>
  <si>
    <t>מידור בסיסי (מנהל ומשתמש).</t>
  </si>
  <si>
    <t>ללא מידור (הרשאות זהות לכולם).</t>
  </si>
  <si>
    <t>גרסה אחרונה אשר פורסמה רשמית.</t>
  </si>
  <si>
    <t>עד גרסה אחת לאחור.</t>
  </si>
  <si>
    <t>עד שתי גרסאות  לאחור.</t>
  </si>
  <si>
    <t>שלוש גרסאות ומעלה לאחור ו/או גרסאות שאינן נתמכות עוד על-ידי היצרן.</t>
  </si>
  <si>
    <t>התקנת כלל העדכונים לפחות אחת לחודש.</t>
  </si>
  <si>
    <t>התקנת כלל העדכונים אחת לרבעון.</t>
  </si>
  <si>
    <t>עדכוני אבטחה קריטיים בלבד אחת לרבעון.</t>
  </si>
  <si>
    <t>ללא תהליך עדכונים מסודר.</t>
  </si>
  <si>
    <t>נגיש לגורמים מורשים בלבד</t>
  </si>
  <si>
    <t>נגיש לכלל עובדי הארגון.</t>
  </si>
  <si>
    <t>נגיש לקבלנים חיצוניים.</t>
  </si>
  <si>
    <t>נגיש לכלל המבקרים בארגון לרבות ספקים ולקוחות.</t>
  </si>
  <si>
    <t>לא קיימת תלות</t>
  </si>
  <si>
    <t>עד שניים</t>
  </si>
  <si>
    <t>שניים עד חמישה</t>
  </si>
  <si>
    <t>מעל חמישה</t>
  </si>
  <si>
    <t>גורמים להפחתה בסבירות</t>
  </si>
  <si>
    <t>האם הארגון הוכיח בשנה האחרונה כי הוא מסוגל להתאושש תוך עמידה במדדים מקובלים?</t>
  </si>
  <si>
    <t>כן.</t>
  </si>
  <si>
    <t>התקיימה חריגה קלה מהמדדים אשר הוגדרו</t>
  </si>
  <si>
    <t>התקיימה חריגה מהותית מהמדדים אשר הוגדרו</t>
  </si>
  <si>
    <t>לא.</t>
  </si>
  <si>
    <t>האם הארגון עושה באמצעים מקובלים לשיפור רמת השרידות במקרה של אירוע סייבר או תקלה?</t>
  </si>
  <si>
    <t>נעשה שימוש באמצעי מקובל + בכל שבוע מתבצעת בדיקת תקינות הכולל ביצוע יישום בפועל של התהליך.</t>
  </si>
  <si>
    <t>נעשה שימוש באמצעי מקובל + בכל חודש מתבצעת בדיקת תקינות הכולל ביצוע יישום בפועל של התהליך.</t>
  </si>
  <si>
    <t>נעשה שימוש באמצעי מקובל + בכל רבעון מתבצעת בדיקת תקינות הכולל ביצוע יישום בפועל של התהליך.</t>
  </si>
  <si>
    <t>האם ברשות הארגון ביטוח סייבר תקף?</t>
  </si>
  <si>
    <t xml:space="preserve">קיים ביטוח סייבר אשר הותאם לצורכי הארגון ע"י סוכן ביטוח + הנהלת ודירקטוריון הארגון אישרו את תכולתו </t>
  </si>
  <si>
    <t xml:space="preserve">קיים ביטוח סייבר אשר הותאם לצורכי הארגון ע"י סוכן ביטוח + הנהלת הארגון אישרה את תכולתו </t>
  </si>
  <si>
    <t>קיים ביטוח סייבר ללא התאמה אישית</t>
  </si>
  <si>
    <t>1. בחר מאגר דפאות/תרחישים עבור הסקר. ניתן להיעזר בגיליונות שבמסמך זה או במאגר חלופי</t>
  </si>
  <si>
    <t>2. הגדר מתוך כלל האיומים והתרחישים, את האיומים לייחוס</t>
  </si>
  <si>
    <t>מקור</t>
  </si>
  <si>
    <t>1. לדירקטוריון הארגון השפעה משמעותית על החזון והתרבות הארגונית, ולפיכך מומלץ לפעול תוך שיתוף פעולה שוטף איתו.
2. בעת הצגת סיכוני הסייבר לחברי הדירקטוריון מומלץ להתמקד ברמה העסקית, ולצמצם למינימום את השימוש במושגים טכנולוגיים.
3. מומלץ לשלוח למזכיר הדירקטוריון את המידע שיוצג בפגישת הדירקטוריון זמן סביר לפניה, כדי להבטיח חלוקת קשב נאותה בזמן הדיון.
4. בסוף הפגישה, מומלץ להשאיר לחברי הדירקטוריון חומר מקצועי מודפס לשם העמקה נוספת.
5. מומלץ כי ממונה הגנת המידע והסייבר יחזיק העתק של פרוטוקול הדיון והחלטות הדירקטוריון, וזאת לשם מעקב אחר יישום ההנחיות והצבעה על פערים במקרה הצורך.
6. מומלץ לסקור בפגישת הדירקטוריון אירועי סייבר משמעותיים שהתרחשו בסקטור הפעילות, תוך חיבור לסוגיות הרלוונטיות לארגון.
7. מומלץ כי ממונה הגנת המידע והסייבר יהיה שותף פעיל בכתיבת פרק הסיכונים המופץ כחלק מדו"חות פנימיים/חיצוניים.
8. רתימת מנהל הסיכונים הארגוני (CRO) לנושא הגנת מידע וסייבר מעלה את הסבירות להגדלת רמת הקשב של חברי הדירקטוריון.
9. מומלץ לוודא כי הוגדר אחוז מתקציב מערכות המידע ו/או מהמחזור העסקי לטובת הגנת מידע וסייבר, וכי בספר התקציב קיים סעיף תקציב ייעודי לכך.
10. מומלץ לקיים מדי פעם סיורים עם חברי הדירקטוריון בגוף הגנת המידע והסייבר, כדי שייחשפו באופן בלתי אמצעי לאתגרים השונים, ויראו כי תקציב הגנת המידע והסייבר אשר הוקצה נוצל באופן אפקטיבי.
11. מומלץ לקשור את נושא הגנת המידע והסייבר לנושאים רוחביים, דוגמת מובילות עסקית-טכנולוגית ואחריות חברתית.
12. מומלץ למנות בקרב חברי הדירקטוריון נציג אחד לפחות שיהיה מוקד ידע (ברמה הניהולית) בנושא. לטובת עמידה בדרישה זו, חשוב לוודא כי מפת הסיכונים מוצגת לו בשפה העסקית, וכי הוא מודע למענה הקיים כיום בארגון ולפעולות הנדרשות לטובת צמצום הפער והגעה לרמת סיכון מקובלת. 
13. חשוב כי הדירקטוריון יגדיר את רמת הסיכון שאותה הארגון מעוניין לקחת ("תיאבון הסיכון" - לדוגמה, כפונקציה של איום ייחוס או של מבחן עלות/תועלת).
14. אם לארגון אין דירקטוריון, יש לוודא כי תכלית הבקרה מיושמת על ידי ההנהלה.</t>
  </si>
  <si>
    <t xml:space="preserve">1. ודאו כי פרוטוקולי הדיון מהשנה האחרונה מעידים כי התקיימו ישיבות דירקטוריון שבהן הוצגו נושאים מקובלים, כמו:
א. רשימת יעדי ההגנה שמופו  - תהליכים ארגוניים ויעדי ההגנה (לרבות טכנולוגיות תומכות).
ב. תוצאות סקר סייבר ארגוני שבוצע וחשיפות עיקריות. 
ג. מפת סיכוני הסייבר של הארגון.
ד. אירועי סייבר בארץ ובעולם, ומסקנות נגזרות.
2. ודאו כי קיים פרוטוקול של ישיבת הדירקטוריון המכיל אישור/תיקוף מדיניות הגנת המידע והסייבר, וכי תאריך האישור/התיקוף הינו מהשנה האחרונה.
2. ודאו כי בשנה האחרונה תועדו בפרוטוקול ישיבות דירקטוריון אשר כללו הצגה של מפת הסיכונים, תוכנית העבודה, אישור התקציב השנתי, וכן מעקב תקופתי אחר היישום בפועל.
3. ודאו כי בדירקטוריון ישנו גורם מקצוע פנימי או חיצוני המלווה אותו באופן קבע, וכי בשנה האחרונה הוא המציא חוות דעת תומכות החלטה (בכתב).
4. ודאו כי קיים פרוטוקול ישיבת דירקטוריון המכיל התייחסות לאירועי סייבר שהתרחשו, ומעקב אחר ביצוע פעולות מתקנות.
5. ודאו כי ישנה התאמה בין תדירות פגישות הדירקטוריון שנקבעה, לזו אשר התקיימה בפועל, וזאת בראייה של שנה לאחור.
6. ודאו כי הדירקטוריון עיגן בכתבי המינוי של נושאי המשרה התייחסות לאחריותם האישית לנושא ההגנה בסייבר.
7. ודאו כי נושאי המשרה בארגון מודעים לחובותיהם האישיות בנושא הגנת מידע וסייבר. ניתן לעשות זאת, לדוגמה, באמצעות תשאול.
8. ודאו כי תקנון הדירקטוריון כולל היתר למנהל הגנת מידע וסייבר לפנות אל הדירקטוריון במישרין.
9. ודאו כי בספר התקציב הארגוני קיים סעיף ייעודי להגנת מידע וסייבר.
10. ודאו כי הדירקטוריון מפעיל את מבקר הפנים באופן תקופתי לשם בחינת מצב הגנת מידע וסייבר בארגון.
11. ודאו כי חברי הדירקטוריון השתתפו בשנה האחרונה בתרגיל סייבר, אשר כלל התייחסות לתרחישים רלוונטיים שנגזרו מפרופיל הסיכון (Risk Profile) העדכני.
</t>
  </si>
  <si>
    <t xml:space="preserve">1. יש לתת את הדעת לדרישות החקיקה והרגולציה בחו"ל ובארץ, תוך התייחסות לפרמטרים מקובלים, דוגמת המיקום הלוגי/הפיזי שבו מתבצעים תהליכי עיבוד, שינוע ואחסון המידע, וכן המיקום הפיזי והלוגי של הלקוחות.
2. בעת עבודה עם מדינות המבוססות על פדרציה יש להתייחס לחקיקה ולרגולציה הן ברמת הפדרציה והן וברמת כל מדינה רלוונטית.
3. מומלץ להתייעץ עם גורמי רגולציה רלוונטיים, דוגמת הרגולטור בסקטור הפעילות.
4. יש לוודא כי תהליך המיפוי מלווה על ידי היועץ המשפטי של הארגון.
5. יש להכין רשימה של כל הדרישות החוקיות, הרגולציות, ההתחייבויות החוזיות והצרכים העסקיים שזוהו. דוגמהות לדרישות חוקיות ורגולטוריות יכולות להיות עמידה בדרישות משרד המשפטים (רישום מאגרי מידע והגנה על הפרטיות), הגנה על כרטיסי אשראי בהתאם לדרישות תקן PCI, או דרישות של ספקים ולקוחות לעמידה בנוהלי ההגנה בסייבר שהארגון חתם עליהם.
6. יש לבצע ולתעד מבדקי ציות אשר מראים כי הדרישות הנ"ל מבוצעות בארגון.
7. יש לבצע "סקר הנהלה" לגבי התהליכים השונים, לצורך וידוא ציות לתקנים ולדרישות אבטחת מידע. סקר זה יבחן את הפרמטרים השונים בתחום ההגנה בסייבר ויספק להנהלה תמונת מצב של החוזקות והחולשות של הארגון.
8. יש להגדיר מיהו הגורם בארגון שאמון על נושא הגנת המידע והסייבר כחלק מהגדרת תפקידו.
9. יש לוודא כי ברשות הארגון פרטי קשר עדכניים של הרגולטורים וגורמים ציבוריים רלוונטים.
</t>
  </si>
  <si>
    <t>1. יש לבצע בקרת תאימות לדרישות חוק, רגולציה, דרישות חוזיות וצרכים עסקיים.
2. יש לוודא שילוב של תהליכי כתיבה ואישור נוהלי עבודה בתהליכי ארגון ושיטות של הארגון.
3. יש לתת את הדעת על כך שלנוהלי עבודה יש משמעות משפטית מחייבת כלפי פנים וחוץ.
4. יש לוודא אחת לשנה לפחות את עדכניות נוהלי העבודה והרלוונטיות שלהם, וכי ועדת היגוי להגנת מידע וסייבר או לכל הפחות חבר הנהלה בכיר אישרו אותם בכתב.
5. יש לוודא כי נוהלי העבודה מחייבים שימוש בשיטות ואמצעים עדכניים לשם הגנה על מידע אישי.
6. יש לודא כי נוהלי העבודה מעגנים את חלוקת האחריות ומשימות הגנת הפרטיות בין הגורמים המעורבים בתהליכים הרלוונטיים.
7. יש לוודא כי נוהלי העבודה משקפים את שילוב הגנת הפרטיות בתהליכי המשילות (דוגמת מדיניות הגנת מידע וסייבר, ערכי הארגון והחזון הארגוני, ציות, הדרכות ונוהלי עבודה).
8. יש לוודא כי הארגון מאפשר לנושאי המידע (Data Subjects) לממש את זכויותיהם בהתאם לדרישות הגנת הפרטיות. דוגמה ליישום: הארגון מפעיל מנגנונים מקובלים המאפשרים ללקוחותיו מימוש של הזכויות הבאות בהתאם ל-GDPR (האסדרה הכללית להגנה על מידע) -Right to be informed, Risk of Access, Right of Recertification, Right to Erasure - "Right to be Forgotten", Rights to ReCIfication of Processing, Notification Obligation, Right to Data Portability, Right to Object, Automated decision-making.
9. יש לוודא כי הארגון עושה שימוש באמצעים מקובלים לשם קבלת משוב לגבי אפקטיביות ויעילות תהליכי האחסון ועיבוד המידע האישי, לרבות תהליך ניהול הסיכונים. דוגמה ליישום: ביצוע סקרים תקופתיים בקרב לקוחות הארגון או שימוש בקבוצות מיקוד.
10. יש לוודא כי הארגון מאמץ את עיקרון העיצוב לפרטיות (Privacy by Design) בעת תכנון ויישום שירותים ומוצרים. משמע שכל חובות השולט במידע וזכויות הפרט חייבות להיות משולבות מראש בתהליכים הארגוניים הפנימיים ובמוצר עצמו.
11. יש לוודא כי הארגון מנגיש לגורמים הרלוונטיים ממשקים מקובלים המאפשרים פנייה לארגון בשאלות/הבהרות בנושאי הגנת פרטיות. 
12. יש לוודא כי הארגון מתעד פניות של גורמים רלוונטיים בנושא הגנת הפרטיות.
13. יש לוודא כי ברשות הארגון נוהלי עבודה בנושא קבלת/שליחת מידע לגורמי צד שלישי, דוגמת לקוחות, ספקי משנה ורגולטורים.</t>
  </si>
  <si>
    <t>11. נוהלי העבודה מוטמעים באופן אוטומטי במערכות הארגון, ונאכפים באופן רציף ומבוקר על ידי מנהל הגנת הסייבר. לדוגמה, הוצאת חשבונית לספק או התקשרות חדשה כוללת התייחסות מצד מנהל הגנת הסייבר כחלק מהתהליך הממוכן.</t>
  </si>
  <si>
    <t>1.ודאו כי ברשות הארגון מדיניות ניהול משתמשים והרשאות ארגונית שאושרה בשנה האחרונה לכל היותר.
2. ודאו באופן מדגמי כי כל סעיפי המדיניות הוטמעו בארגון. לדוגמה:
א. ודאו כי לכל משתמש שם ייחודי במערכת.
ב. ודאו כי ישנה הפרדה מוחלטת בין בעלי התפקידים השונים ובין הפונקציות העסקיות השונות.
ג. ודאו כי ההרשאות הניתנות מותאמות לפרופיל המשתמש.
ד. ודאו כי הגדרות התפקידים מתועדות כחלק מנוהלי החברה.
ה. ודאו כי התבצע תהליך אימות וזיהוי של כל משתמש המתחבר ליעדי ההגנה בארגון (וכי מבוצעת הטמעת מנגנונים מתאימה במידה וצורכי/נוהלי הארגון דורשים זאת).
ו. עקבו אחר הלוגים המנטרים את חשבונות המשתמשים.
ז. ודאו כי כאשר למשתמש/יעד ההגנה ישנו מדרג סיכון חריג המערכת מגבילה את ההרשאות, כך שבמקרה של אירוע סייבר הנזק שיגרם יהיה מצומצם יותר.
ח. ודאו שימוש בשיטות אימות מקובלות למחשבים ומשתמשים, כמו MFA ו-802.1x.
ט. ודאו כי פרטי החשבון האחרון אינם מוצגים בחלון ה-Login.
י. ודאו כי ברשות הארגון תיעוד עדכני של חשבונות המשתמשים האנושיים, האפליקטיביים וחשבונות מכונה (חשבון מחשב), וכן רמת ההרשאות שלהם.
י"א. ודאו כי ברשות הארגון מיפוי עדכני של קבוצות ומשתמשים רגישים (דוגמת VIP).
י"ב. ודאו כי ברשות הארגון פרטי קשר עדכניים של המשתמשים הקיימים.
3. ודאו באופן מדגמי כי אין למשתמשים ביעדי ההגנה הרשאות עודפות (לרבות חשבונות Guest\Anonymous וכד').
4. ודאו באופן מדגמי כי אי אפשר לחבר לרשת הארגון יעדי ההגנה לא מורשים.
5. ודאו כי ברשות הארגון פתרון NAC\SASE או פתרון אחר לניהול מרכזי של תהליך האימות של חשבונות אפליקטיביים (לרבות חשבונות מחשב).
6. ודאו כי ברשות הארגון פתרון IAM\AD או פתרון אחר לניהול מחזור החיים של משתמשים אנושיים/אפליקטיביים (לרבות חשבונות מחשוב) והרשאות.
7. ודאו כי ברשות הארגון מיפוי עדכני של חשבונות משתמשים אנושיים/אפליקטיביים (לרבות חשבונות מחשוב) והרשאות.
8. ודאו באופן מדגמי כי תהליך ניהול ה-Permissions Inheritance הינו אפקטיבי.
9. ודאו באופן מדגמי כי אין לחשבונות Guest הרשאות חריגות.
10. ודאו באופן מדגמי כי לא ניתן לגשת באופן אנונימי ליעדי הגנה אסורים בגישה.
11. ודאו באופן מדגמי כי לא ניתן לגשת באופן אנונימי למידע אסור בגישה.</t>
  </si>
  <si>
    <t>19. הארגון וידא כי הוטמעו עקרונות מקובלים להפרדת סמכויות (SOD – Separation of Duties), כדי לצמצם למינימום את הסיכון לשימוש לרעה בהרשאות לגיטימיות.
20. הארגון וידא את קיומם של נוהלי עבודה הכוללים התייחסות לתרחישים שכיחים, דוגמת:
א. טיפול בחשבונות משתמשים זמניים.
ב. טיפול בחשבונות משתמשים אפליקטיביים (לרבות חשבון מחשב).
ג. טיפול בחשבונות חירום (דוגמת Administrator Account) שאינם פעיל בשגרה.
ד. אירועים חריגים.
ה. יציאה/חזרה מחופשה מתוכננת ולא מתוכננת.
ו. תהליך ההקמה של חשבון משתמש חדש בשלב קליטת עובד חדש.
ז. ניוד עובד לתפקיד אחר וסיום העסקה.
ח. תהליך הנעילה/המחיקה של חשבון משתמש בשלבי השימוע/הפרישה/פיטורים.
ט. חשיפת פרטי אימות.
י. ניצול לרעה של הרשאות לגיטימיות.
יא. חשבון משתמש/אפליקטיבי (לרבות חשבון מחשב) ללא פעילות מזה X ימים.
יב. הפרדת סמכויות.
יג. טיפול בחריגים.
21. הארגון וידא כי הוא צמצם את השימוש בחשבונות מקומיים (Local Account) למינימום האפשרי.
22. הארגון וידא כי הוא הגדיר לכל חשבון משתמש אנושי/אפליקטיבי (לרבות חשבון מחשב) את סוג אסימון האימות (Authentication/Access Token) אשר ייעשה בו שימוש, בהתאם לדרישות חוסן עדכניות ומקובלות.
23. הארגון וידא כי הגדיר לכל חשבון משתמש אנושי/אפליקטיבי (לרבות חשבון מחשב) את סוג אסימון ההזדהות/ייפוי כוח (Authorization/Delegation) אשר ייעשה בו שימוש, בהתאם לדרישות חוסן עדכניות ומקובלות.
24. הארגון וידא כי הקצה שירותי ספרייה (Directory Services) ייעודיים לכל קבוצת משתמשים בעלי פרופיל דומה. דוגמה ליישום: הגדרת IAM אחד לחשבונות משתמשי הארגון, ו-IAM אחר לחשבונות לקוחות הארגון.
25. ודאו כי הארגון נדרש לעשות שימוש במערכת מרכזית לניהול משתמשים והרשאות.</t>
  </si>
  <si>
    <t>26. הארגון וידא כי לכל חשבון משתמש/אפליקטיבי (לרבות חשבון מחשב) מוגדר כברירת מחדל תאריך פג-תוקף (שנה או פחות), וכי ישנו תהליך ארגוני סדור לחידוש ההיתר לשימוש בחשבון.
27. הארגון וידא כי הוא עושה שימוש בחשבונות משתמשים שונים לכל סביבה בעלת רמת אמון שונה (Trust Level). דוגמה ליישום: חשבון משתמש של מפתח תוכנה לא יוכל לבצע פעולות בסביבת ייצור.
28. הארגון וידא כי תהליכי ניהול של חשבונות חזקים מחייבים אישור של שני גורמים בלתי-תלויים לפחות (Two Controls). לדוגמה: תהליך יצירת משתמש חזק בסיסטם מחייב אישור של מנהל מערכות המידע (CIO) וממונה הגנת המידע והסייבר (CISO).
29. הארגון וידא כי הוא אינו מאפשר שימוש בחשבונות מקומיים (Local Account).
30. הארגון וידא כי בתהליכי האימות לא נעשה שימוש במזהים (דוגמת חשבונות משתמשים) המכילים מידע אישי של משתמש. לדוגמה: שם המשתמש בגישה לרשת לא יהיה מבוסס על שמו הפרטי, שם המשפחה שלו או מספר תעודת הזהות שלו.
31. הארגון וידא כי חשבונות משתמשים חזקים אינם עושים שימוש בשמות גנריים. לדוגמה: שם חשבון ה-Administrator ישונה לשם שאינו ניתן לניחוש.
32. הארגון וידא כי בתהליכי האימות לא נעשה שימוש במזהים (דוגמת חשבונות משתמשים) המכילים מידע מרשת אחרת בעלת רמת אמון שונה (Trust Level). דוגמה ליישום: רשת OT תעשה שימוש במזהים שונים מאשר רשת ה-IT.
33. הארגון וידא כי הטמיע עקרונות אימות מסתגל (Adaptive Authentication).</t>
  </si>
  <si>
    <t>34. הארגון וידא כי צומצם למינימום הצורך בשימוש ביד אדם לצורך ביצוע תהליכי ניהול משתמש אנושי/אפליקטיבי (לרבות חשבון מחשב) והרשאות ברמה חוצת ארגון ומערכות. דוגמה ליישום: נעשה שימוש במערכת IDM.
35. הארגון וידא כי צומצם למינימום הצורך בשימוש ביד אדם לצורך בקרה על תקינות תהליך ניהול משתמש אנושי/אפליקטיבי (לרבות חשבון מחשב) והרשאות ברמה חוצת ארגון ומערכות. דוגמה ליישום: נעשה שימוש במערכת IDM.
36. הארגון וידא כי פעילות כל המשתמשים בעלי חשבונות חזקים מוקלטת ונשמרת לתקופה של חצי שנה לפחות, וכי חריגות מפרופיל הפעילות המותר מתועדות, וננקטות פעולות מתקנות בהתאם.
37. הארגון וידא כי איפשר למשתמשים לבצע בחינה תקופתית של ההרשאות שהוקנו להם, לרבות הסרה יזומה מצדם של הרשאות שאינן נדרשות למילוי תפקידם (Self-Access Reviews) .
38. הארגון וידא כי איפשר למשתמשים להפעיל הרשאות נדרשות בהתאם לצורך (Eligible), כך שבעבודה השוטפת הם אינם עושים שימוש בהרשאות גבוהות.</t>
  </si>
  <si>
    <t xml:space="preserve">1. יש לוודא את קיומה של מערכת ניהול מרכזית לשם אכיפת המודל באופן רוחבי.
2. יש לוודא כי המודל הנבחר מספק מענה הולם לצורכי הארגון. לדוגמה: ארגון בעל מאגר מידע אשר בהתאם לתקנות הגנת הפרטיות רמת האבטחה שלו היא בינונית יצטרך לעשות שימוש ב-PBAC לכל הפחות.
3. יש לוודא כי מערך הניטור מתייחס למתאר הסיכון של יעדי ההגנה בהתאם לרמת האמון (Trust Level) ורמת הסיכון.
4. קביעת ההרשאות עשויה להיות מבוססת על אכיפה באמצעות ניהול מרכזי  (MAC - Mandatory Access Control) או בהתאם לשיקול הדעת של המשתמש (DAC - Discretionary Access Control). האחרון נחשב מתירני יותר, ועשוי להתאים פחות לארגונים בעלי מידע רגיש/חסוי או תהליכים קריטיים בעלי אפקט נזק פוטנציאלי בינוני ומעלה.
5. בעת עבודה עם "גישה מבוססת סיכון מסתגל" (RAdAC - Risk Adaptive-Based Access Control) אפשר להחיל התניות שונות, כגון:
א. קהל היעד - משתמשים (Cloud Users, On-Prem Users, Partners, Guests) / זהות וגרסת האפליקציות שאליהן המשתמש מנסה להתחבר (SaaS, Enterprise Prem, On-Prem).
ב. חוקי גישה - רמת סיכון בשלב האימות, רמת הסבירות שפרטי האימות של המשתמש דלפו, סוג יעד ההגנה, מיקום יעד ההגנה, זהות וגרסת האפליקציה שממנה המשתמש מנסה להתחבר (דפדפן, אפליקציה מקומית וכו'), מצב ההיגיינה הטכנולוגית של יעד ההגנה.
ג. בקרות להחלה - מתן/מניעת גישה, MFA, דרישה לאישור תנאי שימוש, איפוס סיסמה, קיומה של אפליקציה מאושרת על ידי הארגון, יעד הגנה המקושר ל-Domain מקומי או מחובר לענן ול-Domain מקומי.
6. במקרה של צורך בשימוש בהרשאות גבוהות ביעד ההגנה ניתן לעשות שימוש ב-Endpoint Privilege Management (EPM) לשם צמצום רמת ההרשאות למינימום , וזאת בהתאם לפונקציונאליות העסקית הנדרשת.
7. יש לתת את הדעת לנושא Permissions Inheritance.
</t>
  </si>
  <si>
    <t>1. כללי:
א. הארגון וידא כי יעד ההגנה מבצע נעילה (Lock) של מסך המשתמש לאחר 15 דקות ללא פעילות. דוגמה ליישום: הפעלה אוטומטית של שומר מסך לאחר 15 דקות ללא פעילות.
ב. הארגון וידא כי הוא מנהל מאגר ממוכן ומנוהל של אמצעי הזדהות והנפקתם.
ג. הארגון וידא כי כברירת מחדל לא ניתן לגשת ליעדי ההגנה ללא השלמת אימות מוצלח.
ד. הארגון וידא כי כברירת מחדל הרשאת הגישה היא מניעה (Deny-All).
ה. הארגון וידא כי הגדיר תהליך לניהול מחזור החיים של חשבונות משתמש אנושי/אפליקטיבי (לרבות חשבון מחשב) וכי הם ננעלים לאחר 30 יום ללא שימוש. לאחר מכן יש להסיר אותם בהתאם לתהליך ארגוני מוגדר.
2. דרישות הגנה לחשבונות משתמשים אנושיים:
א. הארגון וידא כי הטמיע תהליך רישום זהות משתמשים לשירות (Enrolment) בהתאם לדרישות רב"א (LOA – Level of Assurance) - רמה 2.
ב. הארגון וידא כי הטמיע תהליך אימות משתמשים (Authentication) בהתאם לדרישות רב"א (LOA – Level of Assurance) - רמה 2.
3. דרישות הגנה לחשבונות אפליקטיביים (לרבות חשבונות מחשב):
א. הארגון וידא כי הטמיע תהליך רישום זהות חשבונות אפליקטיביים (Enrolment) ההולם את פרופיל הסיכון.
ב. הארגון וידא כי הטמיע תהליך אימות חשבונות אפליקטיביים (Authentication) ההולם את פרופיל הסיכון.
ג. הארגון וידא כי כל שירות (Service) עושה שימוש בחשבון אפליקטיבי הייעודי לו.
4. הגנה על פעילות (Session):
א. הארגון וידא כי הגביל את מספר הפעילויות/החיבורים אשר משתמש מסוגל ליזום/לפתוח למינימום הנדרש.
ב. הארגון וידא כי לאחר 15 דקות ללא חיות (Liveliness), השרת יוזם ניתוק של פעילות (Session) המשתמש האנושי/האפליקטיבי (לרבות חשבון מחשב במקרה הצורך).
ג. הארגון וידא כי הטמיע אמצעי ממוכן מקובל ועדכני להגנה על אסימון האימות (Authentication/Access Token), כך שהוא לא יעבור בתווך ב"אופן גלוי" (Clear Text).
ד. הארגון וידא כי הטמיע אמצעי ממוכן מקובל ועדכני להגנה על אסימון ניהול הרשאות/ייפוי כוח (Authorization/Delegation), כך שהוא לא יעבור בתווך ב"אופן גלוי" (Clear Text).</t>
  </si>
  <si>
    <t>5. כללי:
א. הארגון וידא כי הוא משתמש במערכת ניהול מרכזית לצורך ניהול חשבונות משתמשים אנושיים/אפליקטיביים (לרבות חשבונות מחשב) והרשאות.
6. דרישות הגנה לחשבונות משתמשים אנושיים:
א. הארגון וידא כי הטמיע תהליך רישום זהות משתמשים לשירות (Enrolment) בהתאם לדרישות רב"א (LOA – Level of Assurance) - רמה 3.
ב. הארגון וידא כי הטמיע תהליך אימות משתמשים (Authentication) בהתאם לדרישות רב"א (LOA – Level of Assurance) - רמה 3.
ג. הארגון וידא כי הטמיע מנגנון המחייב את המשתמש להסכים ל"תנאי השימוש" (Use Term) ביעד ההגנה לפני תחילת העבודה. יש לשמור את תיעוד הסכמת המשתמש לתקופה סבירה.
ד. הארגון וידא כי לאחר שמשתמש אנושי השלים את תהליך האימות בהצלחה, יוצגו בפניו פרמטרים אודות הכניסה הקודמת שלו, דוגמת תאריך, שעה, מספר ניסיונות כושלים לכניסה, וכתובת ה-IP שממנה התחבר.
ה. הארגון וידא כי שם חשבון המשתמש האחרון שביצע Login ליעד ההגנה אינו מוצג בממשק המשתמש.
7. דרישות הגנה לחשבונות אפליקטיביים (לרבות חשבונות מחשב):
א. הארגון וידא כי הטמיע תהליך רישום זהות חשבונות אפליקטיביים (Enrolment) שאינו מאפשר ביצוע רישום חשבון על ידי משתמשים רגילים. דוגמה ליישום: יש לוודא כי הרשאת Add workstations to domain אינה זמינה למשתמשים רגילים.
ב. הארגון וידא כי הוא עושה שימוש במנגנונים מקובלים ועדכניים כדי למנוע חשיפת פרטי אימות של חשבונות אפליקטיביים בפני גורמי התפעול. דוגמה ליישום: Group Managed Service Accounts (gMSA)
ג. הארגון וידא כי אינו עושה שימוש בשמות חשבונות גנריים או שם המסגיר את תפקיד החשבון. דוגמה ליישום: שינוי שם חשבון Administrator לשם אחר שאינו מסגיר את תפקיד החשבון.
8. הגנה על פעילות (Session):
א. הארגון וידא כי הטמיע אמצעי ממוכן מקובל ועדכני להגבלת מספר הפעילויות (Sessions) המותרות למשתמש בזמן נתון. ערך ברירת המחדל = 1. 
ב. הארגון וידא כי הטמיע אמצעי ממוכן מקובל ועדכני למניעת שידור חוזר של מידע היסטורי (Replay).
ג. הארגון וידא כי הטמיע אמצעי ממוכן מקובל ועדכני להגנה על אסימון האימות (Authentication/Access Token) בהתאם להמלצות היצרן.
ד. הארגון וידא כי הטמיע אמצעי ממוכן מקובל ועדכני להגנה על אסימון ניהול הרשאות/ייפוי כוח (Authorization/Delegation) בהתאם להמלצות היצרן.
ה. הארגון וידא כי המשתמש נדרש להזדהות בהצלחה לפני פתיחת פעילות (Session) ביעד ההגנה. דוגמה ליישום: שימוש במנגנון:  NLA ( Network Level Authentication).
ו. הארגון וידא כי צד השרת יוזם ניתוק של פעילות (Session) חשבון משתמש  אנושי/אפליקטיבי (לרבות חשבון מחשב) בזמנים שבהם החשבון אנו אמור להיות פעיל.
ז. הארגון וידא כי הטמיע אמצעי ממוכן מקובל ועדכני למניעת מתקפת האדם שבאמצע (MiTM).</t>
  </si>
  <si>
    <t>9. כללי:
א. הארגון וידא כי חשבונות משתמשים אנושיים/אפליקטיביים (לרבות חשבונות מחשב) לא יעשו שימוש במידע אישי. דוגמה ליישום: שם המשתמש לא יכלול שם פרטי, שם משפחה או מספר תעודת זהות של אדם.
ב. הארגון וידא כי חשבונות משתמשים אנושיים/אפליקטיביים (לרבות חשבון מחשב) יהיו ייחודים לכל רשת בעלת רמת אמון שונה (Trust Level). דוגמה ליישום: רשת OT תעשה שימוש בחשבונות משתמשים שונים מאשר רשת ה-IT.
ג. הארגון וידא כי אכף יישום של עקרונות אימות מסתגל (Adaptive Authentication) באמצעות שימוש במערכת ניהול מרכזית. להלן דוגמהות לתרחישים שכיחים:
-משתמש שמגיע מכתובת IP בעלת רמת מהימנות נמוכה (דוגמת כתובת IP המשויכת לתשתית/פרוקסי לגלישה אנונימית) עשוי להידרש לעבור שלושה גורמי אימות ולא שניים (ביחס למשתמש שמגיע מכתובת IP השייכת לספק אינטרנט ישראלי). תכונה זו מכונה בדרך כלל "גידור גיאוגרפי" (Geo Fencing).
-משתמש שמעוניין להתחבר מרחוק (VPN) ליעד הגנה בעל רמת סיכון גבוהה עשוי להידרש לבצע אימות נוסף בשרת מתווך (Jump Box), וזאת תוך מעבר אימות נוסף מוצלח באמצעות שימוש בגורם אימות אשר אינו משמש לשם התחברות הראשונית.
-משתמש שעושה שימוש ביעד הגנה בעל רמת היגיינה טכנולוגית (Technology Hygiene) נמוכה מזו שהוגדרה יידרש לתקן את הליקויים (Remediate) או לספק פרטי אימות נוספים.
-משתמש שהשתמש בכתובת IP השייכת למדינה מסוימת, וזמן קצר לאחר מכן השתמש בכתובת IP השייכת למדינה אחרת, עשוי להידרש לעבור שלושה גורמי אימות ולא שניים (ביחס למשתמש שמגיע מכתובת IP השייכת לאותה מדינה). תכונה זו מכונה בדרך כלל "מהירות גיאוגרפית" (Geo Velocity).
-משתמש שמבצע פעולות אימות חוזרות ונשנות בזמן קצר יידרש לעבור בהצלחה CAPTCHA (או מבחן אחר) כדי לוודא שהוא אינו "מכונה".
-משתמש יידרש לבצע תהליך אימות נוסף לפני ביצוע פעולה רגישה 
ד. הארגון וידא כי הטמיע אמצעי ממוכן מקובל ועדכני למניעת אפשרות גישה של משתמשים ליעדי הגנה בעלי רמות אמון (Trust Level) נמוכות.
10. דרישות הגנה לחשבונות משתמשים אנושיים:
א. הארגון וידא כי הטמיע תהליך רישום זהות משתמשים לשירות (Enrolment) בהתאם לדרישות רב"א (LOA – Level of Assurance) - רמה 4.
ב. הארגון וידא כי הטמיע תהליך אימות משתמשים (Authentication) בהתאם לדרישות רב"א (LOA – Level of Assurance) - רמה 4.
ג. הארגון וידא כי הגדיר שיטת עבודה לגישה של משתמשים שהם עובדי מיקור חוץ, כך שפעילותם תתבצע ביעדי הגנה ייעודיים הנפרדים ברמה הלוגית והפיזית מיעדי ההגנה שמשרתים משתמשים שהם עובדי הארגון.
ד. הארגון וידא כי הגדיר שיטת עבודה המונעת אפשרות גישה של משתמשים שהם עובדי הארגון ליעדי הגנה אשר משרתים עובדי מיקור חוץ. דוגמה ליישום: הגדרת Deny login ב-GPO.
ה. הארגון וידא כי הטמיע שיטת עבודה Just-in-Time Privileged Access Management (JIT PAM) לשם הגנה על משתמשים חזקים:
•  המשתמש נדרש לבקש הרשאה ולנמק אותה, תוך הצגת התיחום (לאילו יעדי הגנה הוא מבקש לגשת) וחלון הזמן המבוקש (TTL).
• גורם מורשה מאשר את הבקשה.
• המשתמש לא נחשף לפרטי האימות עצמם, ופרטי הגישה המוקצים הם זמניים (Temporary Credentials).
• המשתמש מקבל גישה בהתאם למגבלות הנ"ל.
• הפעילות מוקלטת (Session Recording) ומתועדת בלוג (Audit) ייעודי.
• בסיום הפעילות פרטי האימות מתאפסים אוטומטית (דוגמת החלפת סיסמה בשלב ה-Log off).
• מתבצעת בחינה מדגמית כי המשתמש לא ביצע פעילות זדונית.
ו. הארגון וידא כי נעשה שימוש ביעדי הגנה ייעודים עבור משתמשים חזקים, המופרדים פיזית ולוגית ממשתמשים אחרים בארגון.
ז. הארגון וידא כי ניתן להשתמש בחשבון משתמש אנושי ביעדי הגנה המוגדרים ב-Allowlist.
11. דרישות הגנה לחשבונות אפליקטיביים (לרבות חשבונות מחשב):
א. הארגון וידא כי הטמיע תהליך אימות חשבונות אפליקטיביים (Authentication) מסוג חשבון מחשב ההולם את פרופיל הסיכון, והמחייב שימוש בשלושה גורמי אימות בלתי תלויים לפחות. דוגמה ליישום: תעודה דיגיטלית, כתובת MAC וחברת חשבון המחשב בדומיין.
ב. הארגון וידא כי אינו מתיר גישה של חשבונות אפליקטיביים (Authentication) מסוג חשבון מחשב לרשת הארגון ללא עמידה מקדימה של יעד ההגנה בדרישות מקובלות של היגיינה טכנולוגית (Technology Hygiene).
ג הארגון וידא כי אינו מתיר גישה של חשבונות אפליקטיביים (Authentication) מסוג חשבון מחשב לרשת הארגון כאשר מחובר לפורט התקשורת הסמוך רכיב אשר מטרתו לעקוף את מערך האבטחה. דוגמה ליישום: מחשב שקושר ל-Hub לא יוכל להתחבר לרשת הארגון, וזאת באמצעות שימוש בפרוטוקול MACsec.
ד. הארגון וידא כי ניתן להשתמש בחשבון אפליקטיבי ביעדי הגנה המוגדרים ב-Allowlist. דוגמה ליישום: לא יתאפשר לעשות שימוש בחשבון מסוג SPN ביעדי הגנה שלא נכללו ברשימת יעדי ההגנה המותרים.
12. הגנה על פעילות (Session):
א. הארגון וידא כי הטמיע אמצעי ממוכן מקובל ועדכני להגנה על אסימון האימות (Authentication/Access Token) בהתאם להמלצות היצרן או המלצות ארגונים מקובלים המפרסמים מסמכי הקשחה (בהתאם לדרישה המחמירה).
ב. הארגון וידא כי הטמיע אמצעי ממוכן מקובל ועדכני להגנה על אסימון ניהול הרשאות/ייפוי כוח (Authorization/Delegation) בהתאם להמלצות היצרן או המלצות ארגונים מקובלים המפרסמים מסמכי הקשחה (בהתאם לדרישה המחמירה).</t>
  </si>
  <si>
    <t>13. כללי:
א. הארגון וידא כי אמצעי האימות שבהם נעשה שימוש בארגון כוללים מנגנונים מקובלים ועדכניים למניעת חבלה (Tamper-Resistant) וזיהוי חבלה (Tamper Evident), המספקים מענה מיטבי בהתאם לפרופיל הסיכון.
14. דרישות הגנה לחשבונות משתמשים:
א. הארגון וידא כי לפחות אחד מאמצעי האימות המשמשים משתמשים חזקים מבוסס על התקן חומרה. דוגמה ליישום: שימוש בהתקן חומרה תומך תקן FIDO 2/U2F.
ב. הארגון וידא כי לפני מתן היתר לביצוע פעולות רגישות המשתמש נדרש לבצע אימות מוצלח באמצעות פריט אימות שלא נעשה בו שימוש בשגרה.
ג. הארגון וידא כי בעת התרחקות משתמש מיעד ההגנה מתבצעת באופן אוטומטי נעילת מסך (Screen Lock). דוגמה ליישום: שימוש בתג עובד עם RFID לצורך אימות המשתמש ביעד ההגנה.
ד. הארגון וידא כי הוא מבצע אימות רציף של המשתמש (Continues Authentication) כדי למנוע מגורם לא מורשה לעשות שימוש בפרטי אימות לגיטימיים. דוגמה ליישום: ביצוע אימות ביומטרי בתחילת פעילות (Session) של משתמש, ומדי פעם במשך הפעילות.
ה. הארגון וידא כי הוא מסוגל להבטיח ברמת סמך גבוהה אם מקור האימות הוא אנושי או מכונה, ורק לאחר מכן הוא מתיר גישה של חשבון המשתמש ליעדי ההגנה. כמו כן, במהלך פעילות (Session) על הארגון לבצע מדי פעם בדיקה שתבטיח כי המשתמש אינו "מכונה".</t>
  </si>
  <si>
    <t>1. הארגון וידא כי ברשותו מיפוי עדכני של דרישות החוק, רגולציה, דרישות חוזיות וצרכים עסקיים בנושא יישום ביומטרי.
2. הארגון וידא כי ברשותו מיפוי עדכני של כל היישומים/הנתונים הביומטריים שברשותו.
3. הארגון וידא כי מבוצעות בדיקות חוסן תקופיות לאישוש רמת האבטחה.
4. הארגון וידא כי ברשותו הבקיאות הנדרשת לאפיון ושימוש ביישום/נתון ביומטרי, לרבות תיקוף עמידה במדדים מקובלים [דוגמת False Match Rate (FRM), False Non Match Rate (FNMR), Crossover Error Rate (CER)].
5. הארגון וידא באופן תקופתי כי יש הצדקה לשימוש ביישום/נתון ביומטרי. דוגמה ליישום: לאחר השלמת תהליך הנפקה של תעודת עובד, הארגון ימחק את הצילום/הנתון הביומטרי.</t>
  </si>
  <si>
    <t>7. הארגון וידא כי נעשה שימוש בתוכנה ליצירת שכבות לצורך הפשטת רשת (Network AbstraCIon), כך שניתן יהיה להשתמש בהן להפעלת מספר שכבות נפרדות ודיסקרטיות על גבי אותה רשת פיזית. דוגמה למימוש: SDN (Software-Defined Networking) ו-NFV (Network FunCIon Virtualization)
8. הארגון וידא כי נעשה שימוש בתוכנה לשם הפרדה בין שכבת השליטה (Control Plane), שכבת הניהול (Control Plane) ושכבת הנתונים (Data Plane). דוגמה למימוש: SDN (Software-Defined Networking) ו-NFV (Network FunCIon Virtualization).
9. הארגון וידא כי ציוד תקשורת הנתונים בתווך אינו מעבד/מאחסן תעבורה שאינה נדרשת ליעד הגנה המחובר אליו ישירות. דוגמה ליישום: שימוש בפרוטוקול SPB (Shortest Path Bridging).</t>
  </si>
  <si>
    <t>10. הארגון וידא כי קיימת שכבת זהות (Identification) מהימנה המפרידה בין מיקום יעד ההגנה לבין זהותו במרחב הסייבר. דוגמה ליישום: שימוש ב-Host Identity Protocol (HIP).. הארגון וידא כי קיים מיסוך לוגי/פיזי של יעדי הגנה (Cloaking Technology), כדי להקשות על איתורם בידי תוקף פוטנציאלי. דוגמה ליישום: שימוש בערפול קוד (Code Obfuscation) ומיסוך פיזי להסתרת מצלמות אבטחה.
11. הארגון וידא כי הוא אוסר פתיחת תקשורת (פורטים) אל פנים הארגון. דוגמה ליישום: DASB (Data Access Security Broker).
12. הארגון וידא כי הוא נמנע מחשיפת פרוטוקול בעל רמת פגיעות גבוהה אל יעדי ההגנה, כדי למנוע חשיפת חולשות העשויות להתקיים/הקיימות בפרוטוקול זה. דוגמה ליישום: DASB (Data Access Security Broker).
13. הארגון וידא כי הגדרת חוקי הגישה ביעד הגנה המשמש כנקודת אכיפת גישה (PEP - Policy Enforcement Point) מתבצעת בכל פעם רק לאחר השלמה מוצלחת של תהליך אימות (Authentication) והקניית הרשאות (Authorization), וכי לאחר סיום פעילות (Session) החוקים מוסרים לאלתר. דוגמה ליישום: שימוש בארכיטקטורת OpenFlow.
14. הארגון וידא את קיומה של "גישת נתיכים" (Fuse) במערך האבטחה, כך שניתן לבצע ניתוק יזום בעת גילוי וזיהוי נחשול סייבר שמערך האבטחה אינו מסוגל לספק נגדו מענה הולם.
15. הארגון וידא כי הטמיע תפיסה וארכיטקטורה של תשתית בלתי ניתנת לשינוי (Immutable Infrastructure). דפוס זה הוא מימוש ארכיטקטוני שבו המערכת ותשתית היישומים אינם מסוגלים לבצע שינויים בשל האופן שבו הם עוצבו במקור. במקום זאת, כאשר נדרשים שינויים, התשתית עצמה מוחלפת. תשתיות בלתי ניתנות לשינוי משמשות בדרך כלל ארגונים הנוקטים גישה של DevOps ניהול ענן IaaS או PaaS. עם זאת, ניתן להשתמש בו בכל סביבה שתומכת ב"תשתית כקוד" (IoC) ו- Blue-Green Deployment.</t>
  </si>
  <si>
    <t>1. הארגון וידא באופן רציף כי בדיקת מצב ההיגיינה הטכנולוגית של יעד ההגנה מתבצעת על ידי היעד עצמו, וחריגות מדווחות למשתמש הקצה ולמערכת ניהול מרכזית.
2. הארגון וידא באופן רציף כי המידע הנשלח/מתקבל בממשקי הניהול של יעד ההגנה מוצפן בעת שינוע (In Transit).
3. הארגון וידא באופן רציף כי יעדי ההגנה אינם מכילים נוזקות (Malwares).
4. הארגון וידא באופן רציף כי גורמים לא מורשים אינם מסוגלים לתקשר עם יעד ההגנה. דוגמה ליישום: PFW (Personal Firewall).
5. הארגון וידא באופן רציף כי יעד ההגנה אינו מסוגל ליצור התקשרות עם גורמים לא מורשים. דוגמה ליישום:PFW (Personal Firewall).
6. הארגון וידא באופן רציף כי ערך שעון יעד ההגנה קוהרנטי לערך שעון זמן מוסמך בארגון.
7. הארגון וידא באופן רציף כי יעדי ההגנה אינם מאפשרים חיבור התקנים לא מורשים. דוגמה ליישום:Device Control.</t>
  </si>
  <si>
    <t>8. הארגון וידא באופן רציף כי בדיקת מצב ההיגיינה הטכנולוגית של יעד ההגנה מתבצעת על ידי היעד עצמו, וחריגות מדווחות למערכת ניהול מרכזית.
9. הארגון וידא באופן רציף כי כל המידע הנשלח/מתקבל ביעד ההגנה מוצפן בעת שינוע (In Transit).
20. הארגון וידא באופן רציף כי לא ניתן ליזום תקיפות נגד יעד ההגנה באמצעות תווך רשתי. דוגמה ליישום: HIPS.
11. הארגון וידא באופן רציף כי אמצעי ההגנה פועלים באופן מתואם, אפקטיבי ויעיל ביעדי ההגנה (Coordinated Protection), לרבות שימוש בגרסת חתימות אבטחה (Signatures) עדכנית.
12. הארגון וידא באופן רציף כי ביעד ההגנה קיימת הפונקציונליות המינימלית הנדרשת לביצוע המשימה (Least Functionality Principle).
13. הארגון וידא באופן רציף כי ההרשאות המוקנות למשתמש ביעד ההגנה הן המינימליות הנדרשות לביצוע המשימה (PoLP - Principle of Least Privilege).
14. הארגון וידא כי לא ניתן להפעיל פונקציות/פקודות בעלות מדרג סיכון גבוה. דוגמה ליישום: מניעת אפשרות להפעלה של פקודות CLI מסוכנות בהתאם ל-Denylist.</t>
  </si>
  <si>
    <t>29. הארגון וידא באופן רציף כי המידע ביעדי ההגנה מוצפן בעת תהליך/עיבוד (During Processing) – בדגש על הצפנה של "Secrets" (מפתחות הצפנה, סיסמאות, אסימוני אימות/טוקנים וכו') אשר נעשה בהם שימוש ביעד ההגנה.
30. הארגון וידא באופן רציף כי תהליכי העיבוד  ביעדי ההגנה מוגנים על ידי שימוש ביכולות חומרה מתקדמות ועדכניות היוצרות חיץ שמונע חדירה/פריצה וביצוע חבלה (Tamper-Resistant) ומאפשר חשיפת חבלה (Tamper-Evident). דוגמה ליישום: Root of Trust (RoT), DEP, Software Guard Extensions.
31. הארגון וידא באופן רציף כי במקרה של אירוע סייבר הנזק אשר ייגרם לסביבת העבודה יהיה מינימלי ככל הניתן (Minimize Blast Radius/ Minimize Attack Surface).
32. הארגון וידא באופן רציף כי יעדי ההגנה עושים שימוש במנגנונים טכנולוגיים מקובלים ועדכניים לשם וידוא מהימנות ומקוריות רכיבי הקושחה (Verified\Trusted Boot). דוגמה ליישום: שימוש בעקרונות מקובלים של RoT (Root of Trust).
33. הארגון וידא באופן רציף כי יעדי ההגנה עושים שימוש במנגנונים טכנולוגיים מקובלים ועדכניים לשם חזרה למצב בטוח של מערכת ההפעלה (Steady State).
34. הארגון וידא באופן רציף כי יעדי ההגנה עושים שימוש במנגנונים טכנולוגיים מקובלים ועדכניים לשם ביצוע Process Allowlist, וזאת ביחס ל-Baseline מאושר.
35. הארגון וידא באופן רציף כי יעדי ההגנה עושים שימוש במנגנונים טכנולוגיים מקובלים ועדכניים לשם אכיפת CPU Instruction Set Allowlist, וזאת ביחס ל-Baseline מאושר.
36. הארגון וידא באופן רציף את מהימנות ושלמות קוד המערכת (System Code) ובקרת הזרימה (Control Flow), בדגש על יעדי הגנה במערכות משובצות מחשב (Embedded System), וזאת באמצעות שימוש בעקרונות מקובלים להגנה סימביוטית (Symbiotic Defensive  / SEM - Symbiotic Embedded Machines).
37. הארגון וידא באופן רציף כי לכל יעד הגנה הוגדרו והוקצו משאבים מוגדרים, וכי צריכת משאבים חריגה של רכיב/י מערכת אינה אפשרית (Resource Restriction).
38. הארגון וידא באופן רציף כי יעדי ההגנה אינם מכיל רכיבי תוכנה או חומרה מזויפים או בלתי מהימנים (Software/Hardware Counterfeit Mitigation), וכי הארגון יכול להתחקות אחר מקור (Provenance Tracking) הרכיב (דוגמת שם היצרן, שם הספק או תאריך ההתקנה).
39. הארגון וידא באופן רציף כי מתבצעת הפרדה מלאה בין אפליקציות הפועלות במערכת (Application Isolation) - דוגמתContainers, RBI - Remote Browser Isolation.
40. הארגון וידא באופן רציף כי כל תהליכי העיבוד והאחסון מתבצעים באופן מרוחק (Remote Processing) מיעד ההגנה הנגיש למשתמש הקצה (דוגמת שימוש ב-VDI, RBI, VDaaS).
41. הארגון וידא באופן רציף כי לא ניתן לנצל לרעה ערוצ -צד (Side Channel) הקיימים ביעדי ההגנה, לרבות ערוצי צד המכילים פלט פיזיקלי לסביבה. דוגמה ליישום: EMP/EMI Shielding/Filtering.
42. הארגון וידא באופן רציף כי לא ניתן לנצל לרעה ערוצים לגיטימיים הקיימים ביעדי ההגנה לשם העברת מסרים באופן סמוי (Covert Channel).
43. הארגון וידא באופן רציף כי אין שוני בין הארטיפקט (Artifact) אשר אושר לטעינה לזיכרון הנדיף (RAM) לבין זה הקיים בו בפועל.</t>
  </si>
  <si>
    <t>1. הארגון וידא כי קיימת הפרדה לוגית לכל הפחות בין רשת האלחוט המשרתת את משתמשי הארגון לבין הרשת שמשרתת אורחים (Guest).
2. הארגון וידא כי נעשה שימוש בקיטוע (Network Isolation) המונע תקשורת בין יעדי ההגנה המשתמשים בתווך אלחוטי. דוגמה ליישום: הפעלת מנגנוןClient Isolation בין יעדי הגנה החולקים SSID משותף.
3. הארגון וידא כי מזהי הרשת המשודרים (דוגמת שם ה-SSID) אינם מסגירים מידע שאינו נדרש, כמו פרטים לגבי פונקציונליות הרשת וזהות הארגון המשתמש.
4. הארגון ביצע כיול של עוצמת השידור של רשת האלחוט, כדי להפחית את הסיכוי שהאותות ייקלטו מחוץ למתחם העבודה.
5. הארגון וידא כי נעשה שימוש במנגנון למניעת שידור מידע היסטורי (Replay) של שידורי האלחוט.
6. הארגון וידא כי המעוניינים לעשות שימוש במערך האלחוט נדרשים לאשר את "תנאי השימוש". יש לוודא כי תנאי השימוש אושרו על ידי הנהלת הארגון והיועץ המשפטי.
7. הארגון וידא כי בעת חיבור יעדי הגנה לרשת הארגון באמצעות מערך האלחוט נעשה שימוש בשכבת הצפנה אחת לפחות (In Transit).
8. הארגון וידא כי ה-VLAN המוקצה ליעדי ההגנה אינו Native VLAN, וכי העברת תעבורת ה-Native VLAN מחייב ביצוע תיוג (Tag) במבוא ה-Trunk, וחבילות מידע ללא תיוג מושמטות. קרי, מנגנון למניעת VLAN Hopping.
9. הארגון וידא כי לא נעשה שימוש ביכולות  WPS ו-UPnP.</t>
  </si>
  <si>
    <t>24. הארגון וידא כי בכל נקודת גישה (Access Point) יש אמצעי אבטחה ייעודי לשם גילוי, זיהוי וסיכול תקיפות לוחמה אלקטרונית (EW - Electronic Warfare) ו-CRF (Cyber RF), וזאת תוך היתוך הממצאים לשם קבלת תמונת מצב עדכנית ברמת כלל הארגון.
25. הארגון וידא באופן רציף כי לא ניתן לקלוט את אותות השידור מחוץ למתחם העבודה.
26. הארגון וידא כי הוא משתמש באמצעי ממוכן לגילוי וזיהוי המיקום הפיזי של קורנים הפעילים במתחם הארגון. דוגמה ליישום: חלק מה-Controllers במערך האלחוט מספקים יכולת באופן מובנה או באמצעות רכישת רישיון מתאים.
27. הארגון וידא כי מערך האלחוט עושה שימוש במתגי תקשורת ייעודים. דוגמה ליישום: נקודות הגישה (Access Points) יחוברו למתגי משתמשים ייעודים, שאינם משרתים יעדי הגנה אחרים.
28.  הארגון וידא כי לא ניתן להפיק משידורי ה-RF מידע מדויק אודות מספר המשתמשים הפעילים בזמן נתון. דוגמה ליישום: ביצוע שידורי סרק כדי לצמצם את היכולת לאסוף מידע אמת באמצעות יכולות SIGINT.
29. הארגון וידא כי לא ניתן להפיק משידורי ה-RF מידע מדויק אודות המיקום הפיזי של המשתמשים הפעילים. דוגמה ליישום: ביצוע שידורי סרק ממקומות שונים כדי לצמצם את היכולת לאסוף מידע אמת באמצעות יכולות SIGINT.
30. הארגון וידא כי הוא מבצע סקרים תקופתיים לבחינת איכות הקליטה של אותות השידור ושל רעשי הרקע (SINR/SNR).
31. הארגון וידא כי הוא משתמש באמצעי אבטחה לשם גילוי, זיהוי וסיכול תקיפות שכיחות של לוחמה אלקטרונית (EW - Electronic Warfare) ו-CRF (Cyber RF) נגד מערך האלחוט. דוגמה למימוש: WIPS מרכזי.</t>
  </si>
  <si>
    <t>8.  הארגון וידא כי במכשיר הנייד יש הפרדה מלאה בין מידע אישי/פרטי של המשתמש לבין מידע ארגוני.
9.  הארגון וידא כי המכשיר הנייד אינו מסוגל להעביר תעבורה שמקורה ברשת הארגונית לרשת המשתמש המתחבר מרחוק (Split Tunneling) - ולהפך. לדוגמה: המשתמש לא יוכל לשלוח הדפסה למדפסת הנמצאת ברשת הביתית שלו כאשר המכשיר הנייד מחובר לרשת הארגון.
10. הארגון וידא כי הטמיע מערכת ניהול מרכזית לאכיפת ההצפנה של המידע המאוחסן במכשיר במנוחה (At Rest). דוגמה ליישום: שימוש ב-FDE (Full Disk Encryption) מנוהלת.</t>
  </si>
  <si>
    <t>1. יש לוודא כי קיים מיפוי עדכני של חשבונות משתמשים, חשבונות אפליקטיביים וחשבונות מחשב.
2. יש לוודא כי שדה הזנת הסיסמה ממוסך, כך שגורם הצופה מהצד לא יוכל לראות את הסיסמה שמקליד המשתמש (Shoulder-Surfing Attack).
3. ניתן להחיל את מדיניות הסיסמאות באמצעות כלים המובנים ביעדי ההגנה או על ידי שימוש בפתרון צד שלישי.
4. השימוש בפקטור יחיד (דוגמת סיסמה) יוצר סיכון משמעותי לארגון, ולפיכך יש להעדיף שימוש ב-MFA.
5. לשם שמירה על חוויית המשתמש מומלץ לבחון חלופות לשימוש בסיסמאות. דוגמה ליישום: שימוש בכרטיס חכם (Smart Card) ובקורא ביומטרי.
6. יש לתת את הדעת על כך שחשבונות אפליקטיביים עשויים להצריך תהליך החלפת סיסמה שונה מהרגיל. דוגמה לכך היא חשבון KRBTGT, אשר לשם החלת הסיסמה בפועל נדרש להזין פעמיים את הסיסמה החדשה.
7. יש להכניס לבקרה פרטנית חשבונות שהסיסמה שלהם לא הוחלפה במועד הצפוי .
8. יש לוודא כי מערך הבקרה מסוגל לזהות ניסיונות לביצוע Password Spray Attack, בדגש על ממשקים החשופים לעולם.
9. יש לוודא כי הסיסמה הראשונית נשלחת למשתמש בתווך ייעודי ונפרד (OOB).
10. יש לוודא כי סיסמה ראשונית שלא נעשה בה שימוש 45 דקות לאחר שליחתה למשתמש מבוטלת באופן אוטומטי.
11. יש לוודא כי המשתמש שמקבל את הסיסמה הראשונית נדרש להחליפה באופן מיידי.
12. יש לעגן נוהלי עבודה מתאימים תוך התייחסות לתרחישי תקיפה שכיחים, כמו בקשה לאיפוס סיסמה המגיעה למוקד התמיכה (Help Desk) מגורם המתחזה ללגיטימי.
13. יש לוודא כי המשתמש מודע לכך שאסור לו לחלוק את הסיסמה עם גורמים אחרים בארגון ומחוצה לו.</t>
  </si>
  <si>
    <t>1. ודאו באופן מדגמי את האכיפה של מדיניות הסיסמאות בכל יעד הגנה/מערכת תקשוב.
2. ודאו כי נעשה שימוש בכלים ממוכנים למניעת חשיפה של סיסמאות גישה למשתמשים (לרבות משתמשים חזקים).
3. ודאו כי מערך הניטור מסוגל לגלות ולזהות בזמן אמת תקיפות נגד חשבונות המשתמשים, לרבות ניסיון לחשיפת סיסמה.
4. ודאו כי קיימים אמצעים טכנולוגיים מקובלים להגנה על סיסמאות בזיכרון הנדיף ובדיסק הקשיח. דוגמה ליישום: Attack Sufrace Reducation (ASR), Sandbox, Credential Guard
5. ודאו באופן מדגמי כי הסיסמאות הקיימות בכל יעד הגנה אינן "חלשות".</t>
  </si>
  <si>
    <t>1. הארגון וידא כי הוא משתמש באמצעים טכנולוגיים מקובלים לאכיפת מדיניות הסיסמאות:
א. אורך סיסמה:
  i. משתמש אנושי – 10  תווים לפחות.
  ii. משתמש אפליקטיבי – 32 תווים לפחות.
ב. מבנה סיסמה:
  i. כללי (משתמש אנושי/אפליקטיבי):
- אין שימוש ברצף תווים (דוגמת qwerty, 1qaz ,111).  במקרה שהדבר אינו ישים טכנולוגית, יש לעשות שימוש בשלושה תווים מהמשפחות הבאות: אותיות קטנות, אותיות גדולות, מספרים ותווים מיוחדים.
- תמיכה בכל תווי ה-ASCII (כל הסימנים, כולל מקש הרווח) וה-Unicode.
- ביצוע נרמול לנתוני הסיסמה לפני ביצוע פעולות האבטחה (דוגמת Hash + Dynamic Salt).
  ii. משתמש אפליקטיבי:
- שלושה תווים מהמשפחות הבאות: אותיות קטנות, אותיות גדולות, מספרים ותווים מיוחדים.
ג. היסטוריית סיסמאות:
 i. 12 סיסמאות לאחור
ד. אורך חיים של סיסמה: 
 i. משתמש אנושי – החלפה במקרה של חשד לאירוע סייבר או של התרחשות אירוע סייבר.
 ii. משתמש אפליקטיבי – 30 יום. 
ה. נעילת חשבון (Account lockup):
 i. בעת ניסיון גישה מרשת הארגון: לאחר 20 ניסיונות -  נעילה ל-30 דקות לפני שחרור אוטומטי של החשבון.
 ii. בעת ניסיון גישה מרחוק: לאחר 10 ניסיונות - נעילה ל-60 דקות לפני שחרור אוטומטי של החשבון.
 iii. בעת עבודה עם משתמש חזק יש להגדיר תהליך שחרור סיסמה ידני, המחייב אישור של משתמש חזק אחר.
2. הארגון וידא כי מיסך את הסיסמה תוך כדי הקלדתה.
3. הארגון וידא כי הוא מאחסן את הסיסמה כך שלא ניתן לאחזרה. דוגמה למימוש: שימוש ב-Hash + Dynamic Salt. 
4. הארגון וידא כי החלפת סיסמה מחייבת אימות של הסיסמה הישנה, תוך ביצוע קורלציה מוצלחת בין שתי הסיסמאות החדשות שהזין המשתמש. על כל תהליכי הבדיקה להתבצע בצד השרת בלבד.
5. הארגון וידא כי משתמש אנושי נדרש להגדיר סיסמה חדשה מיד לאחר ההתחברות הראשונית, וכן לאחר איפוס סיסמה.
6. הארגון וידא כי הוא מוסר את הסיסמה הראשונית באמצעות ערוץ חיצוני לתהליך (OOB).
7. הארגון וידא כי בזמן הקלדת הסיסמה היא אינה נחשפת למשתמש או לגורם סמוך.</t>
  </si>
  <si>
    <t xml:space="preserve">8. הארגון וידא כי בסיום תהליך החלפת הסיסמה הוא מעדכן את המשתמש האנושי בערוץ חיצוני לתהליך, כמו דוא"ל או SMS.
9. הארגון וידא כי תהליך ההחלפה של סיסמת חשבונות אפליקטיביים מבוצע באופן ממוכן על ידי שימוש ביכולות מובנות במערכת ההפעלה/האפליקציה.
10. הארגון וידא כי הוא משתמש במנגנון טכנולוגי המונע אימות מוצלח של סיסמה אשר שודרה מחדש (Replay-Resistance). דוגמה ליישום: שימוש במנגנון Challenge\Response.
11. הארגון וידא כי הסיסמאות אינן עוברות באופן מלא/שלם בין יעדי ההגנה השונים. דוגמה ליישום: שימוש במנגנון Challenge\Response העושה שימוש ב-Nonce.
12. הארגון וידא כי זמן התגובה לאימות מוצלח של הסיסמה יהיה זהה לזמן התגובה לאימות לא מוצלח שלה. בכלל זה, על המענה לספק יכולת התמודדות עם SQL Blind Attack.  דוגמה לבדיקה: שימוש בסנייפר כדי לוודא שזמן התגובה של אימות מוצלח זהה לזה של אימות לא מוצלח.
13. הארגון וידא כי המשתמש אינו עושה שימוש באותה סיסמה בעת גישה ליעדי הגנה שונים. </t>
  </si>
  <si>
    <t>14. הארגון וידא כי הוא משתמש באמצעים טכנולוגיים מקובלים לאכיפת מדיניות הסיסמאות:
א. אורך סיסמה:
 i. משתמש אנושי – 16  תווים לפחות, 64 תווים לכל היותר.
 ii. משתמש אפליקטיבי – 128 תווים.
ב. מבנה סיסמה:
 i. כללי (משתמש אנושי/אפליקטיבי):
- אין שימוש במידע אישי או ארגוני כחלק מהסיסמה. דוגמה ליישום: ביצוע קורלציה בעת החלפת סיסמה מול Denylist.
ג. נעילת חשבון (Account lockup):
 i. בעת ניסיון גישה מרשת הארגון: לאחר 10 ניסיונות, נעילה ל-60 דקות לפני שחרור אוטומטי של החשבון. לחלופין, שחרור מוקדם יותר באמצעות השלמת תהליך הזדהות בערוץ חיצוני לתהליך (OOB).
 ii. בעת ניסיון גישה מרחוק: לאחר 5 ניסיונות, נעילה עד לשחרור ידני על ידי צוות התמיכה (Help Desk).
 iii. בעת עבודה עם משתמש חזק יש להגדיר תהליך שחרור סיסמה ידני, המחייב אישור של שני מורשים בלתי תלויים (Dual Control).
15. הארגון וידא כי בדק באופן תקופתי כי הסיסמאות הקיימות אינן נמצאות ב-Denylist ו/או אינן סיסמאות הידועות כחלשות. דוגמה ליישום: הצלבת ערכי Hash של סיסמאות עם טבלאות פריצה ידועות (Rainbow Tables).
16. הארגון וידא כי תהליך ההחלפה של סיסמת חשבונות אפליקטיביים בוצע באופן ממוכן על ידי שימוש ביכולות מובנות במערכת ההפעלה/שימוש בפתרון צד ג' (PASM/PAM/PIM).
17. הארגון וידא כי בשלב קביעת הסיסמה הוא סיפק למשתמש כלי תומך החלטה לבחינת חוזק הסיסמה (Password Strength Meter).
18. הארגון וידא כי הוא מאחסן את הסיסמה כך שכל ניסיון כושל לאחזר אותה יחייב השקעה גוברת והולכת של זמן ומשאבי חישוב, כך שהמשך ביצוע הפעולה לא ישתלם לתוקף. דוגמה ליישום: שימוש במנגנונים המקובלים להגנה על סיסמאות בהתאם להמלצות ארגון OWASP או NIST.
19. הארגון וידא כי ניסיון הזדהות באמצעות אותה סיסמה ביותר משלושה חשבונות שונים בטווח של שלוש דקות גורר חסימה של המקור (Password Spray Resistance). דוגמה ליישום: חסימת גישה מכתובת ה-IP שממנה בוצעו ניסיונות האימות על ידי ה-FW, וזאת עד להשלמת תחקיר של הארגון והחלת המלצות נגזרות.</t>
  </si>
  <si>
    <t>20. הארגון וידא כי הוא משתמש באמצעים טכנולוגיים מקובלים לאכיפת מדיניות הסיסמאות: 
א. נעילת חשבון (Account lockup):
i. בעת ניסיון גישה מרשת הארגון: לאחר 10 ניסיונות, נעילה עד לשחרור ידני על ידי צוות התמיכה (Help Desk).
ii. בעת ניסיון גישה מרחוק: לאחר 5 ניסיונות, נעילה עד לשחרור ידני על ידי צוות התמיכה (Help Desk).
21. הארגון וידא כי תהליך ההחלפה של סיסמת חשבונות אפליקטיביים בוצע באופן ממוכן על ידי שימוש בפתרון צד ג' (PASM/PAM/PIM).
22. הארגון וידא כי הזנת הסיסמה על ידי משתמש אנושי התבצעה באמצעות מקלדת וירטואלית (Virtual Keyboard).
23. הארגון וידא כי הוא מאחסן את הסיסמה כך שניסיון לאחזורה יפיק מידע כוזב לתוקף. דוגמה ליישום: שימוש ב-Honey Encryption.
24. הארגון וידא כי הוא משתמש במנגנון טכנולוגי המאפשר אימות סיסמה של טוען (Claimant), וזאת ללא צורך בחשיפתה למאמת. דוגמה ליישום:Zero-Knowledge Password Protocol מסוג EKE, SPEKE or SRP.</t>
  </si>
  <si>
    <t>10. הארגון וידא כי קיימת שכבת זהות (Identification) מהימנה המפרידה בין מיקום יעד ההגנה לבין זהותו במרחב הסייבר. דוגמה ליישום: שימוש ב-Host Identity Protocol (HIP).
11. הארגון וידא כי קיים מיסוך לוגי/פיזי של יעדי הגנה (Cloaking Technology), כדי להקשות על איתורם בידי תוקף פוטנציאלי. דוגמה ליישום: שימוש בערפול קוד (Code Obfuscation) ומיסוך פיזי להסתרת מצלמות אבטחה.
12. הארגון וידא כי הוא אוסר פתיחת תקשורת (פורטים) אל פנים הארגון. דוגמה ליישום: DASB (Data Access Security Broker).
13. הארגון וידא כי הוא נמנע מחשיפת פרוטוקול בעל רמת פגיעות גבוהה אל יעדי ההגנה, כדי למנוע חשיפת חולשות העשויות להתקיים/הקיימות בפרוטוקול זה. דוגמה ליישום: DASB (Data Access Security Broker).
14. הארגון וידא כי הגדרת חוקי הגישה ביעד הגנה המשמש כנקודת אכיפת גישה (PEP - Policy Enforcement Point) מתבצעת בכל פעם רק לאחר השלמה מוצלחת של תהליך אימות (Authentication) והקניית הרשאות (Authorization), וכי לאחר סיום פעילות (Session) החוקים מוסרים לאלתר. דוגמה ליישום: שימוש בארכיטקטורת OpenFlow.
15. הארגון וידא את קיומה של "גישת נתיכים" (Fuse) במערך האבטחה, כך שניתן לבצע ניתוק יזום בעת גילוי וזיהוי נחשול סייבר שמערך האבטחה אינו מסוגל לספק נגדו מענה הולם.
16. הארגון וידא כי הטמיע תפיסה וארכיטקטורה של תשתית בלתי ניתנת לשינוי (Immutable Infrastructure). דפוס זה הוא מימוש ארכיטקטוני שבו המערכת ותשתית היישומים אינם מסוגלים לבצע שינויים בשל האופן שבו הם עוצבו במקור. במקום זאת, כאשר נדרשים שינויים, התשתית עצמה מוחלפת. תשתיות בלתי ניתנות לשינוי משמשות בדרך כלל ארגונים הנוקטים גישה של DevOps ניהול ענן IaaS או PaaS. עם זאת, ניתן להשתמש בו בכל סביבה שתומכת ב"תשתית כקוד" (IoC) ו- Blue-Green Deployment.</t>
  </si>
  <si>
    <t>1. הארגון וידא כי הוא הטמיע תהליכי עבודה להגנה על המידע המאוחסן במשאבים ארגוניים, תוך החלת הדרישות הבאות:
א. הארגון וידא כי נתן הרשאות גישה לתיקיות משותפות, קבצים וסוגי מידע אחרים בהתאם לעיקרון "הצורך לדעת" (Need to Know).
ב. הארגון וידא כי למשתמשים בעלי נגישות למידע יש רמת מהימנות נאותה. יש לתת את הדעת על משתמשים אקראיים, לרבות גורמים בעלי נגישות פיזית אך לא לוגית.
ג. הארגון וידא כי הוא אינו עושה שימוש בכוננים משותפים מקומיים.
ד. הארגון וידא כי חסם את יכולתם של משתמשים ליצור Share/Export מקומיים.
ה. הארגון וידא כי משתמשים אינם מסוגלים לאחסן מידע באופן מקומי. דוגמה ליישום: שימוש בפונקציונליות Folder Redirect והחלת הרשאות מערכת קבצים מקומית בהתאם.
ו. הארגון וידא כי מחק מידע רגיש/חסוי מכוננים משותפים לאחר השימוש בו.
ז. הארגון וידא כי מחק הדפסות שנשלחו אך לא הודפסו אחת ליום לכל הפחות.
ח. הארגון וידא כי חסם את יכולתם של משתמשים לדעת על קיומם של Share/Export שאין להם הרשאה לראות את תוכנם.
ט. הארגון וידא כי הוא ביצע מחיקה תקופתית ויזומה של מידע שאינו נדרש לעבודה שוטפת.
י. הארגון וידא כי חסם את השימוש ביכולות שיתוף מידע/משאבים בעת עבודה בסביבה וירטואלית, דוגמת Clipboard ומיפוי כונן מקומי לשרת מרוחק. יש לתת דגש במקרה של עבודה מרשת בעלת רמת אמון נמוכה (Trust Level).
י"א. הארגון וידא כי חסם את השימוש בלכידת מסך (Screen Capture). יש לתת דגש במקרה של עבודה מרשת בעלת רמת אמון נמוכה (Trust Level).
י"ב. הארגון וידא כי חסם העברה/שיתוף של מידע לא מורשה או לא מכוון דרך משאבי מערכת משותפים.
י"ג. הארגון וידא כי הגדיר באמצעות Allowlist את סוג המידע הניתן לאחסון. דוגמה ליישום: הגדרת מדיניות במערך האחסון הקובעת אילו סוגי פורמטים של קבצים ניתן לשמור (True Type), ביחס לרמת סיווג רלוונטית.</t>
  </si>
  <si>
    <t>4. הארגון וידא כי הרחיק את תהליכי עיבוד המידע ממשתמש הקצה:
א. הארגון וידא כי הטמיע תהליך עבודה ואמצעים טכנולוגיים לעיבוד מידע הרחק מעמדת המשתמש (Remote Processing). דוגמה ליישום: VDI ו-Thin Client, DAAS, עבודת דפדפן מול אתר WEB ללא שימוש ב- Cache מקומי.
ב. הארגון וידא כי מנע יכולת להעתיק מידע לעמדת הקצה (לרבות Clipboard).
5. הארגון וידא כי גילה, זיהה וסיכל ניסיונות הוצאת מידע לא מורשים בנתיבים קריטיים, תוך החלת התהליכים הבאים:
א. הארגון וידא כי הוא מסוגל לגלות, לזהות ולסכל חריגות בפעילות של משתמש ביחס לדפוס הפעולה ההיסטורי שלו.
דוגמהות ליישום:
i. החלת חוק במערך הניטור הבוחן את ממוצע ההדפסות של משתמש במחלקת הכספים ביחס לדפוס הפעולה ההיסטורי שלו.
ii. החלת חוק במערך הניטור הבוחן את דפוס שליחת המידע מחוץ לארגון ביחס לדפוס הפעולה ההיסטורי של העובד.
ב. הארגון וידא כי הוא מסוגל לגלות, לזהות ולסכל חריגות בפעילות של משתמש ביחס לדפוס פעולה של חברי קבוצה.
דוגמהות ליישום:
i. החלת חוק במערך הניטור הבוחן את ממוצע ההדפסות של משתמש במחלקת הכספים ביחס לדפוס הפעולה של משתמשים אחרים בתפקיד זהה.
ii. החלת חוק במערך הניטור הבוחן את דפוס שליחת מידע מחוץ לארגון ביחס לדפוס פעולה של משתמשים אחרים בתפקיד זהה.
ג. הארגון וידא כי הוא מסוגל לגלות, לזהות ולסכל חריגות בהוצאת מידע העושה שימוש בפורמט שונה מהמקור.
ד. הארגון וידא כי הטמיע מערכת ממוכנת המתקפת כי המשתמש נמצא ליד המדפסת לפני ביצוע הדפסה בפועל של המסמכים שאותם הוא שלח אליה.
6. הארגון וידא כי ביצע את הפעולה הפרואקטיבית הבאה לשם גילוי וזיהוי מידע רגיש/חסוי אשר מאוחסן בניגוד למדיניות הארגון:
א. הארגון וידא כי ביצע סריקה תקופתית של יעדי ההגנה לשם גילוי וזיהוי מידע רגיש/חסוי אשר מאוחסן בניגוד למדיניות הארגון.</t>
  </si>
  <si>
    <t>7. הארגון וידא כי גילה, זיהה וסיכל ניסיונות לא מורשים להוצאת מידע בנתיבים קריטיים, וזאת תוך החלת התהליכים הבאים: 
א. הארגון וידא כי הוא מסוגל לגלות, לזהות ולסכל חריגות בהוצאת מידע בתמונות (סטגנוגרפיה). דוגמה ליישום: שימוש ב-OCR ומנוע לגילוי וזיהוי תכנים מוטמעים בתמונה (לרבות שוני בעוצמת צבעים). 
ב. הארגון וידא כי הוא מסוגל לגלות, לזהות ולסכל חריגות בהוצאת מידע בהתאם 
להקשר (Context) הרעיוני, וזאת גם ללא קיום סממנים ישירים (דוגמת מילות מפתח או זהות הכותב/השולח) להקשר זה. דוגמה לשימוש: שימוש במנוע NLP לשם מיפוי מסמכים ותכנים, ויצירת קישור לוגי בין תכנים.
ג. הארגון וידא כי הוא מסוגל לגלות, לזהות ולסכל חריגות בהוצאת מידע גם כאשר נעשה שימוש ב-Slow DRIP.
ד. הארגון וידא כי הוא מסוגל לגלות, לזהות ולסכל חריגות בהוצאת מידע גם כשנעשה שימוש בפורמטים שאינם מובנים/פורמטים מורכבים (דוגמת CAD\Audio\Video).
ה. הארגון וידא כי הוא מסוגל לגלות, לזהות ולסכל חריגות בהוצאת מידע המנצל לרעה ערוץ צד (Side-Channel).
ו. הארגון וידא כי הוא מסוגל לגלות, לזהות ולסכל חריגות בהוצאת מידע המנצל לרעה ערוץ סמוי (Covert Channel).
8. הארגון וידא כי כל תכתובת פיזית/לוגית היוצאת ממנו כוללת "חותמת מים" (Watermark) נסתרת שאינה כוללת מזהים ארגוניים (דוגמת GUID), וזאת כדי לאפשר תחקור עתידי במקרה הצורך.
9. הארגון וידא כי גם במקרה של דלף מידע, גורם שאינו מורשה אינו יכול לעשות בו שימוש. דוגמה ליישום: אכיפה של הצפנת מידע באמצעות שימוש ב-DRM.
10. הארגון וידא כי הגביל למינימום את יכולת המשתמש לבצע פעולות במידע, גם אם יש לו אליו גישה. דוגמה ליישום: שימוש ב-DRM לשם החלת הרשאות השימוש הבאות בהתאם לצורך: View, Open, Read; Save As, Export; Copy; View Rights; Change Rights; Allow Macros; Print; Forward; Reply; Reply All; Save; Edit Content, Edit; Full Control . 
11. הארגון וידא כי ביצע את הפעולות הפרואקטיביות הבאות לשם גילוי וזיהוי מידע רגיש/חסוי אשר מאוחסן בניגוד למדיניות הארגון:
א. הארגון וידא כי ביצע סריקה תקופתית של האינטרנט לשם גילוי וזיהוי מידע רגיש/חסוי המאוחסן בניגוד למדיניות הארגון.
ב. הארגון וידא כי ביצע סריקה תקופתית של רשתות ספקים המאחסנים מידע ארגוני, לשם גילוי וזיהוי מידע רגיש/חסוי אשר מאוחסן בניגוד למדיניות הארגון.</t>
  </si>
  <si>
    <t>1. הארגון וידא כי הוא נוקט פעולות מקובלות לשם השמדת רשומות דיגיטליות רגישות/חסויות:
א. הארגון וידא כי תהליך השמדת הרשומות הדיגיטליות בענן ציבורי מתבצע תוך שימוש בעקרונות מקובלים, וזאת תוך הסתמכות מועטה ככל האפשר על תהליכי השמדת המידע על ידי ספק הענן. דוגמה ליישום: שימוש ב-Crypto-Shredding.
ב. הארגון וידא כי תהליך השמדת הרשומות הדיגיטליות  מתבצע תוך שימוש באמצעים מקובלים, וזאת בהתאם לרמת ה-DIN הרלוונטית לסיווג המידע. יש לתת דגש על מידע המאוחסן במצעי אחסון שיש להשמיד אותם או להעבירם לגורם צד שלישי. דוגמה ליישום: שימוש בכלי התומך ב-DoD 5220.22-M Wiping Standard או רמת DIN מקבילה. 
2. הארגון וידא כי הוא נוקט פעולות מקובלות לשם השמדת רשומות פיזיות רגישות/חסויות:
א. הארגון וידא כי המשתמשים מונחים להעביר בסוף יום העבודה את הרשומות הפיזיות הרגישות/החסויות למתקן איסוף. 
ב. הארגון וידא כי אין אפשרות להוציא רשומות ממתקן האיסוף שלא באמצעות גורם מורשה.
ג. הארגון וידא כי מתקן האיסוף אינו נגיש לגורמים לא מורשים.
ד. הארגון וידא כי במתקני האיסוף נעשה שימוש בשקים המיועדים לגריסה בהתאם לרמת סווג המסמכים.
ה. הארגון וידא כי שקים מלאים ברשומות מאוחסנים בחדר נעול, שהגישה אליו מוגבלת למורשים בלבד.
ו. הארגון וידא כי השקים המיועדים לגריסה נאספים אחת לשבוע על ידי חברת שירותי גריסה המאושרת בידי הנהלת הארגון. 
ז. הארגון וידא כי גורם מטעם הארגון מלווה את נציג חברת שירותי הגריסה בעת איסוף השקים מהחדר והעלאתם למשאית, ומחתים את השליח על מספר השקים אשר הומצאו לו.
ח. הארגון וידא כי חוזה ההתקשרות עם חברת שירותי הגריסה מחייב את הספק להמציא אישור על גריסת כלל השקים תוך 24 שעות מיציאתם מהארגון.
ט. הארגון וידא כי חוזה ההתקשרות עם חברת שירותי הגריסה מחייב את הספק לעשות שימוש באמצעים מקובלים להשמדה העונים לדרישות רמת ה-DIN הרלוונטית. 
י. הארגון וידא כי קיימות מגרסות מחלקתיות העומדות ברמת ה-DIN הרלוונטי לסיווג הרשומות, וזאת לשם ביצוע גריסה מהירה לרשומות רלוונטיות.
3. הארגון וידא כי הוא נוקט פעולות מקובלות לשם השמדת מצעי אחסון אשר הכילו/מכילים מידע רגיש/חסוי:
א. הארגון וידא כי מצעי אחסון אשר הכילו/מכילים מידע רגיש/חסוי מועברים לאחסון בחדר נעול, שהגישה אליו מוגבלת למורשים בלבד.
ב. הארגון וידא כי מצעי האחסון המיועדים לגריטה נאספים אחת לשבוע על ידי חברת שירותי גריטה המאושרת בידי הנהלת הארגון.
ג. הארגון וידא כי גורם מטעם הארגון מלווה את נציג חברת שירותי הגריטה בעת איסוף מצעי האחסון מהחדר והעלאתם למשאית, ומחתים את השליח על מספר מצעי האחסון אשר הומצאו לו.
ד. הארגון וידא כי חוזה ההתקשרות עם חברת שירותי הגריטה מחייב את הספק להמציא אישור על גריטת כל מצעי האחסון תוך 24 שעות מיציאתם מהארגון.
ה. הארגון וידא כי חוזה ההתקשרות מול חברת שירותי הגריטה מחייב את הספק לעשות שימוש באמצעים מקובלים להשמדה העונים לדרישות רמת ה-DIN הרלוונטית. 
4. ביקורת:
א. הארגון וידא כי בדק באופן תקופתי את תקינות ואפקטיביות תהליכי ההשמדה של רשומות פיזיות, רשומות דיגיטליות ומצעי אחסון.</t>
  </si>
  <si>
    <t>1. "התממה" - תהליך להפחתת הסיכון לזיהוי נושא המידע במאגר מידע/נתונים.
2. יש לתעד את תהליך ההתממה, ובכלל זאת את קביעת היקף המידע ואופן הנגשתו לחוקר (לדוגמה). יש לתעד גם את הליך ניהול הסיכונים ואת בחירת אמצעי ההתממה המוחלים בעקבותיו על כל שדה מידע.
3. עקב ההתפתחות המתמשכת של יכולות טכנולוגיות והתרבות מאגרי המידע המונגשים לציבור, על מחזיק המידע לבדוק באופן תקופתי את שיטות ההתממה המיושמות על המידע.
4. שימוש מחקרי במידע ייעשה תמיד ברמת הזיהוי הנמוכה ביותר שתאפשר את השגת מטרות החוקרים.
מודל ההתממה עבור המידע המונגש לחוקר (לדוגמה) ייקבע על ידי מחזיק המידע בכל מקרה לגופו, בהתאם לניהול סיכונים. במסגרת ניהול הסיכונים יובאו בחשבון אופן מתן הנגישות למידע, זהות החוקר, אופי המידע, היקפו ואמצעי האבטחה המוחלים על השימוש בו, וזאת לעומת השימושיות הנדרשת מהמידע.
5. יש לתת את הדעת על כך שהתממת שדות לא מובנים מהווה אתגר ביחס להתממה של מידע מובנה.
6. במקרים מסוימים ניתן להשתמש בהצפנה כחלופה להתממה מלאה. עם זאת, ביצוע תהליכי הצפנה בצד לקוח אינו מבטיח רמת הגנה נאותה.
7. יש לוודא כי הארגון נקט פעולות מקובלות לשם צמצום יכולתם של לא מורשים לקשור מידע לזהות פרט (אדם ספציפי). דוגמה ליישום: שימוש באנונימיזציה, Tokenization או הצפנה.
8. יש לתת את הדעת על כך שצורך לביצוע התממה עשוי לנבוע מדרישות חוק ורגולציה, דוגמת תקן PCI ו-GDPR.
9. הגדרה: סיכון של רשומה בקובץ - ההסתברות שיהיה ניתן לקשר בין רשומה מסוימת בקובץ לבין פרט מסוים שזהותו ידועה.
10. ניתן לחלק את שדות הנתונים למספר משפחות:
א. מזהים ישירים - שדות המזהים פרטים בקובץ ללא שימוש בשדות אחרים. לדוגמה: תעודת הזהות, השם המלא והכתובת המדויקת. 
ב. שדות מפתח - שדות שניתן להצליבם עם מידע חיצוני, וכך לחשוף את זהותם של הפרטים שמאחורי רשומות מסוימות בקובץ.
ג. שדות רגישים - שדות שמפאת רגישותם אסור שיתגלה ערכם לגבי כל אחד מהפרטים שזהותם ידועה בקובץ.
11. יש לשים לב לכך שחלק מהשיטות המחריות להתממה, דוגמת מיסוך (Masking), מתבססות לעתים על ביצוע אכיפה בצד הלקוח, ולפיכך משתמש יכול לאחזר את המידע המקורי בקלות יחסית.
12. להלן סקירה של שיטות מקובלות להתממה ולהפחתת הסיכון של חשיפת מידע אודות פרט:
א. השמטה (Suppression) - הסרה של ערך, משתנה או רשומה מהמאגר. השמטת משתנה בד"כ תבוצע ביחס למידע מזהה, כגון שם פרטי ושם משפחה. תיתכן השמטה גם של מידע רגיש שאינו נדרש עבור המחקר/הפעילות. הסרה של רשומה תתבצע בד"כ כאשר מאפייניה חריגים או רגישים בצורה שלא ניתן להתמימה באופן יעיל.
ב. מיסוך (Masking) - השמטה של ערך תוך השארת השדה הריק. השמטה של ערך ספציפי תיתכן כשמתקיים צירוף ייחודי של שדות מפתח.
ג. קידוד (Pseudonymisation) - החלפה הפיכה של ערך מקורי בערך אחר באופן חד חד ערכי, לפי כללים שהוגדרו מראש, באופן השומר על מתאם בין המאפיינים.
ד. ערבול (Hash) - קידוד שהוא בלתי הפיך.
ה. הכללה / אגרגציה  (Generalization/Aggregation) - הפחתה מכוונת ברמת הדיוק של הנתונים - הקבצה של ערכים מקוריים על ידי סיכום / עיגול / שיוך לטווח / הכללה לפי ממוצע. בד"כ יבוצע עבור מידע מובנה שאין לגביו צורך בדיוק מקסימלי. ניתן להכליל שדות קטגוריאליים או רציפים.
ו. K אנונימיות - דרך קבילה לבחינת רמת הסיכון לחשיפת מידע. מדובר בשיטה לשיקוף מידת ההכללה של המידע במסד הנתונים, על ידי חישוב המספר המינימלי של רשומות שלגביהן השדות הניתנים לזיהוי, זהים. במילים אחרות, מהי כמות נושאי המידע המינימלית (K) שאליה ניתן לשייך כל רשומה יחידה במסד הנתונים. זאת, מתוך תפיסה כי ככל שערכו של K גדול יותר, כך הסיכון לזיהוי מחדש של נושא מידע מתוך המידע קטנה.
ז. הרעשה  (Perturbation) - הוספה או הפחתה של ערך לנתונים. ניתן להוסיף רעש לבן רעשים מפולגים נורמלית ובלתי מתואמים, או להוסיף רעש מתואם, באופן אקראי, לערכים המקוריים. מתאים לשימוש בתאריכים, ערכים כמותיים, מידע גאוגרפי.
ח. הזחה – סוג של הרעשה. הזזת הנתונים בערך קבוע.
ט. התמרה (Permutation) - המרה של ערך מקורי של פרט אחד בערך מקורי של פרט אחר, באופן השומר על האמינות הסטטיסטית של מסד הנתונים.
י. דגימה (Sampling) - במידה ואין צורך במאגר מלא, ניתן לדגום מתוכו רשומות באופן רנדומלי, ובכך למנוע את הוודאות שפרט מסוים נמצא במדגם.
יא. שימוש בפתרונות מסוג  Privacy-Enhancing Cryptography (PEC) דוגמת Zero-knowledge proof  (ZKP) או Differential privacy או MPC (Secure multi-party computation) . 
הוכחה באפס ידיעה (ZKP - Zero-knowledge Proof) היא מערכת הוכחה אינטראקטיבית, שבה צד אחד (מוכיח או טוען) משכנע את הצד השני (מוודא) באמיתות טענה בסבירות מכרעת (לא באופן מוחלט), בלי לחשוף כל מידע בנוגע לטענה עצמה, שאי-אפשר היה להשיגה באמצעים אחרים (פרט לעצם נכונותה).</t>
  </si>
  <si>
    <t>1. הארגון וידא כי הגדיר את יעדי ההתממה וכן מדדים מקובלים לבחינת איכות הביצוע שפעולת ההתממה תצטרך לעמוד בהם.
2. הארגון וידא כי בסיום ההתממה נבדקת איכותה באמצעות בדיקות לוגיות מדגמיות או בדיקות אחרות המקובלות בתחום. בכלל זה, יש לבצע בחינה של רמת ההסתברות לכך שניתן ליצור קישור של פריט מידע לפרט (אדם ספציפי) או של רמת החשיפה של גורם לא מורשה למידע רגיש/חסוי (דוגמת מספר כרטיס אשראי) בתום פעולת ההתממה.
3. הארגון וידא כי שימוש מחקרי (לדוגמה) במידע מתבצע ברמת הזיהוי הנמוכה ביותר שתאפשר את השגת מטרות השימוש המבוקשות.</t>
  </si>
  <si>
    <t>1. יש לוודא כי מערך ההלבנה אינו משמש לביצוע פעולות השחרה, ולהפך.
2. יש לוודא באופן רציף כי מערך ההלבנה עושה שימוש בגרסה עדכנית של רכיבי התוכנה והחומרה, וכי כל עדכוני האבטחה שעליהם ממליץ היצרן הוטמעו. זאת בטרם מתן היתר למשתמשים להשתמש במערך ההלבנה לשם הכנסת קבצים לארגון.
3. יש לוודא באופן רציף כי מערכת ההלבנה עושה שימוש בחתימות מזהים עדכניות לאותו יום לכל הפחות.
4. יש לוודא באופן רציף כי מערך ההלבנה מוטמע כחלק אינטגרלי בארכיטקטורה להגנה מפני נוזקות.
5. יש להגדיר מצבים שבהם מערך ההלבנה ינוטרל, למשל במצב של התרעת סייבר בעלת סבירות גבוהה להתממשות.
6. מידע נוסף לגבי רמת אבטחת האימות (רב"א) אפשר למצוא בבקרה "אמצעי הזדהות, אימות ואכיפת מדיניות ארגונית".
7. ודאו כי מערך ההלבנה מסוגל לגלות, לזהות ולסכל 100% מהנוזקות הידועות באותו יום - כלומר, 100% מהנוזקות שיש לגביהן חתימה של IOC's .
8. ודאו כי מערך ההלבנה מסוגל לגלות, לזהות ולסכל לפחות 95% מהנוזקות הלא ידועות באותו יום. כלומר, 95% מהנוזקות שאין לגביהן חתימה של IOC's\IOA's.
9. יש להגדיר מצבים שבהם מערך ההלבנה ינוטרל, למשל מצב של התרעת סייבר בעלת סבירות גבוהה להתממשות.
10. יש לנטר את פעולות ההלבנה לפחות שלושה חודשים אחורה – כולל בדיקה של מהו המידע שהולבן, מי אישר את ההלבנה, מתי והאם היתה הצדקה עסקית לביצוע ההלבנה והכנסת המידע.
11. יש להטמיע בארגון תהליך הלבנה, לרבות הגדרות מדיניות הקובעות מיהם הגורמים הרשאים לאשר הלבנה והכנסת מידע, למשל:
i. הלבנה מחייבת אישור קב"ט.
ii. הקב"ט רשאי להאציל סמכות למנהל.
12. יש לוודא כי בעלי הרשאה להכנסת מידע עוברים תהליך בחינת מהימנות תדיר, לרבות ביצוע בחינות פתע.
13. יש להתריע (או לסמן בדגל אדום) פעולות הלבנה חריגות שאושרו – למשל גודל קובץ חריג או סוג קובץ חריג.
14. יש להתייחס לאבטחת החדר שבו מוצבת עמדת ההלבנה הארגונית. דוגמה ליישום: הגבלת הכניסה לחדר באמצעות תג עובד או שימוש במצלמות אבטחה במעגל סגור כבקרה מפצה.
15. יש לוודא כי מערך ההלבנה אינו משמש למטרות נוספות (דוגמת מחשב עובד).
16. יש לוודא כי לעמדת ההלבנה אין נגישות לרשת ציבורית, דוגמת האינטרנט.
17. במקרה של קבצים מסוגים חריגים (דוגמת Executable או קוד מקור) יש לממש רמות עומק יישום גבוהות, בשילוב מנגנוני בדיקה רלוונטיים מעולם הפיתוח המאובטח (דוגמת SCA ו-Code Review).
18. יש לוודא כי ברשות הארגון תיעוד מלא של כל פעולות ההלבנה אשר בוצעו בשלושת החודשים האחרונים לפחות, כך שבמקרה של נוזקה שנכנסה לרשת בעבר אפשר יהיה לתחקר לאחור.
19. יש לוודא כי לא נעשה שימוש באותו מנוע אנטי וירוס ו/או אותן חתימות מזהים על ידי היצרנים.
20. יש להעביר התרעות למערך האבטחה במקרים חריגים. דוגמה לאירועים שכאלו: 
א. ניסיון להלבנת קובץ שהמשתמש אינו מורשה להלבין.
ב. ניסיון להכנסת סוג קובץ שלא הוגדר או שאינו בין הפורמטים הנפוצים בארגון.
ג. ניסיונות חוזרים ונשנים להלבין קובץ שנדחה.
ד. גילוי וזיהוי נוזקה.
20. מידע נוסף לגבי רמת אבטחת האימות (רב"א) ניתן למצוא בבקרה "אמצעי הזדהות, אימות ואכיפת מדיניות ארגונית".
21. יש לתת את הדעת על כך שגופים ציבוריים במשק הישראלי עשויים להמציא הנחיות מטעמם להלבנה.
22. ארגונים המעוניינים להשיג רמת אבטחה גבוה יוודאו כי מודול האכיפה שמבצע קריאת מדיה אינו מסתמך על שימוש בדרייבר מסוג MSD (Mass Storage Device).</t>
  </si>
  <si>
    <t>1. כללי
א. הארגון וידא הטמעה של מערך הלבנה ייעודי לשם זיכוי מידע (הסרת נוזקות/קוד עוין) בכל הנתיבים הקריטיים (ממשקי הכנסה/הוצאה של מידע מ/אל הארגון), לרבות לפני הכנסת המידע לרשת בעלת רמת אמון גבוהה (Trust Level) מזו של רשת המקור.
ב. הארגון וידא כי קבע מדדים לבחינת איכות ההלבנה, תוך שקלול פרמטרים מקובלים אשר התקבלו מיכולות הסינון של מערך ההלבנה.
ג. הארגון וידא כי מספר המורשים לבצע פעולות הלבנה הוא נמוך ככל הניתן.
ד. הארגון וידא כי הגדיר תהליך אישור להכנסת מידע לארגון, לרבות רשימת מורשים.
2. ניהול משתמשים והרשאות: 
א. הארגון וידא כי לכל מורשה במערך ההלבנה יש חשבון משתמש אישי.
ב. הארגון וידא כי לכל מורשה במערך ההלבנה מוגדר פרופיל עבודה.
ג. הארגון וידא כי יש הפרדה בין הרשאות גישה של משתמש המתפעל את מערך ההגנה בהתאם לפרופיל עבודה מוגדר, לבין משתמש בעל הרשאות לניהול פרופיל עבודה. 
ד. הארגון וידא כי המשתמש נדרש לבצע פעולת אימות מוצלחת לפני ביצוע פעולה בעמדת הלבנה, וכן לפני העתקת המידע אשר עבר הלבנה למדיית האחסון (דוגמת דיסק או מחיצה ברשת).
ה. הארגון וידא כי במקרה שמשתמש אינו פעיל במשך יותר מ-X דקות, ממשק העבודה ננעל (Lock) אוטומטית, והעמדה מאותחלת לאחר Y דקות ללא פעילות.
3. יכולות הסינון של מערך ההלבנה:
א. הארגון וידא כי ברשות מערך ההלבנה לפחות חמישה מנועי אנטי-וירוס בלתי תלויים העונים על הדרישות הבאות: 
I. המנועים קיבלו ציוני דירוג גבוהים מגופי הערכה/תקינה מוכרים. 
II. אין חפיפה בין מנגנון הזיהוי של האנטי-וירוס לאלה של מנועים אחרים באותה החבילה.
III. קיימת מחויבות רשמית של היצרן לפרסם חתימות עדכניות בתדירות גבוהה.
IV. הארגון וידא שמנועי האנטי-וירוס וזהות היצרנים מאושרים לשימוש לפי מדיניות האבטחה הארגונית. 
ב. הארגון וידא כי מערך ההלבנה עושה שימוש בחתימות אנטי-וירוס הנכונות לאותו יום עבודה.
ג. הארגון וידא כי ברשות מערך ההלבנה יכולת פירוק והרחבה של קבצים (CDR - Content Disarm &amp; ReconstruCIon), לרבות:
i. הסרה/החלפה של מטא-דאטה (Metadata).
ii. הסרת אובייקטים (Embedded Objects) הנמצאים בקובץ (דוגמתPower Shell, SQL Queries, Macrocode, Links).
ד. הארגון וידא כי ברשות מערך ההלבנה יכולת לזיהוי חד-ערכי של הקובץ (True Type) בהתאם לרשימה מוגדרת של מותרים לשימוש (Allowlist).
ה. הארגון וידא כי מערך ההלבנה יכול לאכוף חוקים בהתאם לרשימה של קבצים בהתאם ל-Allowlist\Denylist.
ו. הארגון וידא כי מערך ההלבנה יכול לזהות באופן חד-ערכי את גודל הקובץ, בהתאם ל-Allowlist.
ז. הארגון וידא כי מערך ההלבנה תומך בפורמטים מקובלים. 
ח. הארגון וידא כי הוגדרו למערך ההלבנה רפים (Bars) וספים (Threshold), וזאת כדי למנוע פגיעה תפעולית בתהליך העבודה. דוגמה ליישום: אם אי אפשר לסרוק קובץ, לאחר X ניסיונות מערך ההלבנה ידלג עליו והוא לא יולבן.
ט. הארגון וידא כי מערך ההלבנה תומך בקבצים הכוללים תכנים משפות שכיחות דוגמת עברית, אנגלית, ערבית, רוסית, גרמנית, צרפתית (תוך תאימות לפורמטים מקובלים, דוגמת ANSI , UTF7, UT8), וזאת בהתאם ל-Allowlist.
י. הארגון וידא כי מערך ההלבנה מסוגל להתמודד עם קבצים דחוסים, וזאת עד X רמות.
יא. הארגון וידא כי מערך ההלבנה מסוגל להתמודד עם קבצים מוצפנים/מדיה מוצפנת. דוגמה ליישום: הצגת חלון שבו המשתמש נדרש להזין את הסיסמה.
יב. הארגון וידא כי מערך ההלבנה אינו מסמך כל קלט מצד המשתמש (דוגמת שם קובץ או תוכן קובץ) בתהליך קבלת ההחלטות.
יג. הארגון וידא כי לכל פעולת הלבנה יש מזהה חד-ערכי.
4. דרישות הקשחה:
א. הארגון וידא כי כל מודול/יישום של מערך ההלבנה פועל באופן מבודל, כך שמודול/יישום מסוים אינו יכול להשפיע על תקינות פעילותו של נכס סייבר או פעילויות אחרות בנכס.
 ב. הארגון וידא כי מערך ההלבנה מבוסס על מערכת הפעלה מאובטחת ומוקשחת, אשר הוסרו ממנה רכיבים שאינם חיוניים לעבודה שוטפת (Least Functionality). 
ג. הארגון וידא כי מערך ההלבנה חוזר למצב "אפס" (Zero State) לאחר כל הפעלה. 
5. ממשק מערך ההלבנה:
א. הארגון וידא כי המשתמש נדרש להזין לממשק מערך ההלבנה את פרטי הבקשה, תוך ציון פרטים מקובלים, כמו מקור המידע, סוג המידע, סיווג המידע ומטרות ההלבנה.
ב. הארגון וידא כי פעילות המשתמשים מתועדת במלואה, וכי פעם ביום לפחות מופק דו"ח פעילות מלא ונשלח לממונה הגנת המידע וסייבר ומנהלו הישיר של העובד.
6. ביקורת:
א. הארגון מבצע ביקורות מדגמיות כדי לוודא שמערך ההלבנה פועל כמצופה, וכי משתמשים אינם עושים שימוש לרעה בהרשאות קיימות.</t>
  </si>
  <si>
    <t>7. ניהול משתמשים והרשאות:
א. הארגון וידא כי ניהול מדיניות ההרשאות/פרופילים מתבצע באופן מרכזי ומרוחק, וכי משתמש (לרבות Administrator) אינו יכול לשנות את המדיניות מעמדת ההלבנה עצמה.
ב. הארגון וידא כי מערך ההלבנה כולל תמיכה מובנית בעבודה עם Directory ארגוני לשם אימות משתמשים.
ג. הארגון וידא כי מערך ההלבנה כולל תמיכה מובנית בתצורת עבודה שבה הוא אינו מקבל גישה ישירה לחשבונות המשתמשים עצמם. דוגמה ליישום: שימוש בעקרונות פדרציה (Federation).
8. יכולות סינון של מערך ההלבנה:
א. הארגון וידא כי ברשות מערך ההלבנה אפשרות להוספת מנועי אנטי-וירוס בלתי תלויים, העונים על הדרישות בסעיף 3. 
ב. הארגון וידא כי מערך ההלבנה עושה שימוש בשני Parsers בלתי-תלויים, ומשווה את התוצאות תוך כדי פעולה לשם גילוי וזיהוי ניסיונות למעקף ה-Parsers.
ג. הארגון וידא כי מערך ההלבנה מאפשר אכיפת חוקים ייעודים על ידי Regular , ,Expressions, Wild cards YARA Rules ושיטות סטנדרטיות אחרות.
ד. הארגון וידא כי ברשות מערך ההלבנה מספר מנועים נוספים לזיהוי חד-ערכי של הקובץ (True Type). 
9. ממשק מערך ההלבנה:
א. הארגון וידא כי מערך ההלבנה כולל API סטנדרטי, המאפשר ביצוע פעולות אוטומציה והתממשקות לפתרונות צד-שלישי.</t>
  </si>
  <si>
    <t>10. ניהול משתמשים והרשאות:
א. הארגון וידא כי הגדיר תהליך מאשרים, כך שמשתמש לא יוכל להשלים את פעולת ההלבנה ללא אישור גורם בלתי תלוי (דוגמת נציג צוות הגנת מידע וסייבר).
ב. הארגון וידא כי מערך ההלבנה יכול להצמיד למשתמשים ו/או קבוצת משתמשים ו/או אפליקציות ו/או כתובת אימייל ו/או דומיין אימייל פרופיל הלבנה ייעודי, אשר יאכוף מדיניות הפעלה בהתאם לרמת ההרשאה שלהם.
11. יכולות סינון של מערך ההלבנה:
א. הארגון וידא כי מערך ההלבנה משתמש במנועי אנטי-וירוס הנעזרים בבינה מלאכותית לשם גילוי, זיהוי וסיכול איומים. דוגמה ליישום: שימוש ב-NGAV.
ג. הארגון וידא כי מערך ההלבנה יכול לבחון תקינות קובץ באמצעות בדיקות דינמיות [דוגמת הרצה בקופסת חול (Sandbox)], וכן לגלות שיטות חמקנות של נוזקות (Anti Evasion Techniques).
ד. הארגון וידא כי מערך ההלבנה עושה שימוש בשיטות לזיהוי דמיון בין קבצים וזיכרון נדיף לשם איתור נוזקות. שיטות יישום לדוגמה: עבודה שכיחות -Static Binary and Bytecode Analysis (Code Genealogy/Software Lineage) ו-Fuzzy Hashing.
ה. הארגון וידא כי מערך ההלבנה מצליב קבצים עם מזהים (דוגמת IOCs\IOAs) שהתקבלו מספקי מודיעין איומי סייבר (CI - Cyber Intelligence). 
ו. הארגון וידא כי קובץ תמונה "מרוטש" וממומר לקובץ חדש, הכולל סטייה רנדומלית של 0.08% עד 0.3%  ממבנה התמונה המקורי.
ז. הארגון וידא כי מערך ההלבנה מסוגל לבצע תשאול של ה-Metadate/Hash של קובץ אצל ספק בלתי-תלוי של מאגרי מודיעין סייבר מקובלים, כך שספק השירות לא ייחשף לתוכן המלא של הקובץ.
ח. הארגון וידא כי בעת עבודה עם נתונים מובנים (Structured Data) מתבצע אימות כי מבנה הנתונים ותוכנם תואם את הסכמה (Scheme) אשר אושרה בהתאם ל-Allowlist, וכי שדות הנתונים עונים לדרישות מבנה ותוכן מוגדר בהתאם ל-Allowlist.
ט. הארגון וידא הוא מבצע פעולת הלבנה חוזרת לאחר 7, 14 ו-30 יום, כך שתעלה הסבירות לגילוי וזיהוי נוזקה על סמך חתימות אנטי-וירוס ו-IOCs. יש לוודא כי הקבצים הגולמיים מאוחסנים באזור מבודל מחוץ למערך ההלבנה. על הארגון לגבש תהליכי עבודה לטיפול בנוזקות אשר התגלו בפעולת ההלבנה החוזרת. 
י. הארגון וידא כי מערך ההלבנה מסוגל לגלות ולזהות קבצים אשר חתומים על ידי תעודה דיגיטלית שאינה מהימנה. דוגמה ליישום: וידוא כי התעודה הדיגיטלית אינה מוגדרת כבלתי תקפה ב-CRL הרלוונטי. 
יא. הארגון וידא כי יש אפשרות שליטה מדויקת באופן ביצוע ההלבנה בכל סוג קובץ, לרבות אילו רכיבים יוסרו מהקובץ, האם תבוצע המרה "רכה" תוך שימור פורמט המקור, האם ישנה אפשרות לבצע המרות "קשות" תוך שימוש בפורמט ביניים, והאם ניתן לבצע המרות חד-כיווניות לפורמט אחר. 
יא. הארגון וידא כי מערך ההלבנה יכול להוסיף סוגי קבצים לא ידועים ו/או קבצים custom למנגנון זיהוי ה-True Type.  
יב. הארגון וידא כי מערך ההלבנה יכול לטפל במדיה מוצפנת חומרה.
12. ממשק מערך ההלבנה:
א. הארגון וידא כי מערך ההלבנה עושה שימוש בכרטיס רשת לוגי/פיזי ייעודי לצורך ביצוע פעולות ניהול (OOB).
ב. הארגון וידא כי תקשורת רשתית בין רכיבי מערך ההלבנה מחייבת אימות הדדי על בסיס תעודות דיגיטליות (Mutual Authentication).
ג. הארגון וידא כי ניהול זרימת העבודה (Workflow) ומתן האישורים הוא ממוכן.
ד. הארגון וידע כי מערך ההלבנה עושה שימוש בטכנולוגיית ניהול תורים (Queue Management) או בטכנולוגיה אחרת לשם התמודדות עם מספר רב של קבצים וזיכרון נדיף.
13. דרישות הקשחה ייעודית:
א. הארגון וידא כי מערך ההלבנה מכיל יכולת תוכנתית לחסימת כתיבה על מדיית המקור (Software Based Write Blocker). 
14. הארגון וידא מערך ההלבנה עושה שימוש באמצעים תוכנתיים מקובלים למניעת חבלה (Tamper-Resistant) וחשיפת חבלה (Tamper-Evident).
15. ביקורות:
א. הארגון וידא כי מערך ההלבנה עמד בהצלחה בבדיקות חוסן. יש לוודא כי תיחום הבדיקות עונה לצורכי הארגון.
ב. הארגון וידא כי מערך ההלבנה מקושר למערך הניטור הארגוני. דוגמה ליישום: קישור מערך ההלבנה ל-SIEM.
ג. הארגון וידא כי לא נעשה שימוש לרעה במערך ההלבנה, וזאת על ידי בחינת טרנדים לאורך זמן, תשאול גורמים ארגוניים וכו'.</t>
  </si>
  <si>
    <t>16. כללי:
הארגון וידא הטמעה של מערך הלבנה ייעודי לשם זיכוי מידע (הסרת נוזקות/קוד עוין) בכל הנתיבים הקריטיים (ממשקי הכנסה/הוצאה של מידע מ/אל הארגון), לרבות לפני הכנסת המידע לרשת בעלת רמת אמון גבוהה (Trust Level) מזו של רשת המקור.
17. יכולות סינון של מערך ההלבנה:
א. הארגון וידא כי מערך ההלבנה יכול לבחון תקינות קובץ באמצעות הרצה בקופסת חול (Sandbox), העושה שימוש ב-Golden Image ארגוני שמסוגל לגלות ניסיונות התחמקות מחשיפה של נוזקות (Anti Evasion Techniques).
ב. הארגון וידא כי מערך ההלבנה יכול להתממשק חיצונית למגוון כלי אבטחה הקיימים בארגון, כגון מערכות Sandbox, NexGen AV, DLP, וכן עם מערכות ניתוח קבצים אחרות. 
ג. הארגון וידא הוא מבצע פעולת הלבנה חוזרת לאחר 90 יום, כך שתעלה הסבירות לגילוי וזיהוי נוזקה על סמך חתימות אנטי-וירוס ו-IOCs. יש לוודא כי הקבצים הגולמיים מאוחסנים באזור מבודל מחוץ למערך ההלבנה. על הארגון לגבש תהליכי עבודה לטיפול בנוזקות שהתגלו בפעולת ההלבנה החוזרת. 
18. דרישות הקשחה ייעודית:
א. הארגון וידא כי מערך ההלבנה עושה שימוש במערכת הפעלה המגיבה בהתאם לסד זמנים מוגדר הנאכף בעקביות, וזאת כאשר Process\Threat אינו מסוגל להשפיע על תצורת הפעולה. דוגמה ליישום: שימוש במערכת הפעלה (RTOS - Real time  Operating System) למודול אכיפה.
ב. הארגון בחן שימוש במערכת הפעלה הפועלת ב-RAM בלבד, ונטענת ממדיה חומרתית מסוג WORM (Write once Read Many) או דרך חיבור הרשת (PXE). 
ג. הארגון וידא כי מערך ההלבנה מכיל יכולת חומרתית לחסימת כתיבה על מדיית המקור (Hardware Based Write Blocker).
ד. הארגון וידא כי מערך ההלבנה עושה שימוש בשעון זמן מהימן ובלתי-תלוי, וכי אי אפשר לשנות את שעון המערכת.
ה. הארגון וידא כי מערך ההלבנה עושה שימוש באמצעים חומרתיים מקובלים למניעת חבלה (Tamper-Resistant) וחשיפת חבלה (Tamper-Evident).
ו. הארגון וידא כי עמדות הלבנה פיזיות מוגנות מפני מתקפות מבוססות חומרה וקושחה, וזאת על ידי מניעת ההלבנה של מדיות אשר אינן MSD (Mass Storage Device), ועל ידי הקשחות ייעודיות שימנעו מתקפות מסוג זה על עמדות ההלבנה.  
ז. הארגון וידא כי עמדות ההלבנה יהיו מסוגלות להתריע מפני מתקפות מבוססות חומרה ו/או קושחה באמצעות זיהוי מדיה המתחזה ל-MSD (Mass Storage Device) לגיטימי, אך בפועל מכילה רכיבי מחשוב אחרים. 
19. ביקורות:
א. הארגון וידא כי מערך ההלבנה עמד בהצלחה בבדיקות חוסן שביצע צד-שלישי שאינו קשור ליצרן מערך ההלבנה. יש לוודא כי תיחום הבדיקות עונה לצורכי הארגון.</t>
  </si>
  <si>
    <t>1. יש לפנות לבקרת "התמודדות עם דלף מידע".
2. יש לוודא כי בכל ערוץ של הוצאת מידע מהארגון מוטמע מודול אכיפה בלתי תלוי של מערך ההשחרה. דוגמה ליישום: בארגון פלוני קיימים הערוצים הבאים: דוא"ל, העלאת קבצים בעת גלישה, והוצאת קבצים ידנית. לאור זאת, הארגון יידרש לעשות שימוש בשלושה מודולי אכיפה בלתי תלויים, כך שתקיפה מוצלחת של מודול אחד לא תשפיע על מצב האבטחה של שאר המודולים.
3. על מערך ההשחרה לספק מענה הן בפני ניסיון הדלפה הנובע מטעות אנוש/רשלנות, והן מפני פעולה זדונית של מורשה או גורם אחר שאינו מורשה.
4. יש לוודא כי מערך ההשחרה אינו משמש לביצוע פעולות הלבנה, ולהפך.
5. יש לוודא באופן רציף כי מערך ההשחרה עושה שימוש בגרסה עדכנית של רכיבי התוכנה והחומרה, וכי כל עדכוני האבטחה שעליהם המליץ היצרן הוטמעו. חובה לעשות זאת לפני שניתן היתר למשתמשים להשתמש במערך ההשחרה לשם הוצאת קבצים מהארגון.
6. יש לשלב את תהליך ההשחרה בתהליך פיתוח מאובטח, כדי לוודא שהארגון לא מוציא ללקוחות/לסביבה החיצונית קוד המכיל מזהים ארגוניים ייחודים או מידע רגיש/חסוי אחר.
7. יש לוודא כי לפני הוצאת מידע מהארגון מתבצעת בדיקת הלבנה, כדי לוודא שהקבצים אינם מכילים נוזקות.
8. יש לוודא כי מערך ההשחרה נכלל בארכיטקטורה להגנה בפני דלף מידע.
9. יש להגדיר מצבים שבהם מערך ההשחרה ינוטרל, דוגמת התראת סייבר בעלת סבירות גבוהה להתממשות.
10. יש לנטר את פעולות ההשחרה לפחות 3 חודשים אחורה – כולל מהו המידע שהושחר, מי אישר את ההשחרה, מתי, והאם היתה הצדקה עסקית לביצוע ההשחרה והוצאת המידע.
11. יש להטמיע בארגון תהליך השחרה, שיכלול מדיניות ברורה לגבי מיהם הגורמים שרשאים לאשר השחרה והוצאת מידע, למשל :
i. השחרה מחייבת אישור קב"ט.
ii. הקב"ט רשאי להאציל סמכות למנהל.
12. יש לוודא כי בעלי הרשאה להוצאת מידע עוברים תהליך בדיקת מהימנות תדיר, לרבות ביצוע בדיקות פתע.
13. יש להתריע (או לסמן בדגל אדום) פעולות השחרה חריגות שאושרו – למשל, גודל קובץ חריג או סוג קובץ חריג.
14. יש להתייחס לאבטחת החדר שבו מוצבת עמדת ההשחרה הארגונית. דוגמה ליישום: הגבלת הכניסה לחדר באמצעות תג עובד או שימוש במצלמות אבטחה במעגל סגור כבקרה מפצה.
15. יש לוודא כי מערך ההשחרה אינו משמש למטרות נוספות (דוגמת מחשב עובד).
16. יש לוודא כי לעמדת ההשחרה אין גישה לרשת ציבורית, דוגמת האינטרנט.
17. מידע נוסף לגבי רמת אבטחת האימות (רב"א) ניתן למצוא בבקרה "אמצעי הזדהות, אימות ואכיפת מדיניות ארגונית".</t>
  </si>
  <si>
    <t xml:space="preserve">12. הארגון וידא כי השחרת מידע מחייבת אישור של שני גורמים בארגון (Two Control). דוגמה ליישום: העובד ומנהל ישיר. בארגונים בעלי תהליכים קריטיים/רגישים, מוצע כי העובד לא ישמש גורם מאשר.
13. הארגון וידא כי מערך ההשחרה משולב במערך למניעת דלף מידע. 
14. הארגון וידא כי מערך ההשחרה מקנה למורשה אפשרות להסיר תכנים ממסמך באופן ידני.
15. הארגון וידא כי הוא מאפשר חסימה, הסרה או שינוי של תכנים באמצעות Denylist. דוגמהות ליישום: 
א. שימוש ב-Denylist הכוללת מילות מפתח של פרויקטים/מתקנים רגישים וכו'.
ב. שימוש ב-Denylist הכוללת ערכי Hash או Fuzzy Hashing המייצגים תכנים רגישים.
 </t>
  </si>
  <si>
    <t>16. הארגון וידא כי השחרת מידע מחייבת אישור של שלושה גורמים בלתי תלויים בארגון (Three Control). דוגמה ליישום: העובד, מומחה תוכן ומנהל ישיר.
17. הארגון וידא כי משתמשים שברשותם הרשאה לביצוע השחרה נדרשים לעמוד ברמת מהימנות גבוהה, גם אם סיווג המידע נמוך. דוגמה ליישום: עובד שברשותו הרשאה לביצוע השחרה למידע בסיווג רגיש, יידרש לעמוד בדרישת מהימנות לגישה למידע חסוי.
18. הארגון וידא כי ניהול זרימת העבודה (Workflow) ומתן האישורים הוא ממוכן.
19. הארגון וידא כי מערך ההשחרה מחייב כברירת מחדל ביצוע הצפנה למידע שהושחר בהצלחה.
20. הארגון וידא כי הוא שומר העתק של מידע אשר עבר השחרה באופן מוגן ולתקופה של חצי שנה לפחות, וזאת כדי לאפשר תחקור בדיעבד.</t>
  </si>
  <si>
    <t>1. יש לפנות לבקרות בפרק "התאוששות (Recovery)".
2. יש לשים לב כי פעמים רבות קיימת תלות בין האזורים (Regions) השונים של ספק ענן, אף שהדבר לא תמיד מוצהר רשמית. כפועל יוצא מכך, תקלה או אירוע סייבר באזור מסוים עלולים להשפיע משמעותית על פעילות באזור אחר. דוגמה לשירותים שחשופים לעניין: DNS, IAM ו-BGP.  
3. מומלץ לבצע מעבר הדרגתי לשימוש בענן ציבורי. זאת לצורך בחינת ההתאמה של צורת העבודה לצורכי הארגון, וכן לשם צמצום האפשרות כי כשל או תקלה הנובעים מהיעדר ניסיון מקצועי ייצרו פערים אבטחתיים.
4. מומלץ כי ארגונים שמעבירים את עיקר הפעילות לספק ענן ישתמשו כברירת מחדל בתצורת עבודה Multicloud.
5. מומלץ לוודא כי חשבון המנוי (Subscriber) וה-Tenant המשמש לאחסון גיבויים שונים מזה המשמש להקמה ולניהול של סביבת הייצור.
6. מומלץ לוודא כי קיים נוהל עבודה עם ספק הענן, שכולל מתן עדיפות לארגון בקבלת תמיכה במצבים של המשכיות עסקיות/התאוששות מאסון. 
7. אם ספק ה-SaaS\PaaS מאחסן את התשתית שלו בספק ענן אחר יש לנתח את משמעויות הדבר, לרבות חלוקת האחריות המשותפת (Shared Responsibility Model) בין שלושת הגורמים בתהליך.
8. יש לתת את הדעת על כך שבמקרים מסוימים ניתן לבקש מספק הענן לשלוח "מגירות דיסקים" לארגון במקרה חירום.</t>
  </si>
  <si>
    <t xml:space="preserve">10. הארגון וידא כי הוא מסוגל להמשיך בפעילות עסקית גם לאחר כשל כללי של ספק הענן, וזאת בזמן השבתה אפסי וללא אובדן מידע. דוגמה ליישום: עבודה עם מספר ספקי ענן במקביל או בסביבה מרובת-עננים (Multicloud).
11. הארגון וידא כי ספק הענן מחויב להקצות לו צוות תמיכה ייעודי, שברשותו הסמכות והכשירות לביצוע משימות התומכות במאמצי התאוששות בזמן חירום. </t>
  </si>
  <si>
    <t xml:space="preserve">1. ודאו כי התיעוד אצל הספק מכיל סקירה פרטנית של תהליכי ניהול שינויים ופיתוח מאובטח, וכי התהליכים עונים הן לעקרונות מקובלים ועדכניים בתחום והן לדרישות הארגון.
2.ודאו כי בדיקות הקבלה מבוצעות בסביבת טסט על ידי הגורם העסקי שיזם את השינוי, וכי השינוי אושר בסביבת הטסט לפני העברתו לסביבת הייצור.
3.ודאו כי האמצעים הטכנולוגיים שהארגון עושה בהם שימוש מאפשרים שליטה ובקרה על תהליך ניהול השינויים בענן.
4. ודאו כי אין הרשאות עודפות למשאבים או למשתמשים.
5. ודאו כי נעשה שימוש גורף ב-Blueprint.
6. ודאו כי הארגון מיישם תהליכי ניהול שינויים בהתאם להמלצות היצרן.
7. ודאו באופן מדגמי כי קובצי הגדרות התצורה אינם מכילים מידע רגיש/חסוי.
8. ודאו כי הארגון עושה שימוש במנגנונים המובנים בספק הענן לשם צמצום הסבירות לטעות אנוש ולהקטנת משטח התקיפה. לדוגמה: Adaptive Application Controls (AAC)
Adaptive Network Hardening (ANH)
9. ודאו כי ברשות הארגון כלי סריקה הפעיל 24/7 שמטרתו לגלות, לזהות ולהסיר מידע מידע רגיש/חסוי בקובצי הגדרות תצורה וכד' - למשל סודות "Secrets" (דוגמתAPI Management keys, Storage keys, Passwords, SSH keys, Cryptographic keys, Access tokens) ו-PII\PHI\CHD.
10. ודאו כי הארגון עושה שימוש במערכת Cloud Native Application Protection Platform (CNAPP) הכוללת מודולי הגנה רלוונטיים (דוגמת CSPM, CWPP, KSPM,CIEM).
11. ודאו באופן מדגמי כי קוד ה-IoC (Infrastructure as Code) אינו מכיל נוזקות/קוד זדוני.
12. ודאו באופן מדגמי כי ה-Images והאפליקציות מה-Marketplace בהם הארגון עושה שימוש אינם מכילים נוזקות/קוד זדוני.
</t>
  </si>
  <si>
    <t>1. הארגון וידא כי תהליך ניהול השינויים הארגוני כולל (בשינויים מחייבים) התייחסות לשירותים בענן.
2. הארגון וידא כי ספק הענן מיישם תהליכי פיתוח מאובטח, ומשלב בדיקות הגנת מידע וסייבר במחזור החיים של הסביבה. זוהי סוגיה מהותית בעת עבודה במודל "תוכנה כשירות" (SaaS).
3. הארגון וידא כי קובצי קונפיגורציה (דוגמת Templates) אינם מכילים "Secrets" (דוגמת: API Management keys, Storage keys, Passwords, SSH keys, Cryptographic keys, Access tokens) וכי הוא עושה שימוש בפרקטיקות שעליהן ממליץ ספק הענן.
4. הארגון וידא כי הוא מנהל ומבקר את השימוש במשאבים ומבצע התאמה (Capacity Management) שלהם בהתאם לצורך. דוגמה ליישום:Scale In\Out, Scale Up\Down.
5. הארגון וידא כי זמן סביר לפני שספק הענן מבצע שינויים הוא מקבל מידע המאפשר לו לנתח את המשמעות הנגזרת מכך ולבצע פעולות מתקנות בהתאם לצורך.</t>
  </si>
  <si>
    <t>12. הארגון וידא כי הגדרות התצורה (System Configuration) נטענו לסביבת הייצור אצל ספק הענן במישרין, ולא דרך יעדי ההגנה הנמצאים בחזקת המשתמשים. דוגמה ליישום: תהליך CI/CD יתבצע באמצעות כלים שמציע ספק הענן, כך שההגדרות ייטענו דרכם - ולא על ידי כלי הפיתוח/ IDE המותקנים על עמדות העבודה של צוות הפיתוח.</t>
  </si>
  <si>
    <t>1. ודאו כי שרתי ה-IdP/Federation מעודכנים בהתאם להמלצות היצרן. בכלל זה יש לוודא כי קיים סוכן (Agents) על שרתי ה-DCs.
2. ודאו כי לא ניתן לגשת לשרת ה-IdP/Federation ישירות מהאינטרנט, ויש לעבור דרך Proxy המממש מנגנוני אבטחה מקובלים.
3.ודאו כי משתמשים חזקים אינם מסוגלים לבצע Login דרך תשתית ה-Federation.
4. ודאו כי חשבונות ה-Federation עוברים סקירה אחת לשנה לכל היותר, וכי חשבונות מיותרים או הרשאות עודפות מוסרים לאלתר.
5.ודאו כי:
 א. בדיקות החוסן מבוצעות באופן שוטף.
 ב. תוצאותיהן מנותחות ומתועדות.
 ג. מבוצעת אסקלציה לגורמים הרלוונטיים.
6. ודאו כי הארגון בוחן לפחות אחת לשנה את תאימות שיטת האימות בענן לצרכיו. לדוגמה: Pass-through authentication (PTA) או Password Hash Synchronization.
7. ודאו כי הארגון צמצם למינימום את כמות ואיכות הרשומות המשוכפלות לענן.
8.ודאו כי יש יתירות קווי תקשורת לסביבת הענן, וזאת תוך שימוש במבחנים מקובלים.
9. ודא כי לארגון יכולת ניטור 24/7, לרבות יכולת תגובה אפקטיבית במקרה של חשד/חריגה. בכלל זה, יש לוודא שימוש ב-CSPM, CASB ו-CWPP.
10. ודאו כח מבוצעות בדיקות חוסן תקופתיות לסביבת הענן ולממשקים בהתאם למדיניות הארגון.
11. ודאו את תאימות אמצעי ההגנה של הארגון לספק ההגנה בעת עבודה עם שירותי ענן (דוגמת CASB).
12. ודאו כי קיימת הקשחה (System Hardening) בהתאם למתודולוגיה עדכנית ומקובלת, וכי אפשר לאכוף אותה באופן אוטומטי במקרה של ביצוע שינוי ידני + שליחת התרעה.
13. ודאו כי משתמשים אינם מסוגלים להוסיף משאבים באופן עצמאי ל-IdP בענן (דוגמת חשבון המחשב שלהם).
14. ודאו כי הארגון עושה שימוש ב-MDM לשם ניהול יעדי הגנה המתחברים לענן.</t>
  </si>
  <si>
    <t>11. הארגון וידא כי פעולות ניהול ב-Cloud אינן יכולות להשפיע על מצב האבטחה ברשת הארגונית המקומית (On-Premise).
12. שימוש בשירותי פדרציה (Federation):
א. הארגון וידא כי הוא מבצע בדיקות חוסן לתשתית ה-Federation באופן תקופתי ובתדירות גבוהה, הן מפנים הארגון והן מחוצה לו. בבדיקות יש לעשות שימוש באמצעים לזיהוי חולשות בזמן אמת או קרוב לזמן אמת (לרבות טעויות בקונפיגורציה שיכולות לסייע לתוקף).
13. הארגון וידא כי ככלל הוא עשה שימוש בתצורת עבודה בה המידע הרגיש/חסוי ישמר תמיד ברשת המקומית (On Premises) , ורק במקרה שבו ישנו צורך לחפש/להציג את המידע בענן הציבורי, ייווצר קישור (Link) זמני למופע המידע הקיים ברשת המקומית. דוגמה ליישום: שימוש בפרוטוקול OData</t>
  </si>
  <si>
    <t xml:space="preserve">1. ודאו כי תהליך התגובה של הארגון עומד בהמלצות העדכניות של ספק הענן.
2.ודאו כי מסמך ניהול האירועים מכיל מקרים ותגובות לאירועים בסביבת הענן.
3.ודאו כי ברשות ספק הענן גורמי מקצוע המסוגלים לספק מענה מתאים במקרה של אירוע סייבר או חשד לקיומו. ניתן להיעזר בממצאי סקרים שביצע צד שלישי או בשיטה אחרת.
4. ודאו כי בשנה האחרונה תרגל הארגון יחד עם ספק הענן תגובה לתרחיש בשירות ליבה.
5. ודאו כי לתשתית ספק הענן יש יכולות פורנזיקה מתאימות, או שלארגון יש יכולות עצמאיות המספקות מענה הולם לצרכיו.
6. ודאו כי ממצאי דו"חות חקירה לדוגמה שהמציא ספק הענן עומדים בשיטות עבודה מקובלות ועדכניות, וכוללים התייחסות לנושאים כגון:
א. ביצוע אסקלציה.
ב. שמירה על עיקרון שרשרת הראיות (Chain of Custody).
ג. המצאת חוות דעת מגורם מומחה לבית משפט.
ד. ניתוח אירוע ומסקנות נגזרות (Lesson Learned).
7. ודאו כי במקרה של חריגות אבטחה מקבלים נציגי הארגון הרלוונטים התרעות באופן יזום מסביבת הענן הציבורית.
</t>
  </si>
  <si>
    <t xml:space="preserve">7. הארגון וידא כי במקרה של חשד לאירוע או אירוע אמת, מהימנות, שלמות וזמינות הארטיפקטים ביעדי ההגנה המעורבים באירוע נשמרת (Immutable Storage).
8. הארגון וידא כי בעת ביצוע תהליכי תגובה לאירועים ותהליכי חקירה פורנזיים הוא אינו פוגע בפעילות העסקית. דוגמה ליישום: הטמעה של סביבה חדשה באמצעות שימוש באוטומציה. </t>
  </si>
  <si>
    <t xml:space="preserve">9. הארגון וידא כי יש ברשותו בענן לפחות מכונה וירטואלית אחת, הכוללת כלי חקירה פורנזיים (Forensic Workstation) עדכניים ומופרדת לוגית בשגרה משאר יעדי ההגנה. כך ניתן יהיה לבצע באמצעותה פעולות חקירה בעת הצורך.
10. הארגון וידא כי הוא מבצע אימונים שוטפים (Training) עם ספק הענן לשם בחינת מוכנות (Readiness) ושמירה על כשירות.
11. הארגון וידא כי ספק הענן מציע תשתית התומכת בביצוע פעולות חקירה מתקדמות. דוגמה ליישום: ספק הענן מציע שירות המאפשר להעתיק תוכן תעבורה (Port Mirror) לצורך ביצוע חקירה פורנזית. </t>
  </si>
  <si>
    <t>1. יש לזכור כי פתרונות מסורתיים, דוגמת מסד נתונים מסוג RDBMS, עשויים להתאים פחות לעבודה בסביבת Serverless, בשל שיטת ניהול ה-Connections. כפועל יוצא מכך, בחירה במסד נתונים לא מתאים עלולה לפגוע ביכולת הארגון להתמודד עם כשלים/תקלות ותקיפות סייבר.
2. יש לתת את הדעת על כך שמקור התקפת הזרקה (Injection Attack) יכול להיות Event אשר נוצר בעקבות קריאה והרצה של ה-Function (קרי, אירוע מסדר שני).
3. יש לשים לב כי פתרונות מסורתיים דוגמת WAF עלולים להיות פחות מתאימים להגנה על Serverless.
4. יש לוודא כי נעשה שימוש מושכל בטכנולוגיית ניהול תורים, וזאת לשם מניעה של מתקפת מניעת שירות חיצונית או עצמית.
5. דוגמה לגילוי, זיהוי וסיכול איומים בעת עבודה ב-Serverless: שימוש ב-RASP או בפתרון חיצוני לניטור פעילות ה-Serverless.</t>
  </si>
  <si>
    <t>1. הארגון וידא כי אמצעי ההגנה שברשותו מותאמים לעבודה עם ארכיטקטורת Serverless. יש לזכור כי פעמים רבות אמצעי אבטה מסורתיים, דוגמת WAF, פחות מתאימים להגנה על ארכיטקטורת Serverless, ולעתים נדרשים אמצעי אבטחה חלופיים, דוגמת RASP.
2. הארגון וידא כי הוא בוחן באופן שוטף את המלצות היישום של ספק שירותי הענן להגנה על ארכיטקטורת Serverless.
3. הארגון וידא כי כל Function מכילה כמות מינימלית של קוד לשם מילוי תכליתה.
4. הארגון וידא כי לכל Function תלות נמוכה ככל האפשר ברכיבים/משאבים חיצוניים.
5. הארגון וידא כי כל Function משמשת לביצוע משימת יסוד/אטומית (Atomic).
6. הארגון וידא כי הוא מצמצם למינימום את השימוש ב-Function Proxy.
7. הארגון וידא כי Function מבצעת דחיפה (Push) ליעד הגנה המשמש לאחסון (דוגמת מסד נתונים), לתור (Queue) או לפתרון מקביל. קרי, אין לאפשר תקשורת ישירה בין Function ל-Function אחרת. 
8. הארגון וידא כי הוגדרה Allowlist של Entrypoint\Exitpoints / Events Source שבהם מותר לכל Function להשתמש, וכי מוחלות בדיקות קלט/פלט עצמאיות (Input/output Validation) לכל Event Type.
9. הארגון וידא כי ההתקשרות בין רכיבי התשתית (דוגמת Function &amp; Cloud API) התבצעה תוך שימוש בהצפנה סטנדרטית, מקובלת ועדכנית.
10. הארגון וידא כי קוד ה-Function נכתב בהתאם לפרקטיקות מקובלות (דוגמת  RBAC/RAdAC, Least Privilege, SoD), וכי לא ניתן לעקוף את הפרקטיקות שהוגדרו. יש לשים לב לשימוש ב-Resources ולנגישות שמאפשרת הרשת עצמה.
11. הארגון וידא כי את ניהול התצורה בענן מבצע כלי ממוכן התומך בארכיטקטורת Serverless, כך שניתן לוודא בכל זמן נתון כי הקוד זהה ל-Baseline מאושר.
12. הארגון וידא כי הוא מעדיף שימוש באמצעי אבטחה שמציעים ספק שירותי הענן הציבורי או גורם צד שלישי מתמחה, וזאת כחלופה לפיתוח עצמי.
13. הארגון וידא כי נעשה שימוש ברכיבי תוכנה צד שלישי ממקור מהימן ומקובל בעולם הפיתוח. יש לתת את הדעת לכך כי לא כל Function אשר זמינה ב-Marketplace (לדוגמה) מספקת מענה הגנה מספק.
14. הארגון וידא כי הוא משדרג באופן קבוע לגרסה עדכנית את כל רכיבי הקוד שמקורם בצד שלישי.
15. הארגון וידא כי המשתמשים מקבלים הודעת שגיאה גנרית (Exception Handling and Verbose Errors), שאינה מכילה פרטים העשויים לסייע לתוקף פוטנציאלי.
16. הארגון וידא כי לא נעשה שימוש במצב Debug בסביבת ייצור (Production). יש לשים לכך לב, כי מדובר בטעות שכיחה של גורמי הפיתוח.
17. הארגון וידא כי הוא מאפשר יצירה של Process בהתאם ל-Allowlist.</t>
  </si>
  <si>
    <t>1. הארגון וידא כי קבע מדיניות הערכת סיכונים בשרשרת אספקה (SCRM – Supply Chain Risk Management). בכלל זה, על המדיניות לכלול התייחסות נושאים מקובלים, לרבות:
א. מיפוי דרישות חוק, רגולציה, דרישות חוזיות וצרכים עסקיים רלוונטיים.
ב. קריטריונים ותבחינים להגדרה של ספק מהותי/קריטי.
ג. קריטריונים ותבחינים להגדרה של פרופיל פעילות ספק (דוגמת מתן תמיכה מרחוק, פיתוח תוכנה וכד').
ד. דרישות הגנת מידע וסייבר מספקים בהתאם לפרופיל ההתקשרות. יש להבחין בין דרישות רוחביות לכלל הספקים, לבין דרישות פרטניות בהתאם למקרה פרטי.
ה. בקרות מפצות בהתקשרויות בהן לא ניתן להביא את הספק אל רמת ההגנה הנדרשת. דוגמה ליישום: הקצאת מתחם עבודה ייעודי בארגון לטובת פעילות הספק, כך שהמידע לא יצא מחצרות הארגון.
ו. אופן המענה המצופה מכל ספק וזאת בהתאם לפרופיל הפעילות שלו.
ז. שמירה על סודיות.
ח. מניעת ניגוד עניינים.
ט. היבטי ביקורת ובקרה.
י. אופן הגישה מרחוק של ספקים.
יא. היבטי הוצאת מידע לענן.
יב. אופן סיום התקשרות עם ספק, לרבות צעדים נדרשים למניעת דלף מידע.
יג. בדיקות קבלה ליעדי הגנה (שירותים, נכסי סייבר וכד'). ראו בקרה ייעודית לנושא.
יד. אחריות להגנה על המידע שאצל הספק (לכל אורך נתיב המידע, כולל ספקים וצד ג' של ספקים).
טו. מטריצת חלוקת האחריות שבין הספק לארגון בהיבטי הגנת מידע וסייבר.
טז. התמודדות עם אירוע הגנת מידע וסייבר, כולל ספקים וצד ג' של ספקים. יש לתת את הדעת לנושא איסוף ראיות פורנזיות, הצגת הממצאים במסגרת הליכים משפטיים ואחרים, וחובת הספק לעדכן את הארגון בהתאם ל-SLA מוגדר (דוגמת 24 שעות) במקרה של אירוע או חשד לקיומו של האירוע אשר עשוי להשפיע על הארגון/על לקוחות הארגון.
יז. תהליכי אסקלציה והטלת סנקציות במקרה של אי עמידת הספק בדרישות הגנת מידע וסייבר.
יח. חיוב הספק למנות ממונה הגנת מידע וסייבר או נציג אחר אשר יסייע לארגון בביצוע פעולות הגנת מידע וסייבר.
יט. קיומו של שיפוי של הספק לשיפוי הארגון במקרה של אי עמידה בדרישות הגנת מידע וסייבר או אירוע הגנת מידע וסייבר.
כ. מניעת חשיפת מידע רגיש/חסוי שלא לצורך במסגרת מכרזים והתקשרויות.
כא. מסגרת SLA לטיפול באירועי/חולשות הגנת מידע וסייבר ע"י הספק/היצרן.
כב. אסטרטגיית סיום התקשרות עם ספק (Exit Plan Strategy) דוגמת מחיקת מידע והחזרת ציוד לארגון.
כג. קביעה כי הארגון הוא הפוסק האחרון בסוגיות הגנת מידע וסייבר.
כד. איסור רכישה של מוצר/שירות אשר קרוב לתאריך ה-EOL\EOS.
כה. קיומו של נוהל עבודה המתעדכן באופן תקופתי, ולכל היותר אחת לשנה.
כו. הקצאת משאבים נאותים להגנת מידע וסייבר.
2. הארגון וידא כי ברשותו מיפוי עדכני של ספקים מהותיים/קריטיים ולא מהותיים/קריטיים.
3. הארגון וידא כי ברשותו מיפוי עדכני של ספקי משנה התומכים בספק המהותי/הקריטי.
4. הארגון וידא כי באופן תקופתי, ולכל היותר אחת לשנה, הוא מבצע בחינה של הסכם ההתקשרות עם ספקים מהותיים/קריטיים, ושל עמידתם בהתחייבויותיהם החוזיות. זאת, תוך התייחסות לשינויים הנדרשים מהספק עקב התפתחויות ושינויים טכנולוגיים ושינויים בשירותים הניתנים.
5. הארגון וידא כי ניהול הסיכונים הארגוני כולל התייחסות לסיכונים הנובעים משרשרת האספקה.
6. הארגון וידא כי עדכן את ממונה הגנת המידע והסייבר או גורם מוסמך אחר מטעמו לפני הוספה, גריעה או שינוי במצב ההתקשרות עם ספק.</t>
  </si>
  <si>
    <t>1. ניהול שינויים אינו אירוע חד-פעמי, אלא תהליך אב חוצה ארגון, אשר כולל בין השאר את מקבלי ההחלטות, גורמי תפעול ו-IT, וגורמי הגנת מידע וסייבר.
2. אם הארגון מפתח מוצרי תוכנה באופן עצמאי, יש לוודא כי  תהליכי ה-DevOps או Shadow IT אינם עוקפים את תהליך ניהול השינויים.
3. כשלים נשנים וחוזרים בהחלת תהליך ניהול שינויים סדור יכולים להעיד על קיומם של פערי אבטחה מהותיים.
4.  יש לוודא כי תהליך ניהול השינויים משולב בתהליך ההמשכיות העסקית, כך ששיהוי חריג ביכולת להתאושש מכשל/תקלה (או חוסר יכולת להתמודד איתה) לא יפגע ברמות השירות המצופות.
5. יש לוודא כי לארגון יש מתודולוגיה עדכנית לניהול שינויים בתחום ה-IT עבור כל יעד הגנה / משפחת יעדי הגנה (מחשב מרכזי, יעדי עמדת קצה, שרת מסד נתונים וכו').
6. יש לוודא כי מנהל הגנת המידע והסייבר או גורם אחר מטעמו הם שותפים קבועים בצוות ניהול השינויים.
7. יש לוודא כי צוות הגנת המידע והסייבר לוקח חלק פעיל בתחקור להפקת לקחים הקשורים להחלת תהליך ניהול שינויים/הגדרות תצורה. 
8. יש לוודא כי הארגון ביצע הפרדת סביבות: ייצור, קדם ייצור, פיתוח ובדיקות.
9. יש לוודא כי הארגון משתמש באמצעים ממוכנים להחלת ניהול השינויים והגדרות תצורה, תוך צמצום מעורבות יד-אדם למינימום.
10. יש להתייחס בתהליך ניהול הסיכונים לסיכונים נגזרים, וכן לשיטות ואמצעים לביצוע חזרה לאחור (Fallback).
11. יש לוודא כי לצוות הגנת המידע והסייבר יש גישה לתיעוד הגדרות התצורה ותהליך ניהול השינויים, כדי שניתן יהיה להשתמש במידע שהופק לשם מתן מענה אבטחתי פרואקטיבי.
12. יש להכיר בכך כי תקופות שבהן מתבצעים שינויים טכנולוגיים בארגון הן נקודת זמן אידיאלית עבור תוקף אשר מנסה להסוות את פעילותו.
13. יש לוודא כי בוצעו תהליכי הגנת מידע וסייבר מקובלים לפני ואחרי החלת השינוי בפועל. לדוגמה: ביצוע בדיקות חוסן לפני התקנת גרסה חדשה ולאחר הטמעתה; ביצוע בדיקת חוסן נוספת לצד בדיקת אפקטיביות אמצעי האבטחה.
14. יש לנתח שינויי תצורה במערכת המידע בסביבת בדיקות בלתי תלויה ונפרדת לפני היישום בסביבת הייצור.</t>
  </si>
  <si>
    <t>1. ודאו כי ברשות הארגון מיפוי על ציר הזמן של כל השינויים בהגדרות התצורה של יעדי ההגנה.
2. ודאו באופן מדגמי כי אין פערים בין הגדרות התצורה המאושרות לאלו שקיימות בפועל.
3. ודאו כי מספר הגורמים שיש להם גישה להגדרות תצורה קודמות הוא מינימלי, וכי בשנה האחרונה רשימת המשתמשים ורמת ההרשאות שלהם נבחנה ואושרה על ידי הנהלת הארגון.
4. ודאו כי גורם טכנולוגי וגורם עסקי ניתחו יחדיו  את השינויים ביעדי ההגנה (Impact Analysis) לפני הטמעתם בסביבת הייצור.
5. ודאו כי שינויים בהגדרות תצורה בסביבת הייצור מבוצעים ללא מעורבות יד אדם.
6. ודאו כי כל משתמשי האדמין הם ממחלקת ה-IT, וכי הם אושרו ונסקרו אחת לשנה. בנוסף, ודאו כי בכל פעם שנעשה שינוי במנגנון נשלחת התרעה במייל למנהל המערכת.
7. ודאו כי קיימת סביבת בדיקות בלתי תלויה, וכי מתבצעים תהליכי בדיקה לפני החלת שינויים בסביבת הייצור.
8. ודאו כי לא בוצעו שינויים לא מורשים בהגדרות תצורה ביעדי ההגנה, ובמערך האחסון והגיבויים.
9. ודאו באופן מדגמי כי קובצי הגדרות התצורה אינם מכילים מידע רגיש/חסוי,  דוגמת סודות (Secrets).
10. ודאו כי תהליך ניהול השינויים וכן תהליכים משיקים, כמו פיתוח מאובטח בארגון, כוללים התייחסות למניעת שמירה של מידע רגיש/חסוי בקובצי הגדרות תצורה וכו', כגון סודות "Secrets" (לדוגמה: API Management keys, Storage keys, Passwords, SSH keys, Cryptographic keys, Access tokens) ו-PII\PHI.
11. ודאו באופן מדגמי כי שינוי הגדרות תצורה חריג מתגלה ומזוהה, וכי תהליך תיקון (Remediation) מתבצע תוך צמצום למינימום של ההשפעה על הפעילות העסקית.</t>
  </si>
  <si>
    <t>12. הארגון וידא כי יש לו יכולת ממוכנת לקבל המלצות לטיוב הגדרות התצורה (System Configuration) וזאת בהתאם להמלצות מקובלות בעולם הגנת מידע וסייבר, כך שניתן יהיה להקטין למינימום את משטח התקיפה (Attack Surface).
13. הארגון וידא כי הוא מנהל את יעדי ההגנה והגדרות התצורה באופן ממוכן (Asset Management). דוגמה ליישום: /SCM (Secure Configuration Management)CMDB.
14. הארגון וידא כי תהליך מתן האישורים והמעקב אחר היישום בפועל מתבצע על ידי מערכת ממוכנת לניהול זרימת העבודה (Workflow).
15. הארגון וידא כי הגדרות התצורה (System Configuration) נטענו ביעדי ההגנה במישרין, ולא דרך יעדי הגנה הנמצאים בחזקת המשתמשים. דוגמה ליישום: שימוש בשרת מתווך (Jump Box) או ביצוע פעולות באמצעות מערכות שו"ב מרכזית.</t>
  </si>
  <si>
    <t>1. הארגון וידא כי ברשותו מיפוי עדכני של הקונטיינרים (Containers), דוגמת:
א. שם, סוג ה-Image וגרסתו.
ב. שם וסוג גרסת הקונטיינר (Image Instance).
ג. שם, סוג וגרסת ה-Repository/Registry וה-Images הרלוונטיים שנכללים בה.
ד. שם וסוג מערכת ההפעלה, גרסתה והמהדורה המשרתת כל Image.
ה. שם, סוג האפליקציה וגרסתה המשרתת כל Image.
ו. תגיות רלוונטיות (Tags) - וזאת בהתאם ל-actual image id.
ז. המיקום הפיזי והלוגי של הקבצים (לרבות ה-Image).
ח. מפרט המשאבים המוקצה (דוגמת RAM, שטח דיסק וכו').
2. הארגון וידא כי הוא משלב תהליכי הגנת מידע וסייבר במשך כל מחזור החיים של הקונטיינרים: התכנון הראשוני, אפיון ארכיטקטורה (לרבות הקצאה וניהול המשאבים ברמות הניהול השונות דוגמת Pod, Cluster), Base Image Build, פרסום/הסרה מה-Registry, החלת עדכונים/שינויים, אתחול/כיבוי, ומחיקה בלתי הדירה.
3. הארגון וידא כי ברשותו מיפוי עדכני של חולשות בתשתית הקונטיינרים (לרבות ה-Image, הקוד, ה-Host וכו'), וכי הוא נוקט פעולות מקובלות לטיפול בחולשות.
4. הארגון וידא כי הוא מסיר באופן יזום Image / גרסאות ישנות של Images שאינן נדרשות לעבודה. יש לשים לב כי נדרשת מחיקה של ה-Image ממצע האחסון, ולא רק Detach מה-Registry.
5. הארגון וידא כי הרשאות לגישה וניהול מערך הקונטיינרים ניתנות בהתאם לעקרונות מקובלים בעולם הגנת המידע והסייבר. דוגמה ליישום: איש פיתוח יורשה להוסיף/להחליף Image בפרויקט שהוא אחראי עליו, אך לא בפרויקטים אחרים. 
6. הארגון וידא כי צמצם את היכולת של החשבון האפליקטיבי בקונטיינר לבצע פעולות חריגות, וזאת על ידי שימוש במנגנונים טכנולוגיים מקובלים (דוגמת SELinux, Secure Computing/Seccomp).
7. הארגון וידא כי בעת הכנת ה-Images נעשה שימוש במערכות הפעלה "רזות", כך שמשטח התקיפה (Attack Surface) יהיה קטן ככל הניתן.
8. הארגון וידא כי הוא נוקט פעולות מקובלות בעת אימוץ Image מ-Registry ציבורי, וזאת כדי להבטיח שהוא אינו מכיל נוזקה. ראו גם בקרת ״הלבנה״ להרחבה.
9. הארגון וידא כי הוא נוקט פעולות מקובלות בעת פרסום Image ל-Registry ציבורי. ראו גם בקרת ״השחרה״ להרחבה.
10. הארגון וידא כי כל הפעולות ב-Registry וב-Orchestration מתועדות לקובץ לוג חיצוני.
11. הארגון וידא כי ביצע גידור רשתי (Network Segregation) וקיטוע רשתי (Network Segmentation/Network Isolation), כדי למנוע גישה לא מורשית לאפליקציות הפועלות בקונטיינרים (Containers).
12. הארגון וידא הוא בוחן  מוניטין Image חדש לפני הכנסה לרשת הארגון, ובאופן תקופתי, וזאת מול מאגר מידע מוכר ומקובל.
13. הארגון וידא כי אורך החיים של קונטיינר הוא קצר ככל הניתן, וכי גרסה הקונטיינר "מתרעננת" (Refresh) תדיר מגרסה שמקורה ב-Image מהימן.</t>
  </si>
  <si>
    <t>14. הארגון וידא כי הגדיר נקודות ביקורת ב-CI/CD Pipeline כדי לוודא כי ה-Image אינו מכיל חולשות ו/או הגדרות תצורה (System Configurations) שאינם עומדים בדרישות מדיניות ההגנה בסייבר של הארגון.
15. הארגון וידא כי לא ניתן להפעיל או להריץ קונטיינר (Container) שאינו עומד בדרישות הגנת המידע והסייבר של הארגון.
16. הארגון וידא כי פעולות ניהול ב-Image מתבצעות ללא שימוש בכלי הניהול המובנים ב-Image. דוגמה ליישום: שימוש ב-Container runtime APIs הפועלים מול ה-Orchestration.
17. הארגון וידא כי ה-Image הוקשח בהתאם למתודולוגיות עדכניות ומקובלות. יש לשים לזכור. כי חשבונות ניהול (Root לדוגמה) צריכים להיות במצב Disable בשגרה.
18. הארגון וידא כי ה-Images לא עברו שינויים לא מורשים, וזאת באמצעות בדיקה תקופתית של הקורלציה עם ה-Base Image וה-Registry.
19. הארגון וידא את מהימנות ושלמות (Integrity) הקבצים החיים באמצעות רכיב בלתי תלוי. דוגמה ליישום: שימוש ב-FIM (File Integrity Monitoring).
20. הארגון וידא כי נעשה שימוש ב-Host ייעודי להרצת קונטיינרים. דוגמה ליישום: ה-Host יספק פונקציונליות נוספת, דוגמת הרצה של מכונות וירטואליות (Virtual Machines).
21. הארגון וידא כי קונטיינר אינו מסוגל לבצע Mount לספריות/מחיצות רגישות של ה-Host.
22. הארגון וידא כי כל קונטיינר עושה שימוש ב- Secrets הייעודים לו בלבד. קרי, אין שיתוף ב- Secrets בין קונטיינרים שונים.
23. הארגון וידא כי ההתקשרות בין רכיבי התשתית (דוגמת Development tools, Orchestrators, and Container Runtimes) ל-Registry עושה שימוש בהצפנה סטנדרטית, מקובלת ועדכנית.</t>
  </si>
  <si>
    <t>24. הארגון וידא כי הוא משתמש במערך ניהול מרכזי לצוררך ניהול תשתית הקונטיינרים (Containers).
25. הארגון וידא כי הקונטיינר מקבל את ה-Secrets (דוגמת API Management keys, Storage keys, Passwords, SSH keys Cryptographic keys, Access tokens) בזמן הריצה (Runtime) בלבד, וכי ה-Image אינו מאחסן Secrets במצב מנוחה.
26. הארגון וידא כי הוא מבצע ריענון (Refresh) תדיר לקונטיינרים, כך שניתן יהיה לצמצם למינימום את זמן האחיזה של גורם זדוני.
27. הארגון וידא כי קונטיינרים בעלי רמות רגישות/קריטיות שונה לא ירוצו/יפעלו על אותו Host (לדוגמה, Image המכיל אפליקציה של אגף הכספים לא יפעל על גבי Host המריץ/מפעיל Image של האתר השיווקי של הארגון).
28. הארגון וידא כי כל Image נחתם דיגיטלית, וזאת במטרה לשפר את היכולת לגלות ולזהות שינויים לא מורשים.
29. הארגון וידא כי ה-Orchestrator הנבחר מאפשר הפרדה לוגית (Isolation), כך שחדירה ל-Host מסוים לא תאפשר השתלטות על Host אחר, וניתן יהיה להסיר מידית את ה-Host החשוד/הפגוע ללא השפעה תפעולית.
30. הארגון וידא כי הצורך ביד אדם לביצוע פעולות ניהול צומצם למינימום האפשרי.
31. הארגון וידא כי הוא עושה שימוש ב-App-Aware tool להחלת בקרת גישה IP (Ingress/Egress), וזאת בהתאם למדיניות הארגונית.
32. הארגון וידא כי הוא עושה שימוש בשתי שכבות בלתי תלויות לשם אכיפת גידור רשתי (Network Segregation) וקיטוע רשתי (Network Segmentation/Network Isolation), וזאת כדי למנוע גישה לא מורשית לאפליקציות הפועלות בקונטיינרים. דוגמה ליישום: הפעלת FW ברמת הקונטיינר, והפעלת FW ברמה ה-Host.
33. הארגון וידא כי הסיר System Calls שאינם נדרשים לעבודה שוטפת.</t>
  </si>
  <si>
    <t>34. הארגון וידא כי הוא עושה שימוש ביכולות חומרה מקובלות ועדכניות לשם הגנה על תשתית הקונטיינרים (Containers). דוגמה ליישום: שימוש ב--TPM ו-TEE (Trusted Execution Environment).
35. הארגון וידא כי הוא עושה שימוש בשלוש שכבות בלתי תלויות לשם אכיפת גידור רשתי (Network Segregation) וקיטוע רשתי (Network Segmentation/Network Isolation), וזאת כדי למנוע גישה לא מורשית לאפליקציות הפועלות בקונטיינרים. דוגמה ליישום: הפעלת FW ברמות הקונטיינר וה-Host, ובנוסף הפעלת FW קדמי.</t>
  </si>
  <si>
    <t>1. הארגון וידא כי קיים תהליך ארגוני המשולב בתהליך ניהול השינויים (Change Management) להעברת מידע בין הסביבות.
2. הארגון וידא כי לא נעשה שימוש במידע אמת רגיש/חסוי (דוגמת PII/PHI) בסביבות נמוכות, למעט סביבת הייצור. דוגמה למימוש: שימוש בהתממה.
3. הארגון וידא כי ברשותו לפחות שתי סביבות אשר יחסי התלות ביניהן נמוכים ככל הניתן: סביבת ייצור, וסביבת פיתוח ובדיקות.
4. הארגון וידא כי העברת מידע מסביבת ייצור לסביבת נמוכות מתבצע ב"דחיפה" (Push) בלבד.</t>
  </si>
  <si>
    <t>1. הארגון וידא כי התקבלו אישורים לעלייה לייצור מכל הגורמים הרלוונטיים. להרחבה ראו בקרת "ניהול שינויים" (Change Management).
2. הארגון וידא כי יעד ההגנה הוטמע בסביבה הנכונה (ייצור, קדם ייצור, פיתוח או בדיקות).
3. הארגון וידא כי יעד ההגנה הוטמע במתחם הפיזי הנכון. דוגמה ליישום: בעת עבודה עם ספק ענן, ניתן לבחון היכן ה-Workload והמידע יאוחסנו ויעובדו.
4. הארגון וידא כי יעד ההגנה הוטמע במתחם הלוגי הנכון, תוך אכיפת גידור רשתי (Network Segregation) וקיטוע רשתי (Network Segmentation/Network Isolation). דוגמה ליישום: Segment\VLAN שהוגדר.
5. הארגון וידא כי הבקרות הלוגיות, האדמיניסטרטיביות והפיזיות אשר מספקות מענה הולם לפרופיל הסיכון הוטמעו, וכי הן אפקטיביות. יש לשים לב כי שינויים טכנולוגיים ואחרים עלולים לגרום לכך שאמצעי ההגנה של הארגון לא יצליחו לתת מענה ליעד הגנה העושה שימוש בטכנולוגיות חדשות.
6. הארגון וידא כי יעד ההגנה עמד בהצלחה בבדיקות הבאות:
א. היעדר חולשות ידועות (Known Vulnerabilities).
ב. גודל משטח התקיפה (Attack Surface) אינו עולה על הערך שתוכנן.
ג. היעדר קיומן של נוזקות (Malwares).
ד. החלת הקשחת מערכת (System Hardening).
ה. חוקי בקרת גישה (FW) הוחלו בהתאם לעקרונות מקובלים.
ו. בדיקת עומסים (Stress Testing).
ז. תקינות מנגנון היתירות (Redundancy), אם הוחלט להטמיעו.
ח. היעדר חשבונות משתמשים שאינם נדרשים לעבודה שוטפת.
ט. הרשאות הגישה אשר ניתנו לחשבונות אינן חריגות.
י. תקינות שחזור לסביבת דמה / אתר ה-DR.
יא. הפונקציונליות האבטחית קיימת, ופועלת כמצופה.
7. הארגון וידא כי ברשותו גיבוי עדכני הכולל:
א. מערכות ההפעלה.
ב. מסד הנתונים.
ג. הגדרות תצורה (System Hardening).
ד. תיעוד (מומלץ לוודא כי ישנו העתק מודפס של התיעוד, למקרה שתשתיות התקשוב לא יהיו זמינות).
8. הארגון וידא כי קיים תהליך להחלת עדכוני אבטחה (פאצ'ים) באופן תקופתי.
9. הארגון וידא כי יעד ההגנה הוכלל ברישום של יעדי ההגנה של הארגון.
10. הארגון וידא כי הוקצה גורם עסקי אשר ישמש כבעלים (Owner) של יעד ההגנה, וכי גורם זה אחראי לנושא ניהול הסיכונים.
11. הארגון וידא כי לגורמים הרלוונטיים יש את הכישורים לתחזוקה ולניהול של יעד ההגנה.
12. הארגון וידא כי היצרן מספק תמיכה מלאה ליעד ההגנה, לרבות שחרור תקופתי של עדכוני אבטחה (פאצ'ים). 
13. הארגון וידא רישום של מאגר המידע, אם החקיקה והרגולציה דורשות זאת.
14. הארגון וידא כי הוחלו תהליכי הגנת מידע וסייבר רלוונטיים (דוגמת גיבויים, הקשחה, המשכיות עסקית, סקרים ובדיקות חוסן), וזאת בהתאם למדיניות הארגונית.</t>
  </si>
  <si>
    <t xml:space="preserve">15. הארגון וידא כי יעד ההגנה הוסף למערכת ממוכנת לניהול נכסים. דוגמה ליישום: CMDB.
16. הארגון וידא כי יעד ההגנה מנוטר באופן אפקטיבי על ידי מערך הסייבר הארגוני באמצעות שימוש בצוות סגול (Purple Team).
17. הארגון וידא כי מודיעין איומי הסייבר מספק מודיעין רלוונטי (צי"ח) ליעד ההגנה.
18. הארגון וידא כי יעד ההגנה/התהליך העסקי עמד בהצלחה בבדיקות קבלה שהותאמו לו באופן פרטני, לרבות:
א. בדיקת מערכת (System Acceptance Testing).
ב. בדיקת אבטחה (System Security Testing).
</t>
  </si>
  <si>
    <t>19. הארגון וידא כי הוא ביצע בדיקות חוסן וסקרי סיכונים ליעד ההגנה באמצעות גורם בלתי תלוי, וכי החולשות שאותרו טופלו.
20. הארגון וידא כי הוא מנהל ומבקר את השימוש במשאבים של יעד ההגנה ומבצע התאמה (Capacity Management) בהתאם לצורך. דוגמה ליישום: Scale In\Out, Scale Up\Down .
21. הארגון וידא כי ביצע בדיקת עומסים (Stress Testing) ליעד ההגנה.</t>
  </si>
  <si>
    <t>1. יש לפנות לבקרת "מערך הלבנה".
2. יש לתת את הדעת על כך שחלק מהנוזקות עושות שימוש בשרת C&amp;C הנמצא ברשת הארגון ו/או באינטרנט (לרבות דפים ברשתות חברתיות, שירותי שיתוף קבצים ועוד).
3. יש לתת את הדעת על כך שתדירות עדכון החתימות באמצעי האבטחה צריכה להיות כ-6 שעות לכל היותר.
4. יש לתת את הדעת על כך שנוזקה עלולה להתחבא בתוך מוצר תוכנה או עדכון תוכנה.
5. יש לתת את הדעת על כך שנוזקה עלולה לחדור לרשת הארגון מקושחה (Firmware) הקיימת ביעד הגנה.
6. יצרני החומרה ומערכות ההפעלה מציעים שורה של אמצעי אבטחה לשיפור רמה החוסן מפני נוזקות, ולפיכך מומלץ לוודא כי הארגון עושה שימוש ביכולות אבטחה עדכניות.
7. יש לשלב אמצעים מקובלים להגנה שקטה (Silence Defense). דוגמהות ליישום: NBA ו-NTA.
8. חלק מהנוזקות עושות כיום שימוש בטקטיקות מסוג Living off the Land (LotL), כך שהתוקף אינו צריך לבנות כלי תקיפה מאפס.
9. יש לעשות שימוש באמצעי אבטחה שמקורם ביצרנים שונים לצורך אותה תכלית.
10. לשם התמודדות מיטבית עם נוזקות יש לוודא כי לארגון יש בקרה רציפה ומתמשכת 24/7.
11. לאמצעי אבטחה מסורתיים, דוגמת אנטי-וירוס, יש יכולת נמוכה מאוד לגילוי, זיהוי וסיכול פעילות של נוזקה. לאור זאת, יש לשלב אמצעי אבטחה המנתחים היוריסטית התנהגות משתמשים, או מערכת ואמצעים לגילוי וזיהוי אנומליות בשכבות הפעולה השונות.
12. שימוש במוצרי תוכנה ללא רישוי תקף מעלה את הסבירות לחדירת נוזקה לארגון.
13. בעת עבודה עם אמצעי אבטחה על מכונות וירטואליות המוטמע ברמת ה-Hypervisor יש לוודא כי קיימת יכולת לבצע סריקה לאיתור נוזקות ברמת מערכת הקבצים של יעד ההגנה.
14. יש לשמור בהסגר נוזקה (Malware) שאינה מוכרת, לשם תחקור ולמידה.
15. יש לוודא כי אחת ליום מתבצעת סריקה לאיתור נוזקות באמצעות שימוש בחתימות עדכניות.
16. להלן דוגמהות לצמתים מרכזיים שיש להטמיע בהם אמצעי אבטחה מפני נוזקות:
א. ערוץ דוא"ל.
ב. ערוץ גלישה באינטרנט.
ג. ערוץ מרכזיית טלפוניה.
ד. ממשקי העברת קבצים (MFT - Managed File Transfer).
ה. ממשקי API.
ו. ממשק קישור בין רשתות תקשוב בעלות רמת אמון שונה (Trust level).
ז. עמדות קצה ושרתים.
ח. מערכי אחסון וגיבוי.
ט. שרשרת האספקה (דרישות רכש, בדיקות קבלה - לרבות גילוי וזיהוי הטמנות תוכנה/חומרה).
י. ממשקי חיבור להתקנים חיצוניים (דוגמת USB).
17. יש לשים לב לנוזקות העושות שימוש בבינה מלאכותית לשם בניית מתווה התקיפה.
18. יש לשים לב לנוזקות בעלות יכולות פולימריות, אשר אמצעי אבטחה מתקשים לאתרן.
19. חלק מפתרונות ה-Sandbox מתקשים להתמודד עם Filess ויש להיות ערים לעניין זה.
20. ניתן להשתמש ב-Group Policy Object לשם שינוי מאפייני הפתיחה של קבצים מסוגים שונים (בעלי סיומות שונות) ברמה הארגונית.
21. יש לוודא כי IOC/IOA/IOE שנבחנים כוללים התייחסות לפרופיל העבודה של יעד ההגנה. לדוגמה: בעת קבלת דוא"ל יש לבחון את השדות הבאים:
Headers
Attachments
Links
Embedded Elements
Email Body / HTML (e.g. Tracking Pixels)
במקביל יש לוודא כי כתובת ה-IP/שם הדומיין של השולח אינם בעלי רמת מהימנות נמוכה, כי יש זהות בין ה-Headers המעידים על זהות השולח לבין הכתובת למשלוח תגובה וכו'.
22. יש לוודא כי מתבצעת בדיקת אפקטיביות תקופתית של מערך ההתמודדות עם נוזקות.
23. יש לשים לב לנוזקות שעושות שימוש לרעה בערוץ-צד (Side-Channel) ובערוץ סמוי (Covert Channel).
24. יש לוודא כי קיימים נוהלי עבודה עדכניים לטיפול ביעדי הגנה אשר הודבקו (או יש חשד שהודבקו) על ידי נוזקה. לדוגמה: נוהל זיהוי והסרה של נוזקה, ונוהל התקנת מערכת מחדש.
25. יש לוודא כי ביכולת הארגון לבצע תחקור לאחור (Full Forensic).
26. יש לוודא כי הארגון מסוגל לייצר חתימה לנוזקה אשר התגלתה במסגרת תהליך ציד איומים / גילוי וזיהוי אנומליה.
27. יש לוודא מדרג מוניטין לרכיבי תוכנה הקיימים ביעדי ההגנה. המדרג צריך לשמש כלי תומך החלטה לאמצעי אבטחה, דוגמת EDR\XDR.
28. יש לוודא כי ברשות הארגון מיפוי ב"זמן אמת" של התהליכים (Process) ביעדי ההגנה - החל בשלב האתחול הראשוני, ולרבות יחסי הגומלין ביניהם.
29. ניתן לעשות שימוש ב-MISP (Malware Information Sharing Platform) לשם שיתוף מידע אודות נוזקות.</t>
  </si>
  <si>
    <t>1. ודאו כי אמצעי האבטחה שבהם משתמש הארגון עומדים במבחנים מקובלים מטעם גורם צד שלישי. דוגמה ליישום: MITRE ATT&amp;CK Evaluation.
2. ודאו כי יש בארגון נוהלי עבודה לטיפול בתחנות/שרתים/רשתות הנגועים בקוד זדוני, וכי הנהלים עודכנו ואושרו בשנה האחרונה.
3. ודאו כי מערך האבטחה מסוגל לגלות, לזהות ולסכל 100% מהנוזקות והתפלולים (Exploits) הידועים נכון ליום הבדיקה.
4. ודאו כי מערך האבטחה מסוגל לגלות, לזהות ולסכל 95% מהנוזקות והתפלולים (Exploits) הלא ידועים נכון ליום הבדיקה.
5. ודאו כי הארגון בוחן באופן שגרתי את אפקטיביות מערך הגנת המידע והסייבר בהתמודדות ומניעת נוזקות ותפלולים (Exploits). דוגמה: הרצה מדגמית של EICAR לשם בחינת יכולת אמצעי האבטחה לגלות, לזהות ולסכל פעילות נוזקה/תפלול (Exploits).
6. ודאו כי מספר הסוכנים (Agents) המוטמעים בפועל הולם את מספרם האמיתי של יעדי ההגנה.
7. ודאו את רמת האבטחה של אמצעי האבטחה באמצעות בדיקות חוסן.
8. ודאו כי קיימת בארגון מערכת ניהול מרכזית לשליטה ובקרה.
9. ודאו כי נעשה שימוש בגרסה העדכנית ביותר של מזהים/סממנים, וכך גם לגבי גרסת מוצר.
10. ודאו שילוב של מערך הלבנה בכל ערוצי הכנסת המידע לארגון.
11. ודאו כי אמצעי האבטחה הוטמע בהתאם להמלצות היצרן.
12. ודאו כי במקרה של גילוי וזיהוי נוזקה, יש תהליך תגובה המקטין את הנזק הפוטנציאלי למינימום.</t>
  </si>
  <si>
    <t>1. הארגון וידא כי ברשותו מיפוי עדכני של ערוצי הכנסה/הוצאה של מידע.
להלן דוגמה לערוצים מקובלים:
א. יעד הגנה – כונן CD, ממשק USB, ממשק COM, כרטיס רשת (LAN, Wi-Fi, Bluetooth etc.) וכו'.
ב. ארכיטקטורת רשת – ממשקי עבודה עם רשתות ציבוריות, ממשקי עבודה עם רשתות בעלות רמות אמון שונות, צמתי תקשורת מרכזיים, ממשקי עבודה עם תשתית החשמל והארקה.
2. הארגון וידא כי הוגדרו צמתים שיש להטמיע בהם אמצעי אבטחה מפני נוזקות ותפלולים (Exploits).
3. הארגון וידא כי הוא הטמיע בכל ערוץ הוצאה/הכנסה/הרצה של מידע אמצעי אבטחה לגילוי, זיהוי וסיכול נוזקה ותפלולים (Exploits), וזאת בהתאם לדפוסים ידועים (Patterns) והיוריסטיקה. דוגמה ליישום: הטמעת EPP בכל עמדת קצה, ו-IPS ברמה רשתית.
4. הארגון וידא כי הוטמע בכל יעד הגנה רכיב מסנן/אמצעי אבטחה ייעודי שהולם את הפונקציונליות הארגונית של הרכיב (דוגמת שרת דוא"ל).
5. הארגון וידא כי בכל מחזור החיים של המידע מתבצעת בדיקה כי הוא אינו מכיל נוזקה ותפלול (Exploit), וזאת באמצעות ביצוע קורלציה עם מאגר דפוסים ידועים (Patterns) והיוריסטיקה (Heuristic).
6. הארגון וידא כי הוא בודק שיעד ההגנה נקי מנוזקות ותפלולים (Exploits) לפני מתן גישה לרשת בעלת רמת אמון שונה (Trust Level).
7. הארגון וידא כי הוא בודק שיעד ההגנה נקי מנוזקות ותפלולים (Exploits) לפני מתן גישה ליעד הגנה אחר.
8. הארגון וידא כי תהליך הקבלה של יעד הגנה חדש כולל בדיקות לגילוי, זיהוי והסרה של נוזקות (ראו בקרות "הלבנה", "שרשרת אספקה" וכו').
תדירות עדכון חתימות מזהים (IOA/IOC/TTP):
9. הארגון וידא כי הוא מעדכן את מאגר הדפוסים ידועים (Patterns) והיוריסטיקה (Heuristic) בתדירות המומלצת ע"י יצרן אמצעי האבטחה.
10. הארגון וידא כי הוא הטמיע ביעדי ההגנה מנגנונים מקובלים ועדכניים למניעת פעולת נִצְלוּל/תִפְלוּל (Exploit). דוגמה ליישום: Windows® Defender Exploit Guard (WDEG), or Apple® System Integrity Protection (SIP) and Gatekeeper
שימוש ביכולות חומרה לאבטחה: 
11. הארגון וידא כי הוא עושה שימוש ביכולות חומרה לשם צמצום פעילות נוזקות ותפלולים (Exploits) ביעדי ההגנה. דוגמה ליישום: הפעלת מנגנון DEP (Data Execution Prevention).
סריקה תקופתית לאיתור נוזקות: 
12. הארגון וידא כי בכל יעד הגנה הוא מבצע סריקה לאיתור נוזקות ותפלולים (Exploits) בתדירות של אחת ליום לפחות, וזאת באמצעות איתור דפוסים ידועים (Patterns) והיוריסטיקה. יש לוודא כי מערכת הקבצים והזיכרון הנדיף (RAM) נכללים בסריקה. 
הסרת נוזקות: 
13. הארגון וידא כי הוא ביצע הסרה של נוזקות ותפלולים (Exploits) אשר התגלו ב"זמן אמת" (Real Time) או קרוב לזמן אמת (Near Real Time), וכן במסגרת הסריקה התקופתית.</t>
  </si>
  <si>
    <t>14. הארגון וידא כי הוא הטמיע מערך הלבנה ייעודי בכל ממשק המקשר בין סביבות בעלות רמות אמון שונה. דוגמהות לממשקים שכיחים:
א. ערוץ דוא"ל.
ב. ערוץ גלישה באינטרנט.
ג. ערוץ הכנסת קבצים ידנית לארגון.
ד. כספות.
15. הארגון וידא כי הוא משתמש במערכת ניהול מרכזית לשליטה על מערך ההגנה בפני נוזקות ותפלולים (Exploits), וזאת תוך העברת התרעות/דיווחים על חשד לאירועי סייבר או אירועי אמת למערך הניטור הארגוני.
16. הארגון וידא כי קבצים בעלי סיומות אשר נעשה בהן שימוש שכיח במסגרת תקיפה (דוגמת VBS, HTA, SCR) נפתחים כברירת מחדל בכלי שאינו מאפשר הרצה של קוד (דוגמת Notepad).
תדירות עדכון חתימות מזהים (IOA/IOC/TTP): 
17. הארגון וידא כי חתימות המזהים מתעדכנות בתדירות הגבוהה ביותר שאמצעי האבטחה מאפשרים.
סריקה תקופתית לאיתור נוזקות: 
18. הארגון וידא כי בכל יעד הגנה הוא מבצע סריקה לאיתור נוזקות ותפלולים (Exploits) בתדירות של אחת ליום לפחות, וזאת באמצעות איתור דפוסים ידועים (Patterns) והיוריסטיקה (Heuristic) שמקורם בשני מאגרים בלתי-תלויים או יותר. יש לוודא כי מערכת הקבצים והזיכרון הנדיף (RAM) נכללים בסריקה. דוגמה ליישום: שימוש בחתימות שמקורן בשני ספקי מודיעין איומי סייבר/יצרני אמצעי אבטחה בלתי תלויים.</t>
  </si>
  <si>
    <t>19. הארגון וידא כי הוא מפעיל כל יישום/אפליקציה בסביבה מבודדת ביעד ההגנה, כך שפעולתם אינה יכול להשפיע על תקינות הפעילויות האחרות ביעד ההגנה. דוגמה ליישום: שימוש ב-Sandbox או RBI (Remote Browser Isolation).
20. הארגון וידא כי לשם גילוי, זיהוי וסיכול נוזקות ותפלולים (Exploits) הוא עושה שימוש באמצעי אבטחה בלתי תלויים (קרי, אינם חולקים קוד או לוגיקה משותפת), אשר מקורם ביצרנים שונים.
21. הארגון וידא כי הוא צמצם למינימום את אפקט הנזק/הפיצוץ (Blast Radius) במקרה של פעולת נוזקה/תפלול (Exploit). דוגמה ליישום: העברת עמדת קצה נגועה לסביבת הסגר (Quarantine) ייעודית.
שימוש באמצעי אבטחה לבחינת התנהגות בזמן ריצה (Execution): 
22. הארגון וידא כי הוא בוחן את תקינות ההתנהגות בזמן ריצה של קובץ חדש, וזאת לפני הכנסתו לרשת הארגון. דוגמה ליישום: שימוש ב-Sandbox.
23. הארגון וידא כי בכל מחזור החיים של המידע מתבצעת בדיקה כי הוא אינו מכיל נוזקה ותפלול (Exploit), וזאת באמצעות שימוש באמצעי אבטחה שאינו מבוסס על איתור דפוסים ידועים (Patterns) והיוריסטיקה (Heuristic). דוגמה ליישום: שימוש ב-EDR\XDR.
שימוש ביכולות חומרה לאבטחה:
24. הארגון וידא כי הוא עושה שימוש ביכולות חומרה כדי למנוע מתוקף את היכולת לגרום ליישום/אפליקציה לגיטימיים לשנות את רצף ביצוע הפקודות המתוכנת ו"לקפוץ" מנקודה מסוימת בסט פקודות הקוד למקום אחר. חשוב לוודא כי קיימת יכולת מיטבית להתמודדות עם תקיפת ROP (Return Oriented Programming) והתקפות דומות אשר מבוססות JUMP ו-CALL.
סריקה תקופתית לאיתור נוזקות:
25. הארגון וידא כי בכל יעד הגנה הוא מבצע סריקה לאיתור נוזקות בתדירות של אחת ליום לפחות, וזאת באמצעות הרצה דינמית של הקבצים בסביבה מבודלת ובחינת קיומן של חריגות. דוגמה ליישום: שימוש ב-Sandbox.
26. הארגון וידא כי בכל יעד הגנה הוא מבצע סריקה לאיתור נוזקות ותפלולים (Exploits) בתדירות של אחת ליום לפחות,  זאת באמצעות ביצוע קורלציה בין זהות הקבצים לבין Golden Image עדכני של הארגון.
27. הארגון וידא כי הוא מבצע סריקות תקופתיות לגילוי, זיהוי והסרה של נוזקות, וזאת באמצעות כלים עצמאיים (חיצוניים ליעד ההגנה) העושים שימוש ב-IOA/IOC/TTP שהתקבלו מגורמי מודיעין איומי סייבר (CI – Cyber Intelligence).
הסרת נוזקות:
28. הארגון וידא כי במסגרת הסריקה התקופתית הוא הסיר נוזקות שהתגלו ב"זמן אמת" (Real Time).</t>
  </si>
  <si>
    <t>29. הארגון וידא כי גם אם תוקף הצליח לעקוף את אמצעי האבטחה ביעד הגנה באמצעות TTP מסוים, הוא לא יצליח לעקוף באמצעותו אמצעי אבטחה אחר הפעיל ביעד ההגנה.
30. הארגון וידא כי הוא מבצע פעולות ציד איומים (Threat Hunting) באופן רציף. להרחבה ראו פרק "איתור (DETECT)" - בדגש על התמודדות עם הטמנות חומרה ותוכנה תוך שימוש בפרוטוקולים וממשקים לא שגרתיים (דוגמת ערוץ החשמל וההארקה).
שימוש באמצעי אבטחה לבחינת התנהגות בזמן ריצה (Execution):
31. הארגון וידא כי הוא בוחן את תקינות ההתנהגות של קובץ חדש בזמן ריצה (Execution) לפני הכנסתו לרשת הארגון. בתהליך יש להשתמש ב-Golden Images לשם הגדלת הסבירות לגילוי וזיהוי תקיפה ממוקדת.
32. הארגון וידא כי בדיקת תקינות ההתנהגות של קובץ חדש בזמן ריצה (Execution) מתבצעת בסביבה הכוללת יכולת לגילוי וזיהוי של שימוש בשיטות הסתרה/חמקנות (Anti-Sandbox-evading).
שימוש ביכולות חומרה לאבטחה:
33. הארגון וידא כי הוא עושה שימוש ביכולות חומרה לשם הצפנה של מידע רגיש/חסוי המאוחסן בזיכרון הנדיף (RAM). כך, גם אם תוקף הצליח לקבל שליטה מלאה על יעד ההגנה, הוא עדיין לא יוכל לפענח/לקרוא את המידע בזיכרון הנדיף.
סריקה תקופתית לאיתור נוזקות:
34. הארגון וידא כי בכל יעד הגנה הוא מבצע סריקה לאיתור נוזקות בתדירות של אחת ליום לפחות, וזאת באמצעות שימוש בשיטות מקובלות לאיתור דמיון בין מבנה ותוכן קבצים. יש לוודא כי מערכת הקבצים והזיכרון הנדיף (RAM) נכללים בסריקה. דוגמה ליישום: - Static Binary and Bytecode Analysis (Code Genealogy/Software Lineage) ו-Fuzzy Hashing.
35. הארגון וידא כי הוא מבצע סריקות תקופתיות לגילוי, זיהוי והסרה של נוזקות ותפלולים (Exploits) תוך בחינת תקינות ההתנהגות של הקבצים בזמן ריצה (Execution).</t>
  </si>
  <si>
    <t>1. כדי לוודא שהפתרון הקיים עונה לדרישות הארגון באופן אפקטיבי ויעיל יש להתייעץ עם מומחי תוכן רלוונטיים בכל שלב במחזור החיים.
2. יש לוודא כי לארגון יש Threat Modeling עדכני לכל אלגוריתם.
3. יש לוודא בקרב ספקי יעדי הגנה הרלוונטיים את העיגון המשפטי של דרישות בקרה זו.
4. יש להתייחס לאיומים שכיחים בשלבים השונים במחזור החיים, דוגמת:
א. תקיפות מחוץ לעולם הבינה המלאכותית.
ב. תקיפות בשלב האימון (Training):
• הטיות ב-Dataset
• יחס לא נכון של דוגמהות מסוגים שונים
• החמרה של דוגמהות
• התייחסות לעולם אידיאלי ולא מעשי
• התייחסות ל"פיצ'רים" שאינם נכונים / אינם שלמים
• התאמת יתר (Overfitting) 
• תת-התאמה (Underfitting)
• הרעלת Dataset
ג. תקיפות בזמן הריצה (Runtime):
• פגיעה בשירות
• תקיפת עומס
• תקיפות השבתה
• גזילת משאבים
• הטיית החלטה
• תקיפה מידע מקורב (Adversarial)
• הטיית קטגוריה כללית
• הטיה לקטגוריה ספציפית
• סחיפה של המודל
• הבנת נתון שגויה
• דגימה השונה מתפיסת אדם
ד. היבטי פרטיות וקניין רוחני (Intellectual Property):
• חשיפת ה-Dataset הגולמי
• תקיפה קלאסית לגניבת מאגר המידע
• תקיפת Generative Adversarial Network (GAN) ודומיה
• חשיפת האלגוריתם
5. להלן דוגמהות לשיטות הגנה על אלגוריתמים מסוג למידת מכונה (Machine Learning):
Data Poisoning Attacks at Training Time - An example of risk reduCIon measures:
• Cybersecurity Best Practices (e.g. Organizational Coping in Cyber Space: The Insider Threat - Defense Recommendations, Open Source Risk Management)
• Multiple Data Sources &amp; Limit each Data Source Contribution
• Data Sources Quality Ranking (e.g. Crowdsourcing, Statistics, CI – Cyber Intelligence)
• Data Preparation
• Compare the “run” quality of newly trained to previous model\s
Adversarial Inputs: Attacks at Runtime - An example of risk reduCIon measures:
• Cybersecurity Best Practices (e.g. Open Source Risk Management ,Request Thresholds)
• Consider to use Explainable Artificial Intelligence (XAI) - XAI can be used to validate results and to improve our understanding of the ML model behavior (i.e. Black Vs White Box ML)
•  Use multiple ML models (ensemble learning) or at least multiple layers or techniques
• Train the ML models with a related adversarial samples
• Human based Monitoring (e.g. Precision and Recall rates)
ML ‘Against’ ML: Generative Adversarial Network (GAN) - An example of risk reduction measures:
• Build and Use a model to detect inconsistencies in motion that lead to strange facial movements
• Look for a lack of blinking (many deepfakes don’t often blink, apparently)
• Reputation (e.g. Blockchain, Ranking Algorithms, Crowdsourcing)</t>
  </si>
  <si>
    <t>3. הארגון וידא כי הוא יישם מנגנונים מקובלים שישקפו ללקוחות (פנימיים/חיצוניים) את אחריותו להשלכות של השימוש באלגוריתם, וכן את רמת מחויבותו לוודא כי לא ניתן יהיה לנצל לרעה את האלגוריתם ושאין הוא מכיל כשלים מובנים (דוגמת Bias). דוגמה ליישום: פרסום קוד אתי ויישום תהליך ארגוני תומך.</t>
  </si>
  <si>
    <t>5. הארגון וידא כי כחלק מבדיקות הקבלה של כל אלגוריתם בינה מלאכותית/יעד הגנה העושה שימוש באלגוריתם התבצעו בדיקות בלתי תלויות שמטרתן לוודא כי אלגוריתם חדש (נוסף) שנבנה לאותה תכלית לא מצליח לספק עמידה טובה יותר במדדים (דוגמת Model Accuracy, Precision, Recall). דוגמה ליישום: שימוש ב-Data Set חדש על ידי צוות פיתוח שאינו קשור לצוות אשר פיתח את האלגוריתם המקורי.</t>
  </si>
  <si>
    <t>1. ודאו כי ברשות הארגון מיפוי עדכני של דרישות החוק, הרגולציה, הדרישות החוזיות והצרכים העסקיים בנושא PNT.
2. ודאו קיומה של המשכיות עסקית באמצעות השבתה יזומה של מערכת ניווט, מיקום וקביעת זמן אחת, כך שמערכת הגיבוי תתפוס שליטה.
3. ודאו את חוסן התשתית באמצעות בדיקות חוסן מקובלות (דוגמת RF).
4. ודאו כי מערך הניטור של הארגון מסוגל לגלות ולזהות חריגות PNT. דוגמהות לחריגה: GPS Spoofing; חריגה בערך שעון זמן או המצאת נקודת ציון כוזבת על ידי מערכת פלונית.
5. ודאו כי בשנה האחרונה הצליח הארגון לבצע החלפה דינמית של מקור שעון זמן מהימן ללא פגיעה בפעילות העסקית.
6. ודאו כי בשנה האחרונה בוצע סקר סיכונים הכולל תרחישים ייעודים לנושא PNT.
7. ודאו כי יחס הסחיפה (Drift) בערך השעון של יעדי ההגנה עומד בדרישות הארגון.
8. ודאו באופן מדגמי כי רמת הדיוק של מערכות הניווט והמיקום עומדת בדרישות הארגון, וכי היא מיטבית ביחס לשאר הטכנולוגיות הזמינות.</t>
  </si>
  <si>
    <t>אבטחת שעון זמן פנים ארגוני:
10. הארגון וידא כי ברשותו ארכיטקטורת סנכרון זמן המבוססת על השכבות הבאות:
א. שעון זמן מקומי מוסמך, המשרת את יעדי ההגנה בארגון (דוגמת PDC Emulator).
ב. שעון זמן מקומי מוסמך, המשרת את יעדי ההגנה בארגון ומסונכרן עם שעון זמן מוסמך הפועל ברשת מבודלת (דוגמת DMZ).
ג. שעון זמן מוסמך הפועל ברשת מבודלת (דוגמת DMZ) ומסתנכרן עם שעון זמן עולמי מוסמך.
11. הארגון וידא כי הוא מסוגל לגלות ולזהות אנומליה בערך השעון. דוגמה ליישום: ביצוע קורלציה ב-SIEM לערך שעון המתקבל משני מקורות זמן בלתי תלויים.
12. הארגון וידא כי הוא הגביר את כוננות מערך ההגנה בתאריכים שבהם מחליפים שעון קיץ/חורף ובחלונות תחזוקה.
הגנה על יעדי הגנה הכוללים/המסתמכים על יכולות ניווט/מיקום:
13. הארגון וידא כי הוא משווה באופן רציף את הנתונים המתקבלים משני אמצעי ניווט/מיקום בלתי תלויים העושים שימוש בטכנולוגיה שונה, כך שהוא מסוגל לגלות ולזהות שיבוש בפעילות אמצעי אחד מבלי שתיפגע רמת השירות.
אבטחת ממשק GNSS:
14. הארגון מבצע סקרים תקופתיים לבחינת איכות הקליטה של אותות השידור ושל רעשי הרקע.
15. הארגון וידא כי כלל באימונים התקופתיים בחינה תרחישי תקיפה, דוגמת שיבוש קבלת שדרי GNSS או הזרקת שדרי GNSS כוזבים. 
16. הארגון וידא כי שדרי ה-GNSS שהתקבלו מהעולם עונים לדרישות המבנה והתוכן המפורטות בסטנדרט מקובל (Allowlist). 
17. הארגון וידא כי שדרי ה-GNSS אשר התקבלו מהעולם לא הגיעו בעוצמה חריגה ו/או התקבלו ממקור שאינו לווין מוסמך (דוגמת שדר GNSS המגיע ממקור הנמצא בזווית הנמוכה מ-60 מעלות). 
18. הארגון וידא כי הוא עשה שימוש באנטנה אדפטיבית/Null Steering לשם התמודדות נאותה עם תקיפות בספקטרום האלקטרומגנטי. 
19. הארגון וידא כי הוא עושה שימוש בתדרים שונים (L1, L2 etc.) לשם גילוי וזיהוי אנומליה.
20. הארגון וידא כי הוא עושה שימוש בלוויינים הנמצאים בגבהים שונים (GEO, LEO etc.) לשם גילוי וזיהוי אנומליה.</t>
  </si>
  <si>
    <t xml:space="preserve">אבטחת שעון הזמן הפנים ארגוני:
21. הארגון וידא כי ברשותו ארכיטקטורת סנכרון זמן המבוססת על השכבות הבאות:
א. שעון זמן מקומי מוסמך, המשרת את יעדי ההגנה בארגון (דוגמת PDC Emulator).
ב. שעון זמן מקומי מוסמך, המשרת את יעדי ההגנה בארגון ומסונכרן עם שני שעוני זמן מוסמכים הפועלים ברשת מבודלת (דוגמת DMZ).
ג.  שני שעוני זמן מוסמכים הפועלים ברשת מבודלת (דוגמת DMZ) ובודקים זה את תקינותו של זה.
ד. כל שעון זמן מוסמך הפועל ברשת מבודלת (דוגמת DMZ) מסתנכרן עם שעון זמן עולמי מוסמך ייעודי.
22. הארגון וידא כי הוא מסוגל לבצע החלפה של שעון זמן מקומי/חיצוני מוסמך ושל הטכנולוגיה הקיימת, וזאת בלי לפגוע בפעילות העסקית. 
הגנה על יעדי הגנה הכוללים/המסתמכים על יכולות ניווט/מיקום:
23. הארגון וידא באופן רציף כי הוא משווה את הנתונים המתקבלים משלושה אמצעי ניווט/מיקום בלתי תלויים והעושים שימוש בטכנולוגיה שונה, כך שהוא מסוגל לגלות ולזהות שיבוש בפעילות אמצעי אחד בלי שתיפגע רמת השירות.
אבטחת ממשק GNSS:
24. הארגון וידא כי הוא ביזר את אנטנות הקליטה למקומות גיאוגרפיים נפרדים, במטרה להקטין את ההשפעה של תקיפה או אירוע אחר על איכות הקליטה.
25. הארגון וידא את מהימנות שדרי ה-GNSS על ידי בדיקת התקינות של החתימה הדיגיטלית (Digital Signature) ומקורה באמצעות מקור מהימן (Trustworthy).
26. הארגון וידא כי בעת שימוש ב-GNSS הוא מבצע פעילות סימולטנית מול שבעה לוויינים לפחות. 
27. הארגון וידא כי הוא עושה שימוש בקונסולידציות לוויינים שונות (לדוגמה: GPS, Galileo). 
28. הארגון וידא כי הוא מספק מענה אפקטיבי לתרחישי תקיפה המבוססים על לוחמה אלקטרונית (EW - Electronic Warfare) ו-CRF (Cyber RF).
29. הארגון וידא כי ברשותו יכולת גילוי וזיהוי של מקור שידור עוין, ותהליך סדור להתמודדות עמו (דוגמת הסרתו), תוך שיתוף הגורמים הרלוונטיים הנדרשים בהתאם לכל דין. </t>
  </si>
  <si>
    <t>1. יש לפנות לבקרת "ארכיטקטורת 'אפס אמון' (Zero-Trust Architecture)".
2. יש לפנות לבקרת "בדיקת היגיינה טכנולוגיות של יעד ההגנה".
3. יש לפנות לבקרת "יישום ואימות הגדרות תצורה".
4. מומלץ להשתמש במוצרים העושים שימוש בתקנים פתוחים, דוגמת SCAP/PAVA.
5. מתודולוגיות ההקשחה השכיחות מציעות מספר רמות הגנה, וראוי לבחון אימוץ של רמת ההגנה המחמירה כברירת מחדל.
6. יש לוודא כי בעת פעילות בשגרה האפליקציות/היישומים אינם מחייבים הרשאת Local Administrator/Root.
7. יש לוודא כי המשתמשים אינם עושים שימוש בהרשאות גבוהות, דוגמת Local Administrator/Root ו-Debug Privilege, וזאת באמצעות החלת הגדרות תצורה מתאימות.
8. לאור קיומם של עדכונים שוטפים להמלצות ההקשחה, יש לוודא כי ברשות הארגון אמצעי ממוכן להחלת ההקשחה ובדיקת תקינותה לאחר מכן. חלק מהפתרונות אף מאפשרים לוודא כי הפונקציונליות של יעד ההגנה אינה נפגעת ו/או מעניקים המלצות לשם וידוא כי הפונקציונליות של יעד ההגנה לא תיפגע כתוצאה מהחלת ההקשחה.
9. אין לעשות שימוש בתשתית אלחוט לחיבור התקנים חיצוניים, דוגמת מקלדת, עכבר או טלפון נייד.
10. להלן דוגמהות ליעדי הגנה שאותם יש להקשיח:
עמדות קצה, שרתים, מתגי תקשורת, נתבים, מערך האחסון, התקני IOT, טלפוניה וציוד היקפי (מדפסות, סורקים וכו').
11. יש להטמיע מנגנונים לניהול מרוכז, יישום ואימות הגדרות ההקשחה של יעדי ההגנה השונים.
12. יש להגדיר, לתעד וליישם מדיניות הקשחה ליעדי ההגנה, אשר מספקת מענה לדרישות הגנת המידע והסייבר של הארגון.
13. יש להגדיר בתחנות העבודה מדיניות (Policy) הקובעת כי רק כרטיס רשת אחד יהיה פעיל בכל עת. ברמת השרתים, יש לוודא כי החיבור ייעשה רק באמצעות מתגי תקשורת נתונים של הארגון, וזאת כאשר התעבורה היוצאת והנכנסת עוברת דרך חומת אש ו-IPS. 
14. יש לוודא כי שרתים העושים שימוש במספר כרטיסי רשת מממשים הפרדה לוגית ופיזית בהתאם לפונקציונליות שלהם. לדוגמה: כרטיס רשת שמחבר את השרת למערך האחסון לא יאפשר גישה לתעבורת משתמשים. 
15.  השימוש ב-UEFI מאפשר טעינת מודולי קושחה שונים לפני מערכת ההפעלה, ולפיכך יש לוודא כי לא מתבצעת טעינה של קושחה זדונית.
16. ודאו כי הופעלו מנגנוני הקשחה מובנים במערכת הפעלה וברכיבי התוכנה, וזאת בהתאם להמלצות היצרן.</t>
  </si>
  <si>
    <t>1. ודאו כי ברשות הארגון נוהל עבודה ומתודולוגיה עדכניים (מהשנה האחרונה לכל היותר) לצורך ביצוע הקשחה. דוגמה ליישום: שימוש ב-DISA STIG.
2. ודאו כי קיים תהליך ממוכן להטמעה ודיווח.
3. ודאו את אפקטיביות הבקרות המפצות.
4. ודאו כי לפחות 95% מיעדי ההגנה מעודכנים בהתאם למדיניות הארגון, וזאת באמצעות שימוש בדו"חות/מצאי מלאי שמקורם באמצעי ממוכן.
5. ודאו באופן מדגמי את תקינות ההקשחה בפועל.
6. ודאו כי תהליך ניהול ההחרגות מתבצע בשיתוף הנהלת הארגון, תוך קיומו של אישור בכתב ממנה לקבלת הסיכונים הנגזרים.
7. ודאו כי מערך הניטור מציג את מדרג הסיכון של יעד ההגנה ביחס לרמת ההקשחה.
8. ודאו כי תהליך ניהול השינויים ותהליך הפיתוח המאובטח בארגון כוללים יישום של עקרונות מקובלים ל"הנדסת מערכת" (System Engineering).
9. ודאו את עדכניות ורלוונטיות מתודולוגיות ההקשחה ביחס למתאר הסיכון.
10. ודאו כי ההקשחה מצליחה לסכל תקיפות בהתאם למתודולוגית MITRE ATT&amp;CK. 
11. ודאו כי מערך ההגנה מזהה בזמן אמת או קרוב לזמן אמת חריגה מפרופיל הקשחה שמוגדר ביעדי ההגנה, ומתבצע תהליך תיקון אוטומטי או ידני בהתאם לצורך.
12. ודאו כי יש שימוש במנגנוני אבטחה מקובלים להקשחה, דוגמת Attack Surface Reduction (ASR) וכןAdaptive  Hardening.
13. ודאו באופן מדגמי ישום עקרון מתן הרשאות נמוכות (Least Privilege) ביעדי ההגנה השונים בארגון.</t>
  </si>
  <si>
    <t>1. הארגון וידא כי הגדיר סיסמת גישה ל-BIOS\UEFI.
2. הארגון וידא כי לכל יעד הגנה הוגדר פרופיל הקשחה ייעודי, המצמצם את משטח התקיפה (Attack Surface) למינימום.
3. הארגון וידא כי הסיר מיעדי ההגנה כל פונקציונליות (Functionality) שאינה חיונית.
4. הארגון וידא כי הסכם השירות שיש לו עם יצרן יעד ההגנה כולל תמיכה בביצוע הקשחה.
5. הארגון וידא כי פעילות אמצעי אבטחה אינה נחשפת למשתמש בשגרה. דוגמהות ליישום: מניעת הופעת ה-Process ב-Task Manger; מניעת הופעת קיצורי הדרך בתפריט ה-Startup; מניעת האפשרות להצגת ה-Agent בתפריט ה"הוספה והסרה" של תוכניות במערכת ההפעלה.
6. הארגון וידא כי יעדי ההגנה אינם מסוגלים ליצור תקשורת מקומית במקביל לתקשורת דרך חיבור חיצוני.
7. הארגון וידא כי כרטיס הרשת אינו ב-promiscuous mode.
8. הארגון וידא כי יעד ההגנה אינו עושה שימוש בפרוטוקול/אלגוריתם בעל חולשה/פגיעות ידועה. דוגמה לפרוטוקולים מסוג זה: Telnet, WPAD, SMB, SSH v1, FT. דוגמה לאלגוריתמים חלשים: MD5, SHA1.
9. הארגון וידא כי מימש ביעד ההגנה עקרונות מקובלים להגנה לעומק (DiD - Defense-in Depth). דוגמה ליישום: כשל בבקרה פלונית יזכה למענה בבקרה מפצה, אשר תמנע מתוקף להשתמש באותו תרחיש תקיפה.
10. הארגון וידא כי במקרה של תקלה/כשל ביעד ההגנה, הוא אינו חושף מידע ערכי אשר יוכל לסייע לתוקף (Fail-Secure).
11. הארגון וידא כי הוא מימש ביעדי ההגנה את עקרון מתן הרשאות נמוכות (Least Privilege).</t>
  </si>
  <si>
    <t>12. הארגון וידא כי ברשותו מערכת שליטה ובקרה מרכזית להחלת הקשחה ביעדי ההגנה.
13. הארגון וידא כי תהליך ההקשחה משולב בתהליך ניהול הגדרות התצורה (התפעולי) של הארגון.
14. הארגון וידא כי הסיר תמיכה במנגנוני תאימות לאחור (Background Compatibility). דוגמה ליישום: ביטול האפשרות להרצת אפליקציות 16 ביט או 32 ביט.
15. הארגון וידא כי במקרה הצורך הוא יכול לבטל או להגביל שליחה של מידע ליצרן יעד ההגנה באמצעות שירותי הטלמטריה (Telemetry).
16. הארגון וידא כי הוא ביטל את השימוש בממשקי CLI שאינם נדרשים לעבודה שוטפת.
17. הארגון וידא כי יעדי ההגנה עושים שימוש במנגנונים טכנולוגיים מקובלים ועדכניים לשם וידוא מהימנות ומקוריות (Authenticity) מערכת ההפעלה ורכיבי המשנה (דוגמת דרייברים) שהיא טוענת (Secure Boot).
18. הארגון וידא באופן רציף כי יעדי ההגנה עושים שימוש במנגנונים טכנולוגיים מקובלים ועדכניים לשם וידוא מהימנות ומקוריות (Authenticity) רכיבי הקושחה (Verified\Trusted Boot). דוגמה ליישום: יישום עקרונות מקובלים של RoT (Root of Trust).
19. הארגון וידא כי הוא מנע אפשרות להפעלת Health Diagnosis ביעדי ההגנה.</t>
  </si>
  <si>
    <t>20. הארגון וידא כי אימץ ויישם מתודולוגיה עדכנית ומקובלות להקשחה של יעדי ההגנה. דוגמה למתודולוגיות שכיחות להקשחה: CIS/DISA.
21. הארגון וידא כי לא ניתן לנצל לרעה ממשק אפשרויות נגישות (Accessibility Options). דוגמה ליישום: וידוא כי לא ניתן לעשות שימוש ב-Sticky Keys לשם מעקף מנגנוני האבטחה המובנים במערכת ההפעלה.
22. הארגון וידא כי הוא עושה שימוש בפאצ'ים וירטואליים (Virtual Patches) כבקרה מפצה עד להחלת הקשחה חדשה לסגירת חולשה.
23. הארגון וידא בעזרת אמצעי אבטחה שאינו מהווה חלק ממערכת השליטה והבקרה המרכזית להקשחה, כי ההקשחה הוטמעה בהתאם לנדרש.
24. הארגון וידא כי במקרה של תקלה טכנית או סיבה אחרת, הוא מסוגל להשיב את מצב ההקשחה המאושר ב"זמן אמת" (Real Time) או לכל הפחות "קרוב לזמן אמת" (Near Real Time). דוגמה ליישום: שימוש ב-DSC (Desired State Configuration) בתצורת ניטור, והחזרת הגדרות ההקשחה על ידי צוות הסיסטם.
25. הארגון וידא כי לא ניתן לעקוף את אמצעי האבטחה באמצעות שימוש במצב בטוח (Safe Mode).
26. הארגון וידא כי הוא יישם ביעדי ההגנה מנגנוני תוכנה מקובלים למניעת חבלה (Tamper-Resistant) וחשיפת חבלה (Tamper-Evident).
27. הארגון וידא כי ביטל פונקציונליות שעלולה לאפשר לתוקף לעקוף את מנגנוני האבטחה. דוגמה ליישום: ביטול השימוש בפונקציונליות Hibernate ו-Stand by, המקילה על תוקף לעקוף מנגנוני הצפנה לדיסקים.
28. הארגון וידא כי לא ניתן לשנמך את גרסת הפרוטוקול שבה הוא עושה שימוש לגרסה ישנה יותר (Downgrade Attack).</t>
  </si>
  <si>
    <t>29. הארגון וידא כי במקרה של תקלה טכנית או סיבה אחרת, הוא מסוגל להשיב את מצב ההקשחה המאושר בתוך פרק זמן מוגדר. דוגמה ליישום: שימוש ב-DSC (Desired State Configuration) בתצורת אכיפה, והחזרת הגדרות ההקשחה האוטומטית.
30. הארגון וידא כי הוא יישם ביעדי ההגנה מנגנוני חומרה מקובלים למניעת חבלה (Tamper-Resistant) וחשיפת חבלה (Tamper-Evident).
31. הארגון וידא כי הוא עושה שימוש במנגנוני אבטחה חומרתיים עדכניים לשם הקשחת יעדי ההגנה. דוגמה ליישום: שימוש ב-TPM ו-TEE (Trusted Execution Environment) או Confidential Computing.</t>
  </si>
  <si>
    <t xml:space="preserve">1. שימוש בפאצ'ים וירטואליים (Virtual Patch) נועד לספק מענה זמני עד שהיצרן יפרסם עדכון אבטחה, ואינו בא להחליף את הטמעת העדכון בפועל.
2. יש לוודא כי הארגון עושה שימוש בגרסה וב-Build העדכניים ביותר של מערכת ההפעלה והתוכנות השונות.
3. להלן דוגמהות ליעדי הגנה שעליהם יש להתקין עדכוני אבטחה (פאצ'ים) באופן שוטף:
עמדות קצה, שרתים, מתגי תקשורת, נתבים, מערך האחסון, התקני IOT, טלפוניה וציוד היקפי (מדפסות, סורקים וכו').
4. יש לוודא כי היקף הפריסה/ההטמעה של העדכונים מותאם למצאי האמיתי הקיים בארגון.
5. יש לוודא כי ההטמעה כוללת החלת הגדרות אבטחה ידניות בהתאם לצורך. לאור זאת, יש לעיין ב-Release Notes לפני ההטמעה.
6. יש לוודא כי ברשות הארגון נוהל עבודה עדכני לגבי עדכוני אבטחה (פאצ'ים), הכולל תהליך אישור החרגות והטמעת בקרות מפצות הולמות, ותהליך הטמעת עדכוני אבטחה קריטיים בהליך מקוצר.
7. יש לוודא כי יעדי הגנה חדשים/ישנים תומכים בעיקרון של עיצוב לעדכון (Design to Update).
8. יש לוודא החלת עדכוני אבטחה באופן קובע למכונות וירטואליות (Virtual Machines) בתרחישי שימוש שונים, לרבות כאשר המכונה וירטואלית במצב Orphaned, Offline, Suspend.
9. יש לוודא כי במקרה של החזרת מכונה וירטואלית (Virtual Machine) לגרסה קודמת (Snapshot Rollback) מוחלים עדכוני האבטחה האחרונים, וזאת בטרם מעבר של המכונה וירטואלית לסביבת הייצור.
10. יש לוודא כי יעד הגנה חדש אינו משולב בסביבת היצור וזאת עד להשלמת התקנת עדכוני האבטחה בהצלחה.
11. יש לוודא כי יעדי הגנה בעלי משטח תקיפה גבוה / מדרג סיכון גבוה זוכים לעדיפות בהתקנת עדכוני האבטחה. </t>
  </si>
  <si>
    <t>8. הארגון וידא כי ועדת ההיגוי לנושא הגנת המידע והסייבר היא היחידה שמוסמכת  להתיר החרגות של עדכוני אבטחה (פאצ'ים) ביעדי ההגנה. כמו כן, על הוועדה לבחון מדי רבעון את הצורך בהחרגה.
9. הארגון וידא כי כחלק מתהליך ההטמעה השוטף הוא מטמיע עדכוני אבטחה (פאצ'ים) של דרייברים וקושחה (Firmware).
10. הארגון השתמש באמצעי אבטחה שאינו מהווה חלק ממערכת השליטה והבקרה המרכזית להטמעת עדכוני אבטחה כדי לוודא שהעדכונים הוטמעו בהתאם לנדרש.
11. הארגון וידא כי הוא משלים את הטמעת עדכוני האבטחה בממשקים/ערוצים חיצוניים תוך 72 שעות מפרסומם. דוגמה לממשק/ערוץ חיצוני: תשתית ה-VPN מול האינטרנט.</t>
  </si>
  <si>
    <t>12. הארגון וידא כי הוא משלים את  הטמעת עדכוני האבטחה (פאצ'ים) בהתאם לסד הזמנים המומלץ על ידי היצרן, וזאת ללא קיומן של החרגות.
13. הארגון וידא כי הוא משלים את הטמעת עדכוני האבטחה ביעדי רגישים/קריטיים תוך 72 שעות מפרסומם. דוגמה ליעד הגנה רגיש/קריטי: מערכת מחשוב המוגדרת קריטית בהתאם ל-BIA, או יעד הגנה המשרת מספר יעדי הגנה אחרים בארגון (תשתית AD\IAM וכד').</t>
  </si>
  <si>
    <t>1. הארגון וידא כי רק גורמים מורשים מוסמכים להתקין רכיבי תוכנה על יעדי ההגנה.
2. הארגון וידא כי הוא מאפשר התקנה של רכיבי תוכנה מקוריים (Authentic) וחוקיים בלבד על יעדי ההגנה.
3. הארגון וידא כי משתמשים שאינם מורשים לכך אינם יכולים לבצע התקנה של רכיבי תוכנה חדשים ביעדי ההגנה.
4. הארגון וידא כי כאשר מסתיים הצורך העסקי ברכיב תוכנה, הוא מוסר לאלתר מיעד ההגנה.
5. הארגון וידא כי השימוש ברכיבי התוכנה אינו מחייב הקניית הרשאות גבוהות למשתמש.
6. הארגון וידא כי ברשותו רשימת מצאי עדכנית של רכיבי התוכנה אשר בהם הוא משתמש, לרבות תוכנות, אפליקציות, מערכות הפעלה, קושחה, תשתית, סוג רישיון וכו'. דוגמה ליישום: שימוש ב-CMDB.
7. הארגון וידא כי משתמשים אינם יכולים לעשות שימוש בכלים/אמצעים לעקיפת רמת ההגנה המאושרת.
8. הארגון וידא כי הוא מסיר באופן תקופתי קבצים זמניים (Temp Files) של התקנות ופעילות שוטפת ביעדי ההגנה.</t>
  </si>
  <si>
    <t>9. הארגון וידא כי ברשותו תהליך מנוהל לאישור הכנסת רכיבי תוכנה חדשים ליעדי ההגנה. דוגמה ליישום: צוות הסיסטם מבצע התקנה של רכיב תוכנה חדש רק לאחר קבלת אישור ממנהל ישיר.
0. הארגון וידא כי הוא מונע אפשרות להתקנה והפעלה של רכיבי תוכנה בעלי רמת מהימנות/מוניטין נמוכה (Denylist).
11. הארגון וידא כי הוא אינו עושה שימוש במוצרי EOS\EOL. במקרה חריג יש להגדיר נוהל עבודה הכולל יישום בקרות מפצות.
12. הארגון וידא כי הוא מסיר באופן תקופתי רכיבי תוכנה שאינם חיוניים לעבודה שוטפת.</t>
  </si>
  <si>
    <t>1. יש לפנות לבקרת "אבטחת בינה מלאכותית".
2. יש לפנות לבקרת "פיתוח מאובטח".
3. יש לפנות לבקרת "אבטחת API".
4. יש להעביר ללקוחות הנחיות לגבי עבודה עם ארנק בלוקצ'יין, הכוללות דגשי אבטחה רלוונטיים.
5. יש לשקול רכישה של ביטוח סייבר או ביטוח מתאים אחר, תוך התייעצות עם יועץ ביטוח מוסמך.
6. בניגוד לדעה הרווחת, שימוש בבלוקצ'יין אינו מבטיח בפני עצמו רמת אבטחה גבוהה.
7. יש מספר טכנולוגיות בלוקצ'יין שלהן מאפיינים שונים, המשפיעים על מימוש דרישות האבטחה.
8. ככל הניתן, מומלץ להעדיף טכנולוגיות המספקות הגנה מובנית טובה יותר באופן בסיסי, כגון רשת שהיא permissioned (בניגוד לזו שאינה permissioned) או טכנולוגיה המאפשרת פרטיות (באמצעות הצפנה, למשל) כחלק אינטגרלי מהתשתית.
9. יש לתת את הדעת על כך ששינוי Blockchain type (private/public, permissioned/permissionless and node vetting process) אינו דבר טריוויאלי.
10. הבחירה בסוג אלגוריתם הקונצנזוס (Consensus Algorithm) היא שלב מהותי בתהליך, ותיקון של בחירה מוטעית בדיעבד אינו פשוט.
11. יש לוודא כי ברשות הארגון תהליך סדור להתמודדות עם חולשות/פגיעויות באלגוריתם הקונצנזוס. לדוגמה, ייתכן שבמקרה הצורך הארגון יידרש לפצל את השרשרת (Fork) תוך החלה של אלגוריתם קונצנזוס חדש.
12. יש לוודא כי האלגוריתמים הקריפטוגרפים ניתנים להחלפה בקלות (Crypto-Agility).
13. יש לבחון את ההשלכות של זמינות מחשוב קוואנטי על רמת ההגנה של תשתית הבלוקצ'יין.
14. יש לתת את הדעת על כך שמנעד התקיפות נגד תשתית בלוקצ'יין הוא מגוון, וכולל תקיפות רשת מסורתיות לצד תקיפות ייעודיות על מערכת הבלוקצ'יין והאלגוריתמים השונים.
15. יש לוודא כי קיים תהליך בקרה על פעילות ברוקרים (Brokers) בתשתית הבלוקצ'יין.
16. יש לשלב במערך האבטחה רכיב גילוי, זיהוי וסיכול (IPS) תקיפות ייעודיות נגד האלגוריתמים שבהם מערכת הבלוקצ'יין עושה שימוש. ראוי לציין כי אין מדובר בפתרון IT סטנדרטי נגד תקיפות רשת.</t>
  </si>
  <si>
    <t xml:space="preserve">1. יש לפנות לבקרת "פיתוח מאובטח".
2. יש לפנות לבקרת "ארכיטקטורת 'אפס אמון' (Zero-Trust Architecture)".
3. יש לפנות לבקרות "מניעת דלף מידע" ו"השחרה", כדי לוודא שקובצי ההגדרות אינם כוללים מידע רגיש/חסוי (דוגמת סיסמאות).
4. יש לפנות לבקרת "ניהול שינויים".
5. קובצי הגדרות תצורה לא אמורים לכלול פרטי אימות באופן גלוי (Clear Text).
6. יש לשים לב לכך שהגדרות תצורה עשויות לכלול גם הגדרות ברמת הקושחה (דוגמת BIOS/UEFI), ולא רק ברמת מערכת ההפעלה או האפליקציה שנגישה למשתמש בשגרה.
7. יש לוודא כי הגדרות התצורה נשמרות במערכות ניהול מרכזית, כך שבעת הצורך ניתן לבצע תחקור או חזרה לגרסה קודמת. דוגמה ליישום: שימוש ב-SCM (Secure Configuration Management)\CMDB.
8. יש להטמיע כלי "נעילת תצורה" ביעדי הגנה הנמצאים ב"סוף מחזור החיים" (End Of Life), ובהם מערכות הפעלה מיושנות. מטרת דרישה זו היא להבטיח קיומה של "גרסה נקייה" גם כשעדכוני אבטחה אינם זמינים. עם זאת, מדובר בפתרון זמני בלבד, והדרך הראויה היא להחליף את הפתרון הקיים בפתרון נתמך.
9. יש לוודא כי הגדרות התצורה של יעדי ההגנה מאפשרות לקבוע מהו סוג המידע שניתן לגלות, לזהות או לאסוף מהם.
10. פרוטוקול שכיח לניהול הגדרות תצורה של ציוד תקשורת: NETCONF (Network Configuration Protocol).
11. פרוטוקול שכיח לניהול הגדרות תצורה בסביבת IoT:
Protocol for Automatic Security Configuration (PASC)
12. רבים מהפרוטוקולים המסורתיים לניהול הגדרות תצורה אינם כוללים מנגנוני אבטחה מקובלים. לאור זאת, יש לבחון יישום בקרות מפצות בהתאם לצורך.
13. יש לוודא כי לטובת ניהול הגדרות תצורה הארגון עושה שימוש במערכת SLCM (Security Lifecycle Config Management) או אמצעי חלופי.
</t>
  </si>
  <si>
    <t>8. הארגון וידא כי הגדרות התצורה המיושמות כוללות יישום דרישות הקשחה (System Hardening) עדכניות ומקובלות. דוגמה ליישום: DISA STIG.
היסטוריית השינויים בהגדרות התצורה של יעדי ההגנה ויכולת חזרה לאחור:
9. הארגון וידא כי ביכולתו לראות את היסטוריית השינויים בהגדרות התצורה של יעדי ההגנה, וזאת לתקופה של חצי שנה לאחור.
10. הארגון וידא כי יש לו יכולת חזרה לאחור (Rollback) של עד עשר גרסאות לאחור או חצי שנה לאחור (הדרישה המחמירה מבין השתיים).</t>
  </si>
  <si>
    <t>17. הארגון וידא כי ביכולתו לגלות, לזהות ולחסום ביצוע שינויים לא מבוקרים ברמת החומרה/תוכנה ב"זמן אמת" (Real Time).
18. הארגון וידא כי הוא עושה שימוש בשתי טכנולוגיות בלתי תלויות לצורך גילוי, זיהוי וחסימת ביצוע שינויים לא מבוקרים ברמת החומרה/תוכנה. דוגמה ליישום: תשאול מכונה וירטואלית ב-WMI, ותשאול ה-API Hypervisor. 
19. הארגון וידא כי ביכולתו לקבל משוב על הגדרות תצורה שאינן מומלצות לפני החלתן בפועל.
20. הארגון וידא כי ביכולתו לבחון את ההשפעות של הגדרות תצורה חדשות עוד לפני החלתן בפועל ביעדי ההגנה (What-if Analysis). 
היסטוריית השינויים בהגדרות התצורה של יעדי ההגנה ויכולת חזרה לאחור:
21. הארגון וידא כי ביכולתו להחזיר את הגדרות התצורה המאושרות ב"זמן אמת" (Real Time).
22. הארגון וידא כי ביכולתו לראות את היסטוריית השינויים בהגדרות התצורה של יעדי ההגנה, וזאת לתקופה של שנתיים לאחור.
23. הארגון וידא כי יש לו יכולת חזרה לאחור (Rollback) של עד מאה גרסאות לאחור או שנתיים לאחור (הדרישה המחמירה מבין השתיים).</t>
  </si>
  <si>
    <t>1. להלן פונקציונליות הנדרשת מדפדפן אשר קיים ביעד הגנה:
א. תמיכה בגרסה עדכנית של פרוטוקול TLS.
ב. תמיכה ב-extended validation (EV) certificates
ג. בדיקת תקינות תעודה דיגיטלית באמצעות Certification Revocation List (CRL) ו/או Online Certificate Status Protocol (OCSP).
ד. הצגת סימון צבע או  אייקון בהתאם לסוג התעבורה - מוצפנת, לא מוצפנת, מעורבת.
ה. תמיכה ב-HTTP Headers הבאים:
• HTTP Only Flag (Cookie)
• Secure Flag (Cookie)
• Same Site Flag (Cookie)
• HTTP X-XSS-Protection
• X-Frame-Options
• Access-Control-Allow-Origin
• Content-Security-Policy (CSP)
• Same Origin Policy (SOP)
• HTTP Strict Transport Security (HSTS)
• Expect-CT
• CSRF Token
ו. חסימה, ויכולת מחיקה בדיעבד של קובצי Cookies.
ז. חסימה, ויכולת מחיקה בדיעבד של Autocomplete History.
ח. חסימה, ויכולת מחיקה בדיעבד של Browsing History.
ט. מנגנון מובנה המזהה וחוסם גישה ל-IPs/Content/URLs זדוניים.
י. הרצה של כל דף אינטרנט כ-Thread או Process עצמאי ובלתי תלוי.
יא. יכולות הגנת זיכרון מקובלות ועדכניות.
יב. יכולת לדווח ליצרן על Attacks / Fake Sites.
יג. מנגנון המאפשר לארגון לאכוף Denylist של IPs/Content/URLs, הן על ידי המשתמש עצמו והן באמצעות מערכת ניהול מרכזית.
יד. יכולת הגדרה וחסימה של תמיכה ב- Extensions/Plug-Ins,  JavaScript - הן על ידי המשתמש עצמו והן באמצעות מערכת ניהול מרכזית.
טו. יכולת הגדרה וחסימה של שליחת מידע לשירותי ענן (Cloud Services) - הן על ידי המשתמש עצמו, והן באמצעות מערכת ניהול מרכזית.
טז. יכולת הגדרה וחסימה של שליחת Telemetry/Usage Data - הן על ידי המשתמש עצמו והן באמצעות מערכת ניהול מרכזית.
יז. יכולת הגדרה וחסימה של גישה למערכת הקבצים המקומית - הן על ידי המשתמש עצמו והן באמצעות מערכת ניהול מרכזית.
יח. יכולת הגדרה וחסימה של הרחבות/פלאגינים (Extensions/Plug-Ins) - הן על ידי המשתמש עצמו והן באמצעות מערכת ניהול מרכזית.
יט. יכולת הגדרה וחסימה של  התקנים דוגמת Camera / Microphone - הן על ידי המשתמש עצמו והן באמצעות מערכת ניהול מרכזית.
כ. יכולת הגדרה וחסימה של Popups - הן על ידי המשתמש עצמו והן באמצעות מערכת ניהול מרכזית.
כא. יכולת לגלות, לזהות ולסכל תקיפות Web שכיחות.
כב.  יכולת חסימה של האפשרות לאחסון מידע ב-Offline [שכיח בעת עבודה עם PWA  (Progressive Web App)].
כג. הרצה של הדפדפן כך שפעילותו לא תשפיע על יעד ההגנה עצמו, ועל אפליקציות אחרות הפועלות ביעד ההגנה (Sandbox).
כד. להלן מספר דוגמהות ליכולות הגנת זיכרון מקובלות:
• Address Space Layout Randomization (ASLR) 
• Data Execution Prevention (DEP)
• Code Integrity (CI) 
• Control Flow Guard (CFG)
כה. חסימת עמודים קופצים (Pop-Up)
כו. Browser Fingerprinting Randomization
2. יש לוודא כי התקנת עדכוני האבטחה (פאצ'ים) לדפדפן מתבצעת בתדירות גבוהה ככל האפשר.
3. יש לוודא החלה של בקרה זו על דפדפנים בטלפונים ניידים ויעדי הגנה אחרים שאינם מחשב נייח/נייד.</t>
  </si>
  <si>
    <t xml:space="preserve">5. הארגון וידא כי הדפדפן תומך בהתקנה של עדכוני אבטחה (פאצ'ים)/שדרוג גרסה ללא צורך בגישה לאינטרנט (Offline Installation).
6. הארגון וידא כי לפני התקנת עדכון אבטחה/שדרוג גרסה, הדפדפן בודק כי קובצי ההתקנה חתומים דיגיטלית על ידי היצרן הרשמי. 
7. הארגון וידא כי העברת מידע רגיש/חסוי (דוגמת סיסמאות ואמצעי תשלום) באמצעות הדפדפן תתבצע תוך שימוש באמצעים קריפטוגרפיים מקובלים ועדכניים.
8. הארגון וידא כי גישה למידע רגיש/חסוי (דוגמת סיסמאות ואמצעי תשלום) המאוחסן בדפדפן תתאפשר בכפוף להצלחת אימות באמצעות סיסמה ראשית (Master Password).
9. הארגון וידא כי ביכולתו למחוק את כל המידע הרגיש/החסוי (דוגמת סיסמאות ואמצעי תשלום) השמורים בדפדפן.
10. הארגון וידא כי ביכולתו למחוק מידע רגיש/חסוי (דוגמת סיסמאות ואמצעי תשלום) הקשור ל-URL\URI ספציפי.
11. הארגון וידא כי הדפדפן תומך באפשרות להחלת הגדרות תצורה (System Configuration), וזאת בהתאם למדיניות הארגון. בכלל זה, יש לוודא כי אפשר להחיל הגדרה הן באופן מקומי והן על ידי שימוש במערכת בקרה ושליטה מרכזית.
12. הארגון וידא כי הדפדפן תומך בניהול של ה-Trusted Certificates.
13. הארגון וידא כי הוא מסוגל לחסום אפשרות לאחסון קבע של מידע רגיש/חסוי (דוגמת סיסמאות ואמצעי תשלום) בדפדפן.
14. הארגון וידא כי הדפדפן מאפשר שליטה בפונקציונליות מתקדמת של הגנת מידע וסייבר ופרטיות. דוגמה לפונקציונליות מסוג זה: DoT (DNS Over TLS), DoH (DNS Over HTTP), ESNI (Encrypting SNI).
</t>
  </si>
  <si>
    <t>15. הארגון וידא כי הוא מסוגל להחיל הגדרות DNS ברמת הדפדפן, וכי המשתמש אינו יכול לשנות אותן.
16. הארגון וידא כי משתמש נטול הרשאות מתאימות אינו מסוגל להפעיל את כלי הפיתוח (DevTools) המובנים בדפדפן.
17. הארגון וידא כי בהתאם למדיניות הארגונית, הוא הגביל את את הקבצים שניתן להוריד ולהריץ בדפדפן. דוגמה ליישום: חסימת האפשרות להוריד ולהפעיל קובצי הרצה (Executable).
18. הארגון וידא כי הוא מבצע באופן יזום שדרוג לגרסה העדכנית של הדפדפן, גם אם אין מידע על חולשות ידועות. יש לוודא כי חלון הזמן לביצוע השדרוג יהיה קטן ככל הניתן.
19. הארגון וידא כי הדפדפן כולל מנגנון לגילוי, זיהוי וחסימה של ניסיון לשימוש בפרוטוקול/אלגוריתם ישן יותר מזה שעליו הוסכם בהתקשרות הראשונה בין הדפדפן לשרת (Download Attack).
20. הארגון וידא כי בטרם מתן גישה, יעדי ההגנה מוודאים את תקינות התעודה הדיגיטלית של אתר אינטרנט באמצעות ביצוע קורלציה עם שרת ה-DNS הרשמי של בעלי הדומיין. דוגמה ליישום: הגדרת הדפדפן להשתמש בפרוטוקול DANE (DNS-based Authentication of Named Entities).</t>
  </si>
  <si>
    <t>21. הארגון וידא כי יש לו יכולת מעשית ומוכחת להחלפת הדפדפן במקרה שהיצרן אינו מתקן חולשת הגנת מידע וסייבר ידועה.
22. הארגון וידא כי הוא מאפשר את קיומם של Trusted Certificates בהתאם ל-Allowlist.
23. הארגון וידא כי הדפדפן פועל בסביבה הרצה נפרדת וייעודית (Execution Environment) משאר רכיבי התוכנה ביעד ההגנה, כך שפעולתו אינה יכולה להשפיע על תקינות יעד ההגנה והאפליקציות האחרות.
24. הארגון וידא כי הטמעה/שדרוג של הדפדפן אינה מחייבת ביצוע שינויים במערכת ההפעלה של יעד ההגנה, למעט העתקת קבצים ויצירת קיצור דרך (Shortcut). דוגמה ליישום: שימוש בקונטיינר (Container) לשם אחסון והרצת הדפדפן.</t>
  </si>
  <si>
    <t>1. יש לפנות לבקרת "מניעת דלף מידע".
2. יש לפנות לפרק "DETECT", תוך התייחסות לתרחישי ניטור שכיחים, כמו ניסיון לעקיפת אמצעי ההגנה באמצעות ביצוע שינויים ב-BIOS/UEFI או חיבור לא מורשה של התקן ישירות ללוח האם של יעד ההגנה.
3. יש להקפיד על ביצוע חסימה פיזית של ממשקים במתחמי עבודה הנגישים לקהל.
4. קיימים בשוק חסמים פיזיים שהסרתם מיעד ההגנה מותנית בשימוש במפתח ייחודי. יש לבחון שימוש בחסמים כאלו אם קיימת סבירות בינונית/גבוהה לכך שחסם פיזי פשוט ייעקף על ידי משתמש/תוקף פוטנציאלי.
5. יש לתת את הדעת על כך שפתרונות רבים לבקרת התקנים (Device Control) מתקשים להתמודד עם כלי תקיפה המתחזים לציוד תקשוב לגיטימי של הארגון. כמו כן, עלות כלי תקיפה מסוג זה זניחה, ולא צריך רמת מיומנות גבוהה כדי להפעילם.
6. יש לוודא באופן תקופתי כי החסמים הפיזיים קיימים ביעד ההגנה, ואפקטיביים דיים.
7. יש לבחון החלת דרישה כי ממשקי יעד ההגנה יכילו מנגנון מובנה לפריקת מתח חריג. לדוגמה, שחרור מתח מקבל טעון שחובר לממשק ה-USB לא יגרום להשבתת לוח האם.</t>
  </si>
  <si>
    <t>1. הארגון וידא כי הוא חסם פיזית אפשרות לחיבור התקנים (דוגמת DOK) לא מורשים לממשקי תקשוב שכיחים של יעד ההגנה, וזאת באמצעות שימוש בחסמים פיזיים. דוגמה ליישום: חוסם ממשק USB.</t>
  </si>
  <si>
    <t>4. הארגון וידא כי הוא רכש יעד הגנה ללא ממשקים שניתן לחבר אליהם התקנים (דוגמת DOK). לחלופין, על הארגון לבצע עיקור פיזי לצורך נטרול ממשקים מסוג זה (דוגמת USB) לפני הפעלת יעד ההגנה בסביבת הייצור. פתרון לדוגמה: מחשב עם צג מגע שאינו כולל ממשקים נגישים למשתמשים.
5. הארגון וידא כי הוא רכש יעד הגנה הכולל מנגנון חומרתי למניעת חבלה (Tamper-Resistant) ומנגנון חומרתי לחשיפת חבלה (Tamper-Evident). כך, חיבור התקן לא מורשה ישירות למערכת הפיקוד והבקרה (דוגמת לוח האם) יגרום לחסימה ושליחת  התרעה ב"זמן אמת" למערך הניטור בערוץ מחוץ לתהליך (OOB). במידה שחיבור ההתקן הלא מורשה הצליח, על הפתרון לבצע השבתה מלאה של יעד ההגנה.</t>
  </si>
  <si>
    <t xml:space="preserve">1. הארגון וידא כי הוא עושה שימוש במתודולוגיה עדכנית לפיתוח מאובטח, וזאת תוך התייחסות למתודולוגיות מקובלות ועדכניות בעולם זה. דוגמה ליישום: שימוש במתודולוגיות פיתוח מאובטח מבית OWASP או SAFECode.
2. הארגון וידא כי שולבו תהליכים מקובלים בעולם הפיתוח המאובטח במחזור החיים של המוצרים שאותם הוא מפתח - החל משלב הייזום וכלה בהוצאת המוצר משימוש. בכלל זה, בכל פרויקט חדש יש להגדיר תקציב ייחודי להגנת מידע וסייבר.
3. הארגון וידא כי הוגדרו מדדים לבחינת אפקטיביות יישום הגנת המידע והסייבר במוצרים.
4. הארגון וידא כי הוגדר לפחות נאמן הגנת מידע וסייבר אחד ביחידת הפיתוח, המשמש איש קשר עם גורם הגנת המידע והסייבר בארגון.
5. הארגון וידא כי צוותי הפיתוח עוברים הכשרות מתאימות בתחום הפיתוח המאובטח.
6. הארגון וידא כי הוא עושה שימוש בכלי פיתוח עדכניים, הכוללים יכולות מובנות לגילוי וזיהוי חולשות בקוד.
7. הארגון וידא כי צוות הפיתוח ביצע סקר קוד (Code Review) הדדי.
8. הארגון וידא כי הוא משתמש בעקרונות מקובלים בעת בניית הארכיטקטורה של המוצר וסביבה הפעולה.
9. הארגון וידא כי ברשותו תהליך לקבלת דיווחים על חולשות מגורמים פנים ארגוניים וגורמים מחוץ לארגון.
10. הארגון וידא כי הוגדרו דרישות הגנת סייבר עבור המוצרים שהוא מפתח. דרישות אלו עשויות לכלול התייחסות להיבטים כמו סיסמאות ברירת מחדל, ניהול גרסאות, הצפנה, וניהול משתמשים.
11. הארגון וידא כי תוצרי הפיתוח מממשים עקרונות מקובלים לעיצוב מאובטח (Security by Design) ועיצוב לפרטיות (Privacy by Design), לרבות הפעלתם כברירת מחדל.
12. הארגון וידא כי לפני תהליך ה-Build הוא ביטל  מנגנונים שעשויים לסייע לתוקף פוטנציאלי, דוגמת Backdoor, Debug Mode.
13. הארגון וידא כי הוא מנהל את גרסאות הקוד באופן מסודר ומתועד, וכי קיימת יכולת אפקטיבית לחזור לגרסה קודמת בהתאם לצורך. דוגמה ליישום: שימוש ב-SCM (Source Code Management) המלווה בתיעוד מתאים.
14. הארגון וידא כי רכיבי התוכנה אינם חושפים מידע שיוכל לשרת תוקף פוטנציאלי. מידע מסוג זה עשוי להיות הודעות שגיאה פרטניות וקוד המכיל פרטי הזדהות מקובעים (Hard Coded).
15. הארגון וידא כי קיים סד זמנים מוגדר (SLA) ורשמי לשחרור עדכוני אבטחה (פאצ'ים). 
16. הארגון וידא כי הוא משתמש בגרסת ה-IDE העדכנית ביותר שזמינה בשוק.
17. הארגון וידא כי גרסת ה-IDE שבה הוא משתמש כוללת יכולות אבטחה מקובלות. דוגמה ליכולות מסוג זה: Live Unit Testing, Unit Test Isolation, Code Coverage, Code Map Debugger, Memory Dump Analysis.
18. הארגון וידא כי הוא עושה שימוש ב-Coding style מקובל ואחוד בפרויקטי הפיתוח.
19. הארגון וידא כי ברשותו מיפוי מלא ועדכני של רכיבי התוכנה (SBOM - Software Bill of Materials) ויחסי התלות ביניהם.
20. הארגון וידא כי קיימת הפרדה פיזית/לוגית בין סביבות ייעודיות לעבודה (פיתוח, בדיקות, קדם ייצור וייצור).
21. הארגון וידא כי סביבות נמוכות (פיתוח, בדיקות, קדם ייצור) אינן מכילות מידע אמת.
22. הארגון וידא כי הוא משתמש במערכת ניהול מרכזית לניהול קוד המקור, וכי הוא מוודא באופן תקופתי שרשימת החשבונות המורשים והרשאות הגישה עומדות בעקרונות של מתן הרשאות נמוכות (Least Privilage) והצורך לדעת (Need to Know). דוגמה ליישום: שימוש ב-SCM (Source Code Management) וביצוע בדיקת משתמשים והרשאות בכל רבעון על ידי גורם הגנת מידע וסייבר. </t>
  </si>
  <si>
    <t>23. הארגון וידא כי בדיקות הגנת מידע וסייבר הן חלק אינטגרלי מפעילות צוות בקרת האיכות (QA – Quality Assurance), לרבות תיעוד חולשות האבטחה במערכת ניהול התקלים (באגים).
24. הארגון וידא כי המוצרים המפותחים כוללים כברירת מחדל יכולת חזרה למצב אפס (Steady State).
25. הארגון וידא את יישום בדיקות הגנת המידע והסייבר הבאות:
א. וידוא כי ספריות קוד פתוח אינן מכילות חולשות ידועות. דוגמה ליישום: שימוש ב-SCA  (Software Composition Analysis).
ב. וידוא כי הקוד הנכתב עומד בסטנדרטים מקובלים לפיתוח מאובטח, וזאת על ידי שימוש באמצעי אכיפה הכולל יכולות הדרכה מובנות. דוגמה ליישום: שימוש ב-Lint Tool/IDE Plug-in. 
ג. Fuzzing.
ד. השחרה.
ה. בדיקות ללוגיקה עסקית (Business Logic), לשם איתור חולשות לוגיות שאפשר לנצלן לרעה.
ו. תאימות אמצעי ההגנה שברשות הארגון, לשם מתן מענה אפקטיבי לאיומים מקובלים ועדכניים.</t>
  </si>
  <si>
    <t>31. הארגון וידא כי יושמה תוכנית "ציד חולשות" (Bug Bounty Program), המאפשרת לגורמים מחוץ לארגון לאתר חולשות במוצרים ולדווח עליהן.
32. הארגון וידא כי המוצרים שהוא מפתח כוללים כברירת מחדל התייחסות לדרישות הבאות:
א. יכולת החלת עדכוני אבטחה (פאצ'ים) בסביבת הייצור ללא צורך בהשבתת פעילות עסקית.
ב. מניעת יכולת לבצע הנדסה לאחור (Reverse Engineering). דוגמה ליישום: שימוש בערפול קוד (Obfuscation).
33. הארגון וידא כי יושמו בדיקות הגנת המידע והסייבר הבאות:
א. בדיקות דינמיות לקוד DAST (Dynamic Application Security Testing) או IAST (Interactive Application Security Testing).
ב. בחינה של אימוץ הסמכה מקובלת למוצר, דוגמת הסמכה מטעם מערך הסייבר הלאומי. 
34. הארגון וידא כי בחן את הצורך לשלב בקוד מנגנונים מקובלים המאפשרים "הגנה עצמית בעת ריצה" (Runtime App Self-Protection).
35. הארגון וידא כי הוא משתמש במערכת ניהול מרכזית, המאפשרת השגת נראות מלאה ותיאום בין הכלים, האנשים והתהליכים המעורבים בפיתוח מאובטח של אפליקציות, וזאת תוך צמצום הפגיעה בתפעול השוטף למינימום האפשרי. דוגמה ליישום: שימוש ב-ASPM (Application Security Posture Management)</t>
  </si>
  <si>
    <t>הארגון וידא כי הטמיע תהליכי עבודה עם קוד פתוח (Open Source), תוך אבחנה בין תרחישי שימוש שונים. לדוגמה: פיתוח מאפס של קוד פתוח; הטמעת קוד פתוח ללא ביצוע שינויים; הטמעת קוד פתוח עם ביצוע שינויים; או הטמעת קוד פתוח במוצר מסחרי של הארגון</t>
  </si>
  <si>
    <t xml:space="preserve">1. הארגון וידא כי מתודולוגיית הפיתוח המאובטח כוללת התייחסות להיבטי שימוש בקוד פתוח (Open Source).
2. הארגון וידא כי הוא מנהל את הקוד הפתוח כחלק אינטגרלי מתהליכי ניהול ה- SCM (Software Configuration Management).
3. הארגון וידא כי נעשה שימוש בכלי אוטומציה (מבוסס קוד פתוח או מסחרי) לצורך גילוי, זיהוי וניהול ספריות הקוד הפתוח שבהן הוא משתמש (לרבות תלותיות). דוגמה ליישום: שימוש ב-SCA (Software Composition Analysis) או ב-OWASP Dependency-Check.
4. הארגון וידא כי הוא מקבל התרעות על חולשות חדשות שהתגלו בספריות הקוד (לרבות תלותיות) שבהן הוא משתמש. דוגמה ליישום: רישום להתרעות CVEs, CWEs.
5. הארגון וידא כי בעת אימוץ ספריות קוד פתוח יש התייחסות לשיקולים הבאים:
א. רמת הקלות בשימוש מאובטח בספרייה. לדוגמה, הגדרות התצורה והממשק מוקשחים כברירת מחדל.
ב. לפרויקט יש תג איכות מקובל. דוגמה ליישום: תג Core Infrastructure Initiative מטעם ארגון Linux Foundation.
ג. הספרייה נתמכת על ידי קהילת מפתחים פעילה (יש לבדוק את רמת הפעילות בשנה האחרונה).
ד. שכיחות השימוש בספרייה גבוהה, לרבות במוצרי מדף בספרייה. שימוש נרחב מעלה את הסבירות לקיומו של מידע אודות שימוש מאובטח ברכיב. ראוי לציין כי היקף שימוש נמוך עשוי להעיד על Typosquatting Attack.
ה. הספרייה כוללת רישיון שימוש, דוגמת GPL/MIT/BSD. רכיב המופץ ללא רישיון שימוש מנוהל פעמים רבות באופן לא תקין, דבר העשוי להעיד גם על מצב האבטחה בניהול הפרויקט.
ו. רמת המהימנות של הגורמים אשר מנהלים את הפרויקט ושותפים לו.
ז. מספר החולשות שאותרו, חומרתן, והזמן הממוצע לסגירתן.
ח. רמת העדכניות של שפת הקוד שבה משתמשת הספרייה.
ט. תנאי השימוש (EULA) בספרייה (דוגמת GPL) והתאמתם למדיניות הארגונית/הצרכים הארגוניים.
י. היעדר צורך בקיומן של הרשאות גבוהות לפעולה שוטפת.
יא. פעולת הספרייה אינה כוללת/מחייבת חשיפה של מידע רגיש/חסוי לגורמי צד שלישי לא מאושרים (דוגמת שידור כתובת ה-IP של הלקוח למערכת המתעדת את השימוש בספרייה).
יב. ביצוע שינויים בספרייה אינו מחייב פרסום של הקוד המעודכן לציבור, או לחלופין קיים תהליך ארגוני סדור לפרסום קוד מעודכן לאחר ביצוע השחרה.
6. הארגון וידא כי הסכמים עם ספקי תוכנה צד ג' מכילים דרישות מפורשות לגבי ניהול סיכוני קוד פתוח המשולב בתוכנה המסחרית, לרבות העברת רשימה מלאה של ספריות הקוד הפתוח שבהן נעשה שימוש (Software Bill of Material - SBOM). רצוי לקבל את הרשימה בפורמט מקובל, דוגמת SPDX (ISO/IEC DIS 5962).   </t>
  </si>
  <si>
    <t>9. הארגון וידא כי הוא מסוגל להחליף בזמן סביר את ספריית הקוד-הפתוח במוצרים שהוא מפתח/עושה בהם שימוש.
10. הארגון וידא כי נקט פעולות אקטיביות ומקובלות לצמצום משטח התקיפה (Attack Surface) בספרייה. דוגמה ליישום: הסרת קוד ותלותיות שאינם נדרשים לפעולה שוטפת.
11. הארגון וידא כי ברשותו מיפוי עדכני של קוד ארגוני ופרויקטי תוכנה העושים שימוש בקוד פתוח, הכולל התייחסות לפרמטרים מקובלים כמו שם הפרויקט, שם הספרייה, גרסת הספרייה וכו'.
12. הארגון וידא כי בעת אימוץ ספריות קוד פתוח יש התייחסות לשיקולים הבאים:
א. עמידה במבחנים מקובלים, דוגמת OWASP Application Security Verification Standard (ASVS).
ב. ממצאי בדיקות חוסן שביצע גורם בלתי תלוי.
ג. עמידת הספרייה במדדים מקובלים לפיתוח מאובטח שהארגון קבע.</t>
  </si>
  <si>
    <t>הארגון וידא כי הגדיר והטמיע מדיניות ונוהלי עבודה לגבי הגנה פיזית וסביבתית, הכוללת:
21. הקצאת תשומות הגנה נאותות עבור יעדי ההגנה. יש לוודא כי מנהל הגנת הסייבר מספק מענה הולם ליעדי הגנה משולבי טכנולוגיה (דוגמת מערכת בקרת כניסה).
22. שילוב אמצעים טכנולוגיים לשם גילוי, זיהוי וחסימת כניסה לא מורשית (לדוגמה: מערכת מצלמות במעגל סגור). 
23. שמירה על עדכניותם של ה-Playbooks בהתאם לרשימת התרחישים שהוגדרו.
24. ביצוע סיורים מתוזמנים לגילוי וזיהוי חריגות בכל מתחם עבודה, וכן ביצוע סיורים אקראיים (שוברי שגרה) למטרה זו.</t>
  </si>
  <si>
    <t xml:space="preserve">הארגון וידא כי הגדיר והטמיע מדיניות ונוהלי עבודה לגבי הגנה פיזית וסביבתית, הכוללת:
25. קיומה של אינטגרציה מלאה בין מערך ההגנה הפיזי למערך ההגנה הלוגי. 
26. הגדרת נוהלי עבודה ותהליכים תומכים להתמודדות עם איום פנימי (לדוגמה: מהימנות, גניבת ציוד ומידע, התמודדות עם ריגול עסקי). 
</t>
  </si>
  <si>
    <t>16. הארגון וידא כי כניסה/יציאה ממתחם העבודה מותנית במעבר דלת הנעולה בשגרה, שפתיחתה מחייבת השלמת אימות מוצלח באמצעות שני גורמים. דוגמה ליישום: אימות מבוסס תג עובד ואימות ביומטרי.
17. הארגון וידא כי כניסה/יציאה מחדרי עבודה רגישים/קריטיים מותנית במעבר דלת הנעולה בשגרה, שפתיחתה מחייבת השלמת אימות מוצלח באמצעות שני גורמים. דוגמה ליישום: אימות מבוסס תג עובד ואימות ביומטרי.</t>
  </si>
  <si>
    <t>1. הארגון וידא כי המתחם הפיזי שבו מאוחסנים יעדי ההגנה תומך בדרישות הבאות:
א. המתחם אינו חשוף לאסונות סביבתיים דוגמת הצפה/שיטפון.
ב. המתחם מוגן בסורגים למניעת גישה לא מורשית. 
ג. יעדי ההגנה (דוגמת שרתים וציוד תקשורת) אינם ממוקמים בסמיכות לקירות חיצוניים.
ד. יעדי ההגנה (דוגמת שרתים וציוד תקשורת) מרוכזים במרכז החדר, ככל האפשר.
ה. יעדי ההגנה (דוגמת שרתים וציוד תקשורת) אינם ממוקמים בסמיכות למקורות מים (לרבות צינורות הולכה).
ו. במתחם קיימת מערכת כיבוי אש תקנית.
ז. מבנה מתחם העבודה מאפשר ניקוז של מים החוצה.
ח. מתחם העבודה כולל מערכת לניטור תנאי הסביבה, כמו טמפרטורה ולחות.
ט. מתחם העבודה כולל שילוט ותאורת חירום.
י. יש חציצה בין קהלי יעד שונים. דוגמה ליישום: אורחים או לקוחות שמגיעים לקבל שירות לא יוכלו לעבור למתחם העבודה או לקבל גישה ליעדי ההגנה.
2. הארגון וידא כי יעדי הגנה הממוקמים באזור של קבלת קהל אינם נגישים למבקרים, וזאת באמצעות:
א. יעד ההגנה (דוגמת מחשב ומדפסת) מאוחסן מתחת לשולחן, כאשר בצדו של הלקוח/עובר האורח יש "קיר" בשולחן המונע גישה.
ב. נקודות הזנה (דוגמת חשמל ונתונים) נמצאות בצד המשתמש, כך שללקוח/עובר אורח אין אליהן גישה.
ג. צג המסך אינו מופנה לכיוון הקהל.
ד. יעדי ההגנה אינם כוללים ממשקים (דוגמת USB) הנגישים לגורמים בלתי מורשים.
ה. יעדי ההגנה אינם ממוקמים בסמיכות לדלת כניסה/יציאה.
ו. יעדי הגנה רגישים/קריטיים אינם מאוחסנים באזור קבלת הקהל.
3. הארגון וידא כי התקנים ניידים (דוגמת DOK) מאוחסנים בסיום העבודה במגירה נעולה או באמצעי מקביל.
4. הארגון וידא כי מידע רגיש/חסוי מאוחסן בסיום העבודה במגירה נעולה או האמצעי מקביל.
5. הארגון וידא כי יעדי ההגנה אינם נגישים לבעלי חיים, דוגמת עכברים שפעמים רבות פוגעים בתשתית הכבילה.</t>
  </si>
  <si>
    <t>1. הארגון נדרש ליישם בקרת הגדרה ותחזוקה של רשימת מורשי גישה למתחמי עבודה.
2. הארגון נדרש לתעד ולשמור את הרישומים (לוגים) של כל הכניסות והיציאות של כל המבקרים במסד נתונים/לוגים או ברישום ידני שמבצע שומר.
3. הארגון נדרש להגביל את הגישה הפיזית של גורמים שאינם מורשים לאזורי ריכוז של תקשורת/מחשוב (חדרי שרתים ותקשורת). יש להגדיר רשימת מורשי גישה לאזורים אלו ולאכוף את הגישה בהתאם לנוהלי הארגון. חשוב להקפיד על:
א. הגדרת הרשאות גישה (פיזית ולוגית) המתאימות לגורמים המורשים.
ב. תיעוד הגישה לחדרי המחשוב באמצעות רישום לוגים או ניהול יומן נוכחות. אם לא ניתן למכן את תיעוד הגישה לארונות התקשורת וחדרי השרתים, יש לבחון הגנה פיזית עליהם באמצעות מנעול, אשר ימנע מגורמים בלתי מורשים להתחבר אל הציוד.
4. הארגון נדרש למנוע מגורמים בלתי מורשים גישה לאזורים רגישים. גישה שכזו יכולה לאפשר לגורמים עוינים לבצע פעולות זדוניות כגון חיבור אמצעי האזנה, התחברות לרשת או גניבת חומרה.
מטרת הבקרה היא לוודא כי לאזורים אלו יוכל להיכנס רק מי שהארגון הגדיר כמורשה לעשות זאת. במסגרת זו על הארגון לנטר את כל הגישות הפיזיות לאזורים רגישים (חדרי שרתים, ארונות תקשורת וכו') באמצעות רישום של הנכנסים והיוצאים.
5. הארגון וידא כי הוא עושה שימוש באמצעי ניטור והתרעה לצורך זיהוי גישות לא מורשות למתקן בזמנים שאינם מוגדרים כימי ושעות עבודה. לצורך כך ניתן להשתמש במערכת אזעקה ו/או במוקד ביטחון.
6. ניתן ליישם חלק מדרישות הבקרה באמצעות שימוש בגורם פנים-ארגוני (קב"ט), מוקד ביטחון חיצוני, חברת שמירה וכו'.
7. הארגון נדרש להתקין מצלמות אבטחה במעגל סגור לצורך ניטור שוטף של כל הכניסות בכל הפתחים המאפשרים גישה למתקן, וכן לנטרם באופן רצוף באמצעות איש ביטחון.
8. דוגמה למימוש הגנה מפני כניסה של לא מורשים: שימוש בשער כניסה מסוג "ספארי"/"מלכודת אדם" (Mantrap).
9. יש לעיין בחוק הגנת הפרטיות ותקנות העזר, ולהתייעץ עם היועץ המשפטי של הארגון.
10. יש לקבל את אישור מנהל הבטיחות בארגון לתשתית האבטחה הפיזית.
11. יש לוודא כי הארגון פועל בהתאם להנחיות העדכניות של משטרת ישראל.
12. יש לסגור פיזית ולוגית שערי כניסה/יציאה שאינם בשימוש.
13. יש לוודא כי האזעקה עושה שימוש בקו תקשורת עצמאי, הכולל הגנות סייבר נאותות.
14. יש לוודא כי נעשה שימוש באזעקה אחת לפחות שכוללת חיבור למרכז ביטחון חיצוני, וכן בגלאי חישה (Sensing) העושים שימוש בטכנולוגיה שונה לשם גילוי וזיהוי של תרחישי איום (דוגמת נפח, משקל, מגע/הזזה והפרעה לתקינות שידור לייזר העובר מצד אחר של המתחם לצד השני).
15. יש לוודא כי לאזעקה יש מקור מתח עצמאי, שיזין אותה במקרה של ניתוק ממערכת החשמל הראשית. כמו כן, לאזעקה צריכה להיות יכולת להעביר התרעות גם ללא תקשורת קווית.
16. יש לוודא כי מופנות תשומות אבטחה לצמתים עיקריים בתשתית התקשוב, דוגמת ארונות תקשורת, ארונות חשמל ונקודות הארקה.
17. יש לפנות לבקרת "הגדרה ותחזוקה של רשימת מורשי גישה למתחמי עבודה".
18. ניתן לממש שליטה ובקרה על הכנסה/הוצאה של יעד ההגנה באמצעות נוהל הכולל התייחסות להיבטי הוצאת רכיבי חומרה/תוכנה העשויים להכיל מידע רגיש/חסוי.
הניטור של מידע שיצא מהארגון יכול להתבצע באמצעות מעקב אחר חומרה שיצאה מהארגון (כגון מחשבים ניידים או התקני זיכרון שחולקו לספקים). הרישום והמעקב יהיו תקופתיים ויכללו פרטים כמו למי ניתנה החומרה, לכמה זמן, לאיזו מטרה ותאריך החזרה משוער.
19. יש להגדיר ולקיים מערך תגובה שיופעל בעת זיהוי גישות לא מורשות למתקן הארגון.</t>
  </si>
  <si>
    <t>8. הארגון וידא כי במקרה של ניסיון לגישה לא מורשית נשלחת התרעה לרשימת גורמים מוגדרים, הפועלים בהתאם ל-Playbooks מוגדרים.
9. הארגון וידא כי במקרה של ניסיון לגישה לא מורשית נשלחת התרעה למוקד חירום, וכי מאבטח מטעמו מגיע למתחם העבודה תוך זמן נתון (OLA\SLA).
10. הארגון וידא כי הוא יישם בנקודות כניסה/יציאה מנגנונים מקובלים לאיתור "דלת מוטרדת" (דלת שפתוחה מעל דקה, לדוגמה), לרבות זמזם התרעה.</t>
  </si>
  <si>
    <t>11. הארגון וידא כי הוא יישם מנגנונים טכנולוגיים מקובלים למניעת הסתננות של גורמים לא מורשים הנכנסים בעקבות גורם מורשה. דוגמה ליישום: שימוש ב"תא ספארי".
12. הארגון וידא כי ברשותו שומר מוסמך משטרת ישראל הממוקם 24/7 בסמוך לנקודות הכניסה/יציאה, כך שהוא יכול לזהות התנהלות חשודה.
13. הארגון וידא כי מערכת המצלמות במעגל סגור יכולה לזהות אש והצפה/שטפון באופן אוטונומי, ללא צורך במעורבות אנושית.</t>
  </si>
  <si>
    <t>1. רשת "אדומה" כוללת תשתית נתונים וחשמל (לרבות הארקה) המחוברת ליעדי הגנה בעלי רמת אמון גבוהה. רשת "שחורה" כוללת תשתית נתונים וחשמל (לרבות הארקה) המחוברת ליעדי הגנה בעלי רמת אמון נמוכה.
2. יש לוודא כי צירים של כבילה אדומה ושחורה יצטלבו רק כאשר הם בזווית של 90 מעלות לזה לזה.
3. יש לוודא כי כבילת החשמל (לרבות השקעים) מרוחקת לפחות של 20 ס"מ מכבילת תקשורת הנתונים.
4. יש לקבל אישור לפתרון מממונה הבטיחות בארגון.
5. להלן דוגמהות לתקנים אזרחיים מקובלים בנושא אדום/שחור:
ZONE, NATO SDIP-27, SDIP-29, NACSIM 5100A Level 2/3
עם זאת, יש להביא בחשבון כי הם מספקים רמת אבטחה נמוכה יחסית.</t>
  </si>
  <si>
    <t>1. הארגון וידא כי מתחמי העבודה ויעדי ההגנה עומדים בדרישות Level 1 המפורטות במסמך Electromagnetic Pulse (EMP) Protection and Resilience Guidelines for Critical Infrastructure and Equipment (ראו לעיל ב"דגשים ביישום הבקרה" - סעיף 8):
Level 1: Lowest cost; longer mission outages permitted.
להלן דוגמהות לצעדים שיש לבצע:
א. הארגון וידא כי במידת האפשר הוא ניתק פיזית יעדי הגנה ממקורות מתח, נתונים וממשקי אנטנה המקושרים ליעדי הגנה חלופיים/רזרביים.
ב. הארגון וידא כי הוא כיבה יעדי הגנה שאינם ניתנים לניתוק, אך אינם נדרשים לעבודה שוטפת.
ג. הארגון וידא כי הוא משתמש בהתקנים מקובלים להגנה מפני נחשולי מתח (SPD - Surge Protection Device) שמקורם בברקים, וזאת לשם הגנה על קוויי מתח, נתונים וממשקי אנטנה. כמו כן, הארגון וידא כי ברשותו התקנים חלופיים זמינים.
ד. הארגון וידא כי ברשותו מקור מתח חלופי או יכולת הפקת מתח עצמאית אשר אינה מקושרת לשדרת החשמל (GRID) - למשל, גנרטור או מערכת המייצרת אנרגיה ממקורות מתחדשים. יש להבטיח כי מקור המתח יוכל לספק מענה רציף במשך שבוע לפחות.
ה. הארגון וידא כי הוא עוטף יעדי הגנה חלופיים/רזרביים ברדיד אלומיניום, או לחלופין מאחסן אותם בכלוב פרדיי (Faraday cage).
ו. הארגון וידא כי ברשותו מערכת טלפוניה המסוגלת לספק מענה בעת חירום (דוגמת השבתת תקשורת בכל האזור). דוגמה ליישום: שימוש בטלפון לווייני.
ז. הארגון וידא כי הוא בחן שימוש באמצעי תקשורת יבשתיים הפועלים בערוצי HF (או במענה חלופי).
ח. הארגון וידא כי הוא אחסן במתחם העבודה מזון, מים ואמצעים נוספים לשם תמיכה במחיה של שבוע במקום.
ט. הארגון וידא כי ברשותו מקלט רדיו הפועל באמצעות סוללות ומסוגל לקלוט שידורי חירום בערוצי AM/FM/NOAA.</t>
  </si>
  <si>
    <t>2. הארגון וידא כי מתחמי העבודה ויעדי ההגנה עומדים בדרישות Level 2 המפורטות במסמך Electromagnetic Pulse (EMP) Protection and Resilience Guidelines for Critical Infrastructure and Equipment (ראו לעיל ב"דגשים ביישום הבקרה" - סעיף 8):
Level 2: Only hours of mission outages are permitted.
להלן דוגמהות לצעדים שיש לבצע:
א. הארגון וידא כי הוא משתמש בהתקנים מקובלים להגנה מפני נחשולי מתח (SPD - Surge ProteCIon Device) שמקורם בדוא"מ (EMP), וזאת לשם הגנה על קווי מתח, נתונים וממשקי אנטנה המקושרים ליעדי הגנה קריטיים. כמו כן, הארגון וידא כי ברשותו התקנים חלופיים זמינים.
ב. הארגון וידא כי הוא משתמש בהמרה מקוונת/כפולה בעת עבודה עם אל-פסק (UPS), או לחלופין משתמש באל-פסק עם קישור אינטראקטיבי (Interactive).
ג. הארגון וידא כי הוא משתמש בכבילה אופטית ללא מתכת. לחלופין, אפשר להשתמש בכבילה מסוככת, "חרוז פריט" (Ferrite bead) והתקנים מקובלים אחרים להגנה מפני נחשולי מתח (SPD - Surge ProteCIon Device) שמקורם בדוא"מ. יש להביא בחשבון כי במקרים רבים כלכלי יותר לבצע הגנה ברמת כלל התשתית (דוגמת ארון שרתים או חדר השרתים/התקשורת) מאשר הגנה ברמת הכבילה הבודדת.
ד. הארגון וידא כי הוא השתמש במקור מתח חלופי אשר עמיד בפני דוא"מ ואינו מקושר לשדרת החשמל (GRID).
ה. הארגון הטמיע אמצעי דוא"ל ושמע חסיני דוא"מ המאפשרים תקשורת מרוחקת.
ו. הארגון וידא כי הוא בחן שימוש בשירותי לווין גיאוסינכרוניים (GEO). כמו כן, הארגון וידא כי הוא אינו מסתמך על שירותי לווין במסלול נמוך (LEO). בנוסף, הארגון וידא כי הוא עושה שימוש במסופים (Terminals) העמידים בפני דוא"מ.
ז. הארגון וידא כי ברשותו מכשיר קשר העושה שימוש בגלים קצרים, המאפשר לתקשר עם העולם החיצון ולקבל עדכונים.</t>
  </si>
  <si>
    <t>3. הארגון וידא כי מתחמי העבודה ויעדי ההגנה עומדים בדרישות Level 3 המפורטות במסמך Electromagnetic Pulse (EMP) Protection and Resilience Guidelines for Critical Infrastructure and Equipment (ראו לעיל ב"דגשים ביישום הבקרה" - סעיף 8):
Level 3: Only minutes of mission outages are permitted.
להלן דוגמהות לצעדים שיש לבצע:
א. הארגון וידא כי הוא עושה שימוש בתקני ארגון IEC (International Electrotechnical Commission) להתמודדות עם דוא"מ (EMP) והפרעות אלקטרומגנטיות מכוונות (IEMI), דוגמת סדרת התקנים SC 77C series.
ב. הארגון וידא כי המיגון מספק הנחתה של 30 דציבל לפחות בעת עבודה בתדר 10 GHz.
ג. הארגון וידא כי לשם מיגון יעדי הגנה קריטיים הוא משתמש ב-Racks ומתחמי עבודה (לרבות חדרי שרתים וחדרי תקשורת) החסינים בפני דוא"מ.
ד. הארגון וידא כי לשם אבטחת שדרת החשמל (GRID) וכבילה תת-מימית הוא עושה שימוש ב“Recommended E3 HEMP Heave Electric Field Waveform for the Critical Infrastructures” אשר אושרו על ידי ה-EMP Commission.
ה. הארגון וידא כי לשם התמודדות עם איוםCONUS E3, התשתית מספקת מענה לשדה חשמל מקסימלי של 85 וולט לק"מ.
ו. הארגון וידא כי הוא משתמש ביעדי הגנה והתקנים מקובלים להגנה מפני נחשולי מתח (SPD - Surge ProteCIon Device) שרמת העמידות שלהם בפני דוא"מ נבחנה.
ז. הארגון וידא כי ברשותו תהליך לביצוע תחזוקה ובחינת אפקטיביות (HM/HS) של רמת העמידות בפני דוא"מ, וזאת בהתאם לדרישות תקני IEC.
ח. הארגון וידא כי ברשותו מקור מתח חלופי או יכולת הפקת מתח עצמאית, אשר אינם מקושרים לשדרת החשמל ומסוגלים לספק מענה רציף במשך 30 יום לפחות.
ט. הארגון וידא כי הוא אחסן במתחם העבודה מזון, מים ואמצעים נוספים לשם תמיכה במחיה של 30 יום במקום.
י. הארגון וידא כי הוא משתמש במספר אמצעי תקשורת בלתי תלויים העמידים בפני דוא"מ.</t>
  </si>
  <si>
    <t>4. הארגון וידא כי מתחמי העבודה ויעדי ההגנה עומדים בדרישות Level 4 המפורטות במסמך Electromagnetic Pulse (EMP) Protection and Resilience Guidelines for Critical Infrastructure and Equipment (ראו לעיל ב"דגשים ביישום הבקרה" - סעיף 8):
Level 4: Only seconds of mission outages permitted.
יצוין כי את דרישות ההגנה ברמה זו אמורים ליישם רק גופים שהונחו לעשות כך על ידי גורם מוסמך - והן אינן מחייבות את כל הגופים במשק. עם זאת, מומלץ לבחון עמידה בדרישות אלה בהתאם לתיאבון הסיכון של הארגון.
להלן דוגמהות לצעדים שיש לבצע:
א. הארגון וידא כי הוא משתמש בתקנים צבאיים (דוגמת MILSTD-188-125-1 and MIL-HDBK-423) לעמידות בפני דוא"מ (EMP). 
ב. הארגון וידא כי המיגון מספק הנחתה של 80 דציבל לפחות בעת עבודה בתדר 10 GHz.
ג. הארגון וידא כי הוא משתמש במיגון מפני דוא"מ ב-Racks, במתחמי עבודה ובבניינים.
ד. הארגון וידא כי הוא משתמש בדלת כפולה המוגנת בפני דוא"מ.
ה. הארגון וידא כי הוא עומד בדרישות תקני הצבא להגנה בפני דוא"מ, וזאת באמצעות בדיקות מקובלות, דוגמת Test Operations Procedure (TOP) 01-2-620 HEMP.
ו. הארגון וידא כי ברשותו מקור מתח עמיד בפני דוא"מ בהתאם לתקנים צבאיים, המסוגל לספק מענה רציף במשך 30 יום לפחות.
ז. הארגון וידא כי הוא בחן שימוש במיגון כפול לקווים חיצוניים קריטיים המקושרים לבניינים/מתחמי עבודה/יעדי הגנה קריטיים.
ח. הארגון וידא כי הוא משתמש במספר אמצעי תקשורת בלתי תלויים, העונים לדרישות תקנים צבאיים ועמידים בפני דוא"מ.
ט. הארגון וידא כי ברשותו תהליך לביצוע תחזוקה ובחינת אפקטיביות (HM/HS) רמת העמידות בפני דוא"מ, וזאת בהתאם לדרישות תקנים צבאיים.</t>
  </si>
  <si>
    <t>1. להלן דוגמהות ליישום שליטה בגישה למכשירי פלט בארגון:
א. שימוש במערכת בקרת הדפסה הדורשת קוד או כרטיס עובד לפני קבלת הפלטים.
ב. מיקום המדפסת בחדר סגור שהגישה אליו מוגבלת.
ג. מומלץ לוודא בסוף כל יום כי אמצעי פלט הממוקמים באזורים ציבוריים/מרובי משתמשים יהיו "נקיים", וכי מידע אישי לא יהיה נגיש למי שאינו אמור להיות חשוף אליו.
2. ניתן להצמיד RFID לציוד היקפי לשם גילוי וזיהוי ניסיונות הוצאה לא מורשים ממתחם העבודה.
3. יש לוודא כי העובדים ואורחים אישרו את מדיניות השימוש הנאות באמצעים טכנולוגיים ואחרים (AUP - Accepted Use Policy).</t>
  </si>
  <si>
    <t xml:space="preserve">2. הארגון וידא כי עובדים ואורחים אינם מכניסים למתחמי העבודה יעדי הגנה פרטיים/של ארגון אחר, וזאת באמצעות שימוש בבקרות פיזיות. דוגמה ליישום: תשאול מבקרים.
3. הארגון וידא כי גורמי תמיכה הנדרשים לבצע פעולות תפעול ביעדי הגנה קיבלו ציוד ארגוני ייעודי, כך שגורמים אלו לא יעשו שימוש בציוד שאינו בבעלות הארגון.
4. הארגון וידא כי בעת הפעלה של חיישנים המסוגלים לאסוף מידע מהסביבה (דוגמת מצלמה, מיקרופון, רמקול או אוזניות), מופעל חיווי חיצוני עבור הנוכחים בחדר. דוגמה ליישום: הפעלת מערכת לניהול שיחות ועידה (VC – Voice Conference) תגרור הפעלת נורת התרעה/שילוט חיצוני.
5. הארגון וידא כי בכל סיום מפגש עם אורחים מתבצעת סריקה לאיתור שינויים לא מאושרים ביעדי ההגנה/מתחם העבודה.  </t>
  </si>
  <si>
    <t>6. הארגון וידא כי עובדים ואורחים אינם מכניסים למתחמי העבודה יעדי הגנה פרטיים/של ארגון אחר, וזאת באמצעות שימוש בבקרות לוגיות. דוגמה ליישום: שער הכניסה כולל חיישנים לגילוי וזיהוי ציוד אלקטרוני.
7. הארגון וידא כי גורמים לא מורשים אינם יכולים לקבל גישה לפלט פיזי של יעדי הגנה (דוגמת פקס והדפסה), וזאת באמצעות שימוש בבקרות לוגיות. דוגמה ליישום: עובד יוכל לקבל גישה לפלט הדפסה רק לאחר אימות באמצעות תג עובד. דוגמה אחרת היא שימוש ב- Fax2Mail/Mail2Fax כחלופה לפקס העושה שימוש בנייר.
8. הארגון וידא כי הוא מונע הפעלה לא רצונית מרחוק של חיישנים אשר מסוגלים לאסוף מידע מהסביבה (דוגמת מצלמה, מיקרופון, רמקול או אוזניות).</t>
  </si>
  <si>
    <t>1. הארגון וידא כי ביצע את הצעדים הבאים לפני העסקת משתמש:
א. הגדרה וביצוע של בדיקות רקע (Screening) בהתאם לרמת הרגישות/הקריטיות של התפקיד/רמת הנגישות הצפויה. דוגמה ליישום: בדיקת קורות חיים וממליצים.
ב. החתמה של המשתמש על הצהרה לשמירת סודיות ומניעת תחרות.
ג. החתמה של המשתמש על התחייבות לעמידה בדרישות הגנת המידע והסייבר של הארגון.
ד. החתמה של המשתמש על התחייבות לשמירה על זכויות קניין של הארגון וגורמי צד שלישי.
ה. קביעת מסלול הכשרה למשתמש בתחום הגנת מידע וסייבר.
ו. שמירה על המסמכים שעליהם חתם המשתמש במסגרת עבודתו לתקופה של שנתיים לפחות מיום סיום ההעסקה.
2. הארגון וידא כי ביצע את הצעדים הבאים במסגרת תקופת ההעסקה:
א. הגדרה וביצוע של בדיקות רקע תקופתיות בהתאם לרמת הרגישות/הקריטיות של התפקיד/רמת הנגישות הצפויה.
ב. מתן הנחיות הגנת מידע וסייבר (כתובות ובע"פ) לכל משתמש ביומו הראשון בעבודה.
ג. וידוא תקופתי כי המשתמש עומד בדרישות ההכשרה המקצועית ודרישות הגנת המידע והסייבר. יש לוודא כי ברשות הארגון תהליך משמעתי (Disciplinary process) תומך למקרה של הפרה.
ד. החתמה תקופתית של המשתמש על הצהרה לשמירת סודיות ומניעת תחרות.
ה. החתמה תקופתית של המשתמש על התחייבות לעמידה בדרישות הגנת מידע וסייבר של הארגון, לרבות תנאי שימוש מקובלים (AUP – Acceptable Use Policy).
ו. החתמה תקופתית של המשתמש על התחייבות לשמירה על זכויות קניין של הארגון וגורמי צד שלישי.
ז. שמירה על המסמכים שעליהם חתם המשתמש במסגרת עבודתו לתקופה של שנתיים לפחות מיום סיום ההעסקה.
3. הארגון וידא כי ביצע את הצעדים הבאים במסגרת החלפת תפקידים:
א. הסרת הרשאות ישנות או מחיקת חשבון משתמש ישן (המחיקה עדיפה, לאור הקושי של ארגונים רבים לבצע הסרה רוחבית של הרשאות).
ב. מתן הרשאות חדשות, בהתאם לנוהל מתן הרשאות.
ג. טיפול בחשבון גישה מרחוק לרשת הארגונית, במידת הצורך.
ד. החזרת ציוד מחשובי, בהתאם לצורך.
ה. החזרת ציוד כללי, בהתאם לצורך.
ו. עדכון הרשאות הגישה הפיזיות של המשתמש, בהתאם לצורך.
ז. הדרכות ייעודיות לתפקיד החדש, בהתאם לדרישות אבטחת מידע מתפקיד זה.
ח. בחינת הצורך בביצוע בדיקות רקע חוזרות ו/או מחמירות יותר.
ט. החתמה חוזרת של המשתמש על הצהרה לשמירה על סודיות ומניעת תחרות.
י. החתמה חוזרת של המשתמש על התחייבות לעמידה בדרישות הגנת מידע וסייבר של הארגון, לרבות תנאי שימוש מקובלים.
יא. החתמה חוזרת של המשתמש על התחייבות לשמירה על זכויות קניין של הארגון וגורמי צד שלישי.
יב. שמירה על המסמכים שעליהם חתם המשתמש במסגרת עבודתו לתקופה של שנתיים לפחות מיום סיום ההעסקה.
4. הארגון וידא כי ביצע את הצעדים הבאים בסיום העסקת משתמש:
א. השהיית חשבון הגישה של המשתמש ליעדי ההגנה, ומחיקתו לאחר תקופה מוגדרת.
ב. סגירת חשבון הגישה מרחוק לרשת הארגונית.
ג. החזרת ציוד מחשובי.
ד. החזרת ציוד כללי, בדגש על תג כניסה.
ה. העברת הודעות דוא"ל באופן אוטומטי לממונה על המשתמש שעוזב או גורם מוסמך אחר.
ו. החתמה חוזרת של המשתמש על הצהרה לשמירה סודיות ומניעת תחרות.
ז. החתמה חוזרת של המשתמש על התחייבות לעמידה בדרישות הגנת מידע וסייבר של הארגון, לרבות תנאי שימוש מקובלים.
ח. החתמה חוזרת של המשתמש על התחייבות לשמירה על זכויות קניין של הארגון וגורמי צד שלישי.
ט. שמירה על המסמכים שעליהם חתם המשתמש במסגרת עבודתו לתקופה של שנתיים לפחות מיום סיום ההעסקה.</t>
  </si>
  <si>
    <t>5. הארגון וידא כי ביצע את הצעדים הבאים לפני העסקת משתמש:
א. ביצוע בדיקת מהימנות לבעלי תפקיד רגיש/קריטי או גורמים בעלי רמת נגישות גבוהה. דוגמה ליישום: מבחן 300.
ב. ביצוע בדיקת רקע בקרב ממליצים.
6. הארגון וידא כי ביצע את הצעדים הבאים במסגרת תהליך ההעסקה:
א. ביצוע בדיקות מהימנות תקופתיות בהתאם למסגרת הזמן הבאה: כל X שנים למשתמשים רגילים, כל Y לבעלי תפקיד רגיש/קריטי או גורמים בעלי רמת נגישות גבוהה.
ב. ביצוע הדרכות תקופתיות בהתאם לצורך, תוך התייחסות לנושאים מקובלים, כגון: דרישות חוק ורגולציה, דרישות חוזיות וצרכים עסקיים; מדיניות הגנת מידע וסייבר; שיטות עבודה; פרופיל הסיכונים הארגוני; תהליכים עסקיים רלוונטיים; תחומי האחריות של המשתמשים; וטכנולוגיות אבטחה עיקריות הקיימות בארגון.
7. הארגון וידא כי ביכולתו להטיל סנקציות אפקטיביות נגד משתמשים שביצעו עבירת סייבר (לרבות עיגון חוזי שלהן עם משתמשים וכן ספקים/כל צורות ההעסקה).</t>
  </si>
  <si>
    <t>8. הארגון וידא כי ביצע את הצעדים הבאים במסגרת תהליך ההעסקה:
א. ביצוע בדיקות מהימנות תקופתיות בהתאם למסגרת הזמן הבאה: כל ארבע שנים למשתמשים רגילים, כל שנתיים לבעלי תפקיד רגיש/קריטי או גורמים בעלי רמת נגישות גבוהה.
ב. בחינת בקיאות שנתית של המשתמש בנושאים רלוונטיים להגנת מידע וסייבר.
9. הארגון וידא כי ביצוע טכני של שינויים בהרשאות/הגדרות של חשבונות רגישים/קריטיים או בעלי נגישות גבוהה מחייב אישור סימולטני של שני גורמים בלתי תלויים (Dual Control). דוגמה ליישום: הקמת Domain Admin מחייבת הרשאה של מנהל מערכות המידע (CIO), ואילו מתן ההרשאות הגבוהות מחייב הרשאה של ממונה הגנת המידע והסייבר בארגון (CISO).</t>
  </si>
  <si>
    <t>3. הארגון וידא כי אחת לשנה לפחות כל המשתמשים מקבלים הדרכה מרוכזת, הכוללת התייחסות לשימוש נאות במידע, כללי הגנת המידע והסייבר בארגון, וסקירת איומים פנימיים וחיצוניים - לרבות מקרים/תגובות.
4. הארגון וידא כי הוא מתאים את הדרכות הגנת המידע והסייבר לפרופיל העיסוק של המשתמש, לקהל היעד ולאיומים הרלוונטיים. לדוגמה: הדרכות למתכנתים לגבי נושאי פיתוח מאובטח, הדרכות ייעודיות למנהלי עבודה בכירים ולדירקטוריון.
5. הארגון וידא כי הוא עושה שימוש בכרזות/שילוט/שומר מסך (Screen Saver) וכדומה לקידום מודעות העובדים לנושא הגנת מידע וסייבר.</t>
  </si>
  <si>
    <t xml:space="preserve">עקרונות מנחים לביצוע תרגילים:
1. מומלץ לבחון את מתודת מערך הסייבר לביצוע תרגילים - "תרגול בסייבר - בנייה ועריכה של תרגילי סייבר לארגון".
2. יש לוודא כי נעשה שימוש ב-BIA הארגוני לשם מיפוי תהליכי ליבה.
3. יש לוודא במסגרת התרגיל כי הגורמים הרלוונטיים מצליחים להבטיח פגיעה מינימלית בתהליכים העסקיים עד לחזרה למצב שגרה בלתי מפוקח.
4. יש לוודא כי לתרחיש נלווה סיפור מסגרת, תוך שימוש בטרמינולוגיה ודילמות עסקיות המוכרות לגורמים המשתתפים, וזאת כדי לדמות מצב ריאלי.
5. יש לוודא כי במסגרת התרגיל מוזרמים אירועי "רעש", כדי לבחון את יכולת המתורגלים להתמודד עם מצבי אי וודאות. לדוגמה: אירוע שהמחולל האמיתי שלו (סייבר/קינטי/תפעול וכד') אינו ידוע בשלבים הראשונים.
6. יש לוודא כי במהלך התרגיל מבוצעות התאמות, וזאת בהתאם לשאלות וההחלטות שמתקבלות תוך כדי תנועה.
7. יש לוודא מילוי של כל הוראות הבטיחות והביטחון בכל תרגיל.
8. יש לשקול שילוב של תרגילים שבהם המחולל האמיתי אינו סייבר, וזאת לשם תרגול יכולת הארגון לבצע אבחון אפקטיבי של תקלות ושיבושי תפקוד.
9. לרוב, השימוש בסימולטור מהווה אימון לשימור מיומנויות, ולא תרגיל.
10. יש לוודא כי בארגון קיים נאמן סייבר אשר השתלם בהעברת תרגיל סייבר שולחני לרמת ההנהלה.
11. במסגרת התרגיל יש להתייחס למצבי קיצון, דוגמת:
- תקשורת חלקית בין המשתתפים.
- אין תקשורת בין המשתתפים.
- אירוע בטיחות שנובע מהצלחת תקיפת סייבר.
- גורם מקצוע חיוני אינו זמין.
- היעדר פרטי גישה ליעדי הגנה חיוניים.
</t>
  </si>
  <si>
    <t>1. בניגוד לגישה הרווחה בציבור, סביבת OT עשויה להכיל מידע רגיש/חסוי. לדוגמה: באמצעות השגת מרשם התהליך (Playbook), מתחרה עסקי יכול לשכפל את המוצר - ובכך הארגון עלול לאבד יתרון תחרותי.
2. יש לוודא כי דרישות המדיניות נאכפות במסגרת פעולות האבטחה בארגון, דוגמת תרגילים ומודעות עובדים.
3. תקיפות רבות נגד ארגונים העושים שימוש בסביבת OT מתחילות בפגיעה בשרשרת האספקה. דוגמה שכיחה לכך היא החלפת קובצי ההתקנה באתר האינטרנט של יצרן ה-OT (ו/או הספק מטעמו) בקבצים "מטופלים", לרבות שימוש בחתימה דיגיטלית לגיטימית על הקבצים.
4. יש לוודא כי הארגון הגדיר מבעוד מועד את ערך סטיית השעון המותר והמצופה בין רכיבי רשת ה-OT לבין עצמם, ובינם לבין העולם. כמו כן, יש לוודא כי קיימת הפרדה בין מערך השעון המשרת את סביבת ה-IT לבין זה של סביבת ה-OT.
5. חשוב מאוד לרתום את מהנדסי הבקרה לשיפור רמת הגנת המידע והסייבר.
6. יש לוודא כי ברשות הארגון רשימת פרטי קשר עדכנית של הגורמים המעורבים (לרבות ספקים וגורמי חוץ). יש לשים לב כי חלוקת האחריות בין הגורמים השונים בתחום ה-OT שונה לעתים מזו שקיימת בתחום ה-IT.
7. יש לוודא כי הסכמי ההתקשרות עם ספקים כוללים דרישות טרום התקשרות בתחום הגנת מידע וסייבר. ההסכמים צריכים לכלול גם עיגון משפטי לנושאים שכיחים, דוגמת עמידת הספק בסטנדרטים מקובלים.
8. הגנה על סביבת OT מחייבת ידע ייחודי, שאינו קיים בקרב רבים מגורמי הגנת המידע והסייבר. לאור זאת, יש לבחון את התאמת הגורמים השונים, ולבצע הכשרות מתאימות בהתאם לצורך.
9. יש לוודא כי מודיעין סייבר כולל התייחסות לסביבת ה-OT.
10. יש לתת את הדעת על כך שגם בארגונים שאינם עוסקים בפעולות ייצור ובקרה ישנן מערכות OT, דוגמת HVAC. לאור זאת, מדיניות האבטחה צריכה לכלול להתייחסות לנושא זה.
11. יש לוודא כי קיים שעון זמן מהימן ובלתי תלוי המשרת את סביבת ה-OT.</t>
  </si>
  <si>
    <t>1. יש לוודא כי תכנון מערך ההגנה מתבצע רק לאחר בניית Threat Modeling לסביבה.
2. יש לשלב בתכנון מערך ההגנה את היצרן וגורמי מקצוע רלוונטיים (דוגמת יועצי הגנת סייבר עם מומחיות ב-OT וממונה בטיחות).
3. יש לוודא כי אמצעי ההגנה מותאמים לסביבת ה-OT של הארגון, דוגמת תמיכה בסוג ובגרסאות של הפרוטוקולים שבהם משתמש/ישתמש הארגון.
4. יש לשים דגש על אבטחה פיזית של מתחם ה-OT, כך שגורמים לא מורשים לא יוכלו לקבל גישה ליעדי ההגנה בסביבה זו.
5. יש לקבל את אישור לתכנון מערך ההגנה מממונה הבטיחות.
6. יש לשלב את מהנדס התהליך באפיון ויישום מערך ההגנה.
7. יש לכלול בתפיסת ההגנה ציד איומים בסביבת ה-OT, שייערך באופן תקופתי.
8. יש לוודא שצוות התפעול מקבל הדרכות ותרגולים שוטפים, כך שהוא מסוגל לספק מענה אפקטיבי לאירועי הגנת מידע וסייבר.
9. יש לוודא כי שרת הממשקים מופרד לוגית משאר ציוד ה-OT (דוגמת VLAN).
10. יש לוודא כי רמת ההגנה של הארכיטקטורה נבחנת בהתאם למתודולוגיות מקובלות, דוגמת:
• Hazard Identification and Risk Assessment (OSHA) \ HIRA (Hazard Identification and Risk Analysis)
• Fault Tree Analysis (FTA)
• Root Cause Analysis (RCA)
• MITRE ATT&amp;CK
11. מומלץ לבחון את הפעלת מנגנוני ההגנה המובנים בציוד ה-OT.
12. יש להעדיף שימוש בדיודה חד-כיוונית לשם הפרדה בין סביבת ה-OT לסביבות אחרות.
13. אין לאפשר גישה מסביבת ה-OT לאינטרנט.
14. יש לוודא כי מתבצע זיכוי של קבצים אשר נכנסים לסביבת ה-OT, לרבות הקושחה (Firmware). עם זאת, מערכות הלבנה מסורתיות מתקשות לגלות ולזהות איומים בקובצי תוכנה וקושחה, ולפיכך נדרש לוודא כי קיים מענה הגנתי מתאים.
15. יש לוודא כי כל הקבצים בכל יעד חדש (לרבות הקושחה) עוברים איפוס (Zeroing), ורק לאחר מכן מותקנים רכיבי תוכנה ממקור מהימן.
16. יש לוודא כי מערכת מצלמות במעגל סגור מתעדת 24/7 יעדי הגנה רגישים/קריטיים, דוגמת מכונות הייצור, עמדת המהנדס, אמצעי הבטיחות וממשקי אדם מכונה (HMI).
17. יש לוודא כי ביעדי ההגנה קיים חשבון ייחודי ואישי לכל משתמש, וכי אם הדבר ישים נעשה שימוש ב-MFA.
18. יש לאמץ עקרונות של הגנה שקטה, כדי לצמצם את ההשפעה האפשרית על סביבת ה-OT.
19. יש לבצע בקרה מתמשכת ורציפה ברמת הסנסורים וציוד הייצור והבקרה (דוגמת משאבה).
20. יש לוודא כי ברשות הארגון עמדות קצה אשר ממודרות ומנותקות בשגרה מהרשת, וכי ניתן להשתמש בהן לצורך התאוששות בזמן חירום.
21. יש לוודא כי ההרשאות לשינוי Setpoints מוקנות בהתאם למדרג הרשאות שהולם את אופי הפעילות של המשתמש. לדוגמה: מפעיל המערכת יוכל לבצע שינוי בטווח טמפרטורה מינימלי (פלוס/מינוס 5 מעלות צלסיוס מערך המקור), ואילו מהנדס הבקרה יוכל לבצע שינויי בטווחי טמפרטורה נרחבים יותר (פלוס/מינוס 30 מעלות צלסיוס מערך המקור). 
22. יש לוודא כי עמדות הקצה כוללות רכיבי תוכנה ורישוי מתאים, שכשירותם נבחנת באופן תקופתי.
23. יש לוודא כי משתמשים אינם מחברים ליעדי ההגנה ציוד פרטי (דוגמת חיבור טלפון נייד לשם טעינתו).
24. יש לוודא כי מוחלים עדכוני אבטחה (פאצ'ים) באופן תקופתי.
25. יש להקצות תשומות מתאימות לקבלת תמיכה מרחוק במקרה הצורך. ככלל, אין לאפשר גישה מהאינטרנט לארגון, אלא להשתמש ב-APN סלולרי ו-VPN או בפתרון מקביל.
26. מצופה מארגונים בוגרים כי הם ישתתפו כחברים פעילים בקבוצות עבודה מקומיות ובינלאומיות, העוסקות בפיתוח תקנים ומתודות לשיפור רמת ההגנה של מוצרים וסביבות OT.</t>
  </si>
  <si>
    <t>1. יש לקבל אישור לפתרון ממהנדס התהליך.
2. יש לקבל אישור לפתרון מממונה הבטיחות.
3. יש לפנות לפרק "איתור (DETECT) – בקרת ניטור מערכות ייצור ובקרה".
4. במערכות דוגמת DCS, מערכת הבטיחות (SIS) היא אינטגרלית לעתים, ולפיכך אינה מופיעה כיישות עצמאית.
5. יש לכלול בתרגילים התמודדות עם אירועים הנובעים מתקלות/אירועי סייבר בסביבת הייצור והבקרה, וזאת תוך התייחסות לתהליכי בטיחות אפשריים. דוגמהות ליישום: מערכת הבטיחות (SIS) מכבה את תהליך הייצור והבקרה ללא סיבה ממשית; מערכת הבטיחות מונעת יישום של תהליך חירום במצב אמת.
6. יש לוודא כי לגורמים בלתי מורשים אין גישה למתחם מערכת הבטיחות (SIS).
7. יש לוודא כי מתחם מערכת הבטיחות (SIS) מנוטר 24/7 על ידי מערכת מצלמות במעגל סגור.
8. בשנים האחרונות החלו תוקפים לנצל לרעה את היכולות המובנות במערכת הבטיחות (SIS) לשם השבתת תהליך הייצור והבקרה, וזאת מאחר שארגונים רבים אינם מיישמים בקרות הגנה נאותות.
9. בקרה רציפה ומתמשכת ברשת בקרה וייצור שונה מזו של IT, וזאת בשל כמה סיבות: ההשפעה הישירה על המרחב הפיזי; הצורך לשמור על בטיחות; קיומם של פרוטוקולים שונים (אשר חלקם Legacy); שילוב של ציוד אנלוגי ודיגיטלי; וחשיבות הבנת התהליך לשם איתור חריגות לפני שהסיכון בטרם יתממש בפועל.
10. ניטור ברשתות בקרה שונה מניטור יעדי הגנה רגילים, מאחר שסף הרגישות נמוך יותר: כל חריגה מהיקף התקשורת הרגיל בין הבקרים לממשקי הניהול והחיישנים עלולה להצביע על אירוע סייבר פוטנציאלי, מאחר שהפעילות רציפה ומונוטונית בסביבות אלו.
11. יש לוודא כי גם במקרה של תקיפת מערכת ה-SIS עד לכדי השתלטות מלאה עליה, יש אמצעי אבטחה/בטיחות בלתי תלויים המאפשרים למנוע פגיעה בחיי אדם וברכוש. דוגמה ליישום: בעת עבודה עם ריאקטור ייעשה שימוש במכל פריקה המבוסס על וסת לחץ מכני, כך שגם במקרה של עליית לחץ חריגה שמערכת ה-SIS אינה יכולה לאתר או לתקן לא ייגרם פיצוץ קינטי.
12. יש לוודא כי מערכת ה-SIS מבודלת/מופרדת משאר יעדי ההגנה, וזאת באמצעות שימוש בעקרונות מקובלים לקיטוע (Segmentation) וגידור (Segregation). יש להעדיף שימוש בבודל חד-כיווני המממש נתק גלווני וזאת בהתאם להמלצות מסמך זה. ראוי לציין כי יש לקבל מיצרנית הפתרון אישור בכתב לאפיון ולארכיטקטורה.
13. יש לוודא כי קיימת קורלציה בין הממצאים שהופקו ממערך הייצור והבקרה לבין ממצאי מערך הבקרה הרציפה והמתמשכת המנטר את הגנת המידע והסייבר. לצורך כך יש לשלב בקרה רציפה ומתמשכת מחוץ לתהליך (OOB).
14. יש לשלב מערך הטעיה והסטה (Daniel &amp; Deception) בסביבת מערכת הבטיחות (SIS), לרבות שימוש במערכת דמה פיזית.
15. יש להעדיף כי מערכת הבטיחות (SIS) תעשה שימוש בסנסורים בלתי תלויים בתהליך הייצור והבקרה, מעבר לשימוש בסנסורים של התהליך עצמו.
16. יש לתת את הדעת על כך שתוקף עלול להשתמש בתקיפת DOS (Denial of Services) כדי "לעוור" את בקר ה-SIS, כך שבמקרה של ביצוע שינויים לא מאושרים בסביבה (דוגמת שינוי Setpoint לערך קיצון) הוא לא יוכל לגלות ולזהות את האירוע החריג ולנקוט פעולות מתקנות בהתאם.
17. חשוב להכיר את יחידות המדידה של מערך הבקרה והייצור. זאת לאור השוני האפשרי בין הרכיבים השונים, שעלול להקשות על גילוי וזיהוי אירוע בטיחות/סייבר.</t>
  </si>
  <si>
    <t>1. יש לפנות לבקרת "חסימת ממשקים/התקנים (דוגמת USB)".
2. יש לפנות לבקרת "אבטחת חיבור יעדי ההגנה לרשת אלחוטית".
3. יש לפנות לבקרת "ארכיטקטורת 'אפס אמון' (Zero-Trust Architecture)".
4. יש לפנות למשפחת הבקרות אשר עוסקת בהגנה פיזית וסביבתית.
5. יש לוודא כי תיעוד פעילות המשתמשים בהתקן ה-IoT/PoS מתבצע בהתאם לחוק הגנת הפרטיות והנחיות רשות הגנת הפרטיות.
6. יש לוודא הצפנה מלאה של הדיסק הקשיח (FDE – Full Disk Encryption) המשרת את התקן ה-IoT. יש לתת עדיפות למשיכת מפתח זמני לפתיחת ההצפנה בזמן אתחול ושמירתו באופן מוצפן וממודר בזיכרון הנדיף (RAM). כך, במקרה של גניבת ההתקן התוקף לא יוכל לגשת למידע ללא פריצת ההצפנה.
7. בתהליכים עסקיים רגישים (דוגמת קבלה/העברה של כסף) יש לוודא כי קיימת התאמה בין פרטי הלקוח המזדהה מול התקן ה-IoT/PoS לבין זהותו כפי שהיא מופקת ממערכת המצלמות. 
8. יש לשים לב לכך שקיים מתאר איומים ייחודי נגד התקני IoT/PoS, ולפיכך נדרש להתייחס בתהליך ניהול הסיכונים לסוגיות מיוחדות לעולם תוכן זה.
להלן מספר דוגמהות שכיחות לאיומים נגד התקני IoT/PoS:
א. צריכת יתר של סוללה עקב פעילות תוקף (Sleep Deprivation).
ב. כיפוף תעבורה, כך שתעבור דרך יעד הגנה אשר נמצא תחת שליטת תוקף (Sinkhole Schemes).
ג. שכפול קוד אימות בעת עבודה עם Keyless (דוגמת שלט של רכב).
ד. שיבוש פעילות סנסורים לשם הטיית תהליך קבלת ההחלטות.
ה. חיבור אמצעי פיזי לשם גניבה/שכפול אמצעי תשלום (דוגמת Credit Card Skimming).
ו. Wormhole Attack
ז. Selective Forwarding Attack
ח. Sybil Attack
ט. Signature Wrapping Attack
י. RF Jamming Attack
יא. Fake Node Injection Attack
יב. Sleep Denial Attack
יג. Node Tampering Attack
9. יש להעדיף לעשות שימוש בהתקני IoT/PoS העומדים בדרישות תקינה מקובלת, דוגמת תקן UL 2900 או PCI.
10. יש לוודא כי לאמצעי האבטחה יש תאימות לפרוטוקולים שכיחים בעולם ה-IoT, דוגמת:
א. Infrastructure (ex: 6LowPAN, IPv4/IPv6, RPL)
ב. Identification (ex: EPC, uCode, IPv6, URIs)
ג. Comms / Transport (ex: Wifi, Bluetooth, LPWAN)
ד. Discovery (ex: Physical Web, mDNS, DNS-SD)
ה. Data Protocols (ex: MQTT, CoAP, AMQP, WebCSOC - Cyber Security Operations Centerket, Node)
ו. Device Management (ex: TR-069, OMA-DM)
ז. Semantic (ex: JSON-LD, Web Thing Model)
ח. Multi-layer Frameworks (ex: Alljoyn, IoTivity, Weave, Homekit)</t>
  </si>
  <si>
    <t>1. הארגון וידא כי תהליך ניהול הסיכונים כולל התייחסות לעבודה עם התקני IoT ולהשלכות הנגזרות מכך. יש לשים לב לסיכונים ברמה השנייה, לדוגמה: התקן IoT יכול להיות חלק ממערכת ה-HVAC בארגון, אשר כשלעצמה לא עשויה להיות בעלת חשיבות גבוהה, אך העובדה כי היא אחראית לקירור חדר השרתים יכולה להפוך אותה ליעד תקיפה מועדף.
2. הארגון וידא כי כמות המידע המאוחסן במנוחה בהתקן IoT היא מינימלית.</t>
  </si>
  <si>
    <t xml:space="preserve">12. הארגון וידא כי הוא משתמש בארכיטקטורה מקובלת לגילוי וזיהוי התקני IOT (לדוגמה:MUD (Manufacturer Usage Description, RFC 8520. על הארכיטקטורה ליישם אמצעי ממוכן המאפשר איתות לרשת מהו פרופיל הגישה הנדרש עבור ההתקן, ומהן פונקציונליות הרשת החיוניות לפעולתו התקינה. 
13. הארגון וידא כי הוא אינו מאפשר להתקני IoT גישה לאתר היצרן. דוגמה ליישום: שינוי הגדרות קבלת העדכונים ומניעת יציאה של תעבורה ב-FW הארגוני.
14. הארגון וידא כי במקרה של היעדר כוח מחשוב ו/או מגבלת סוללה, הוא עושה שימוש ב-Lightweight X.509 Digital Certificates או בשיטת אימות חזקה אחרת לגילוי זיהוי התקנים, וזאת כדי לצמצם את האפשרות להכנסת התקנים לא מורשים/מזויפים.
15. הארגון וידא כי הוא מסתמך על Codecs בצד שרת לפענוח המידע, ולא מאפשר שימוש ב-Codecs מצד לקוח.
16. הארגון וידא כי התקני ה-IoT מקבלים את הלוגיקה/הגדרות המערכת ממערכת שליטה ובקרה מרכזית, וכי הלוגיקה/הגדרות המערכת אינן ניתנות לשינוי מההתקן עצמו. 
דרישות ייחודיות לאבטחה פיזית (בנוסף לסעיפים ברמה מתפתחת):
17. הארגון וידא כי ברשותו מערכת מצלמות במעגל סגור המבצעת תיעוד אפקטיבי (ביום ובלילה) של פעילות המשתמשים/הלקוחות מול התקני ה-IoT העוסקים בתהליכים מוגנים/קריטיים (דוגמת סליקת כרטיס אשראי). 
18. הארגון וידא כי מערכת המצלמות במעגל סגור מסוגלת לאתר באופן אפקטיבי וללא צורך בהתערבות אנושית (ביום ובלילה) שינויי מבנה לא מאושרים בהתקני ה-IoT (דוגמת התקנת Skimmer), וזאת במקביל לשליחת התרעה למנהל המערכת ב"זמן אמת" (Real Time) או לכל הפחות "קרוב לזמן אמת" (Near Real Time). 
דרישות להגנה על קורנים/ממשקי אלחוט (בנוסף לסעיפים ברמה מתפתחת):
19. הארגון וידא כי הוא מפרסם שם רשת פיקטיבי (Fake SSID) ומשתמש באמצעים מקובלים (דוגמת WIPS) לגילוי, זיהוי וחסימת ניסיונות גישה לא מורשים. </t>
  </si>
  <si>
    <t>1. יש למפות צמתים מרכזיים שיש צורך להטמיע בהם אמצעי לסינון תעבורה ו/או תכנים.
2. ארכיטקטורת ההגנה צריכה לאפשר צמצום של מעורבות אנושית למינימום, וזאת תוך תיעוד כל ההתנהלות ביעדי ההגנה על רצף הזמן (Timeline).
3. יש לוודא כי ארכיטקטורת ההגנה מתוקפת מול בנק תרחישי תקיפה, אשר נגזרים בתורם מפרופיל הסיכונים הארגוני.
4. יש לוודא כי ארכיטקטורת ההגנה מיישמת תפיסה של חסימה כברירת מחדל (Deny by Default).
5. יש לוודא כי הגישה לניהול יעדי ההגנה מוגבלת למורשים בלבד, וזאת תוך שילוב מעגלי אבטחה שונים. דוגמה ליישום: נגישות לרשת הניהול, כתובת IP מורשית לגישה ליעד ההגנה ו-MFA מוצלח.
6. יש לוודא כי אין אפשרות לגשת לניהול יעדי ההגנה ישירות מהאינטרנט.
7. יצרני הפתרונות בשוק (לרבות ספקי ענן ציבוריים) מציעים מסמכי עזר, הכוללים תרשימים והמלצות לבניית ארכיטקטורה (Reference Architectures). מומלץ להסתייע במסמכים אלו כדי לוודא מיצוי מקסימלי של יכולות ההגנה.
8. יש לוודא כי ארכיטקטורת ההגנה כוללת התייחסות לסנכרון זמן, וזאת לאור העובדה כי פעמים רבות  נושא זה זוכה להתייחסות רק לאחר שלב היישום.
9. יש לוודא כי ארכיטקטורת ההגנה כוללת יישום של יעדי הגנה ביתירות, כך שכשל ביעד הגנה לא יגרור פגיעה בתקינות התהליכים העסקיים (Fail-Safe).
10. יש לוודא כי ארכיטקטורת ההגנה אינה מאפשרת מצב שבו כשל באמצעי אבטחה גורם ליצירה של פערי אבטחה, דוגמת העברת תעבורה ללא סינון מתאים (Fail-Close).
11. יש לוודא כי ארכיטקטורת ההגנה כוללת התייחסות לנושאים ייחודיים לסביבה וירטואלית. לדוגמה:
א. בעת עבודה עם Hypervisor יש לוודא כי:
- כרטיס הרשת מוגדר לעשות שימוש בפונקציונאליות הבאה: Network Partitioning (NPAR) and Single-Root I/O Virtualization (SR-IOV).
- נעשה שימוש ב-Hypervisor מסוג 2 (Bare metal).
ב. נעשה שימוש ב-Tags לשם ניהול יעדי ההגנה.
ג. ישנה תאימות בין אמצעי האבטחה לסביבה הווירטואלית.
12. יש לוודא כי כרטיסי הרשת תומכים ביכולות שליטה ובקרה עדכניות מעולם ה-QoS. לדוגמה:
א. IEEE 802.1Qbb Priority Flow Control (PFC).
ב. IEEE 802.3x Flow control with Pause frames.
13. להלן דוגמהות ליעדים שיש להגן עליהם:
א. DNS.
ב. DHCP .
ג. IAM\IDM.
ד. PNT (Positioning, Navigation and Timing).
ה. Spanning Tree Protocol (STP).
ו. SASE\VPN.
ז. WINS (מומלץ להחליף את הפתרון הזה בפתרון עדכני יותר).
ח. פרוטוקולי ניתוב (Routing Protocols).
ט. ציוד תקשורת.
י. מערך גיבוי ואחסון (לרבות שרתי קבצים).
יא. שירותי ענן ציבוריים.
יב. שרתי אפליקציה ומסדי נתונים.
יג. אמצעי אבטחת מידע.</t>
  </si>
  <si>
    <t>1. כללי:
א. הארגון וידא כי יעדי ההגנה אינם יכולים לבצע תשאול שמות חיצוני (דוגמת DNS Query) באופן ישיר, וכי הם נדרשים לפנות לשרת מוסמך לשם ביצוע הפעולה (דוגמת שרת DNS ארגוני).
ב. הארגון וידא כי יעדי ההגנה מסונכרנים עם שעון הזמן העולמי, וזאת תוך שימוש בפרוטוקולים מקובלים ועדכניים.
ג. הארגון וידא כי יש הפרדה בין פונקציונליות משתמש לשירותי הניהול של הרשת.
2. התמודדות עם נוזקות:
א. הארגון וידא כי הוא יישם מסנני תעבורה לשם גילוי, זיהוי וסיכול פעילות נוזקות. לדוגמה: סריקה לשם גילוי, זיהוי וסיכול נוזקות בעת קבלת דוא"ל.
ב. הארגון וידא כי הוא יישם אמצעי אבטחה מקובלים לשם גילוי, זיהוי וסיכול של פעילות נוזקות ביעדי ההגנה. דוגמה ליישום: שימוש ב-EPP\ESP.
3. הארגון וידא כי הוא יישם אמצעי אבטחה העושים שימוש במודיעין סייבר לשם גילוי, זיהוי וסיכול פעילות נוזקות. 
4. תקשורת נתונים:
א. הארגון וידא כי התעבורה בין יעדי ההגנה/העולם אינה אפשרית כברירת מחדל (Default Deny).
ב. הארגון וידא כי הוא יישם עקרונות קיטוע (Segmentation) וגידור (Segregation) מקובלים לשם צמצום משטח התקיפה (Attack Surface) ועמידה בעקרון צמצום הרשאות גישה (Least Access Privilege). יש לוודא כי הארגון שולט בצומתי תקשורת מרכזיים ומנטר אותם.
ג. הארגון וידא כי קיימת הפרדה לוגית או פיזית בין ממשקי הניהול לבין ממשקים המשרתים את המשתמשים. יש להעדיף רכש של יעד הגנה הכולל פורט חומרתי ייעודי לניהול (OOB). 
ד. הארגון וידא כי הוא יישם אמצעים מקובלים להתמודדות עם התקפות למניעת שירות (DOS/DDoS) במבואות לרשת ציבורית.
ה. הארגון וידא כי הוא לא עשה שימוש בכתובות IP ציבוריות ביעדי הגנה שנועדו לשרת משתמשים פנים-ארגוניים.
ו. הארגון וידא כי הוא לא עושה שימוש ב-NAT בין יעדי הגנה פנימיים.
ז. הארגון וידא כי הוא יישם מסנני תעבורה לשם גילוי, זיהוי וסיכול תעבורה לא מורשית (בין שהיא מוצפנת או לאו). דוגמה ליישום: סינון תעבורה באמצעות FW.
ח. הארגון וידא כי הוא יישם מנגנונים המסננים תעבורה לצורך גילוי, זיהוי וסיכול תקיפות ידועות. דוגמה ליישום: שימוש ב-IPS.
ט. הארגון וידא כי הוא יישם מנגנונים המסננים תעבורה שאינה תואמת את מבנה/סוג הפרוטוקול שבו משתמשת אפליקציה (הגנה מפני שימוש לרעה בפרוטוקולים לגיטימיים). דוגמה ליישום: תעבורת FTP העושה שימוש ב-TCP 80 תיחסם באמצעות FW הכולל את המודולים Application Control ו-IPS.
י. הארגון וידא כי הוא יישם מנגנונים המסננים קבצים שאסור להעבירם בתווך. דוגמה ליישום: קובץ DOC יוכנס לרשת הארגון בכפוף לעמידה בהצלחה בבדיקה כי אכן מדובר בקובץ DOC אמיתי (ולא EXE מתחזה, למשל), וכי מדובר בקובץ המופיע ב-Allowlist.
יא. הארגון וידא כי הוא יישם אמצעי אבטחה לשם גילוי, זיהוי וסיכול תעבורה לא מורשית. דוגמה ליישום: שימוש ב-Personal Firewall.
יב. הארגון וידא כי לא ניתן לשנמך את גרסת הפרוטוקול שבו נעשה שימוש (Downgrade Attack).
יג. הארגון וידא כי מידע רגיש/חסוי אינו מועבר באופן גלוי (Cleartext) בתווך.
יד. הארגון וידא כי לא מתבצעת העברת מידע לא מורשית או לא מכוונת דרך משאבי מערכת משותפים.
טו. הארגון וידא כי  נעשה שימוש בכתובות רשת נפרדות (תת-רשת שונה) עבור שירותים וצרכנים שונים.</t>
  </si>
  <si>
    <t>5. כללי:
א. הארגון וידא כי הוא החיל ארכיטקטורה המומלצת על ידי היצרן. דוגמה ליישום: בעת עבודה עם סביבת Web ייעשה שימוש בארכיטקטורת 3 Tiers. דוגמה נוספת: גישת משתמשים לתיבות הדוא"ל תתאפשר באמצעות שימוש בשתי שכבות נפרדות (Frontend and Backend), כך שהגישה לתיבה לא תהיה ישירה.
ב. הארגון וידא כי מימש מנגנונים מקובלים להתמודדות עם דלף מידע.
6. התמודדות עם נוזקות:
א. הארגון וידא כי הוא משתמש באמצעי אבטחה של יצרנים שונים לשם התמודדות עם נוזקות.
7. תקשורת נתונים:
א. הארגון וידא כי הוא תיעדף את התעבורה ברשות התקשוב בהתאם לדרישות העסקיות. דוגמה ליישום: שימוש ב-QoS.
ב. הארגון וידא כי גורמים לא מורשים אינם מסוגלים לספק מידע Layer 2 כוזב ליעדי ההגנה. דוגמה ליישום: שימוש ב- BPDU Guard.
ג. הארגון וידא כי גורמים לא מורשים אינם מסוגלים לספק מידע Layer 3 כוזב ליעדי ההגנה. דוגמה ליישום: שימוש ב-DHCP Snooping.
ד. הארגון וידא כי הוא יישם מנגנונים המסננים תעבורה שאינה תואמת את מבנה/סוג התוכן המותר לשימוש. דוגמה ליישום: קובץ XML יוכנס לרשת הארגון בכפוף לעמידה בהצלחה בבדיקה כי הסכמה (Scheme) ותוכן שדות התוכן שלו תואמים למבנה שמוגדר ב-Allowlist. ניתן למימוש על ידי XML FW המממש XSD Filter.
ה. הארגון וידא כי הוא יישם מנגנונים לשמירה של שלמות ומהימנות (Integrity) המידע העובר בתווך. דוגמה ליישום: שימוש ב-SMB Signing או HMAC.
ו. הארגון וידא כי מערך התקשורת אינו מאפשר שינוי אוטומטי של הגדרות תצורה אצל משתמשים. דוגמה ליישום: יש לוודא כי הגדרות התצורה הבאות לא הוחלו במתגי התקשורת המספקים שירות משתמשים (DTP - Dynamic Trunking Protocol): "Dynamic Desirable", "Dynamic Auto", or "Trunk".</t>
  </si>
  <si>
    <t>8. כללי:
א. הארגון וידא כי יעדי ההגנה (לרבות אמצעי ההגנה) כוללים יכולות יתירות מובנות. דוגמה ליישום: שימוש באשכול שרתים (Cluster).
9. התמודדות עם נוזקות:
א. הארגון וידא כי הוא יישם אמצעי אבטחה מקובלים לשם גילוי, זיהוי וסיכול פעילות של נוזקות לא מוכרות ביעדי ההגנה. דוגמה ליישום: שימוש ב-EDR\XDR.
ב. הארגון וידא כל יעדי ההגנה מספקים למערך ההגנה מדדים/מידע רלוונטיים.
ג. הארגון וידא כי אמצעי האבטחה שברשותו מאפשרים גילוי, זיהוי וסיכול של נוזקות באמצעות שימוש בתהליך ממוכן להפצת חתימות ארגוניות. דוגמה ליישום: שימוש באמצעי אבטחה המאפשרים אוטומציה של הפצת חתימות המבוססות על YARA Rules ו-MAEC.
10. תקשורת נתונים:
א. הארגון וידא כי הוא יישם מנגנונים המסננים תעבורה לשם גילוי, זיהוי וסיכול תקיפות שאינן ידועות (Zero-Day). דוגמה ליישום: שימוש ברכיב לגילוי וזיהוי אנומליה.
ב. הארגון וידא כי הוא מממש עקרונות מקובלים להגנה שקטה. דוגמה ליישום: שימוש ב-TAP או ב-Port Mirror לשם בחינת התעבורה.
ג. הארגון וידא כי הוא מסוגל להגדיל את קיבולת התעבורה ללא צורך בביצוע שינויים מהותיים בסביבת העבודה.
ד. הארגון וידא כי לא ניתן לחבר לרשת התקשוב שלו נכסי סייבר שאינם מורשים.
11. תקשורת למערך האחסון:
א. הארגון וידא כי קיימת הפרדה לוגית או פיזית בין ממשקי הגישה של השרתים למערך האחסון לבין ממשקים המשרתים את המשתמשים.</t>
  </si>
  <si>
    <t>12. כללי:
א. הארגון וידא כי ביצוע פעולות תפעול ותחזוקה אינו משפיע על זמינות התהליכים העסקיים.
13. התמודדות עם נוזקות:
א. הארגון וידא כי כל מידע המתקבל מהעולם עובר תהליך בחינה ב-Malware Investigation Pipeline לפני הכנסתו לרשת הארגון.
14. תקשורת נתונים:
א. הארגון וידא כי הוא אינו עושה שימוש ב-STP (Spanning Tree Protocol). דוגמה ליישום: שימוש בארכיטקטורת Spine&amp;Leaf.
ב. הארגון וידא כי קיימת הפרדה פיזית בין ממשקי הניהול לבין הממשקים שמשרתים את המשתמשים. יש לבצע רכש של יעדי הגנה הכוללים פורט חומרתי ייעודי לניהול (OOB). 
15. תקשורת למערך האחסון:
א. הארגון וידא כי קיימת הפרדה פיזית בין ממשקי הגישה של השרתים למערך האחסון לבין הממשקים שמשרתים את המשתמשים.
ב. הארגון וידא כי בעת התחברות שרתים למערך אחסון בתצורת SAN נעשה שימוש בטכנולוגיה שונה מזו שמשרתת את מערך התקשורת ו/או נעשה שימוש בציוד שמקורו ביצרן אחר. דוגמה ליישום: תשתית התקשורת תשתמש בטכנולוגיית IP, ואילו ההתחברות ל-SAN תתבצע באמצעות שימוש ב-FC.
ג. הארגון וידא כי קיימת הצפנת תעבורה מקצה לקצה (End to End Encryption), וזאת באופן השקוף לאפליקציה. מימוש לדוגמה: שימוש בפרוטוקול MACSEC בצד הלקוח (דוגמת עמדת עבודה) עד לשרת המספק את השירותים למשתמשים (דוגמת שרת קבצים).</t>
  </si>
  <si>
    <t>1. אבטחת התקני אחסון ניידים:
א. הארגון וידא כי הוא צמצם את השימוש בהתקני אחסון ניידים למינימום האפשרי.
ב. הארגון וידא כי העובדים אינם עושים שימוש בהתקני אחסון ניידים פרטיים.
2. אבטחת מערך האחסון:
א. הארגון וידא כי ברשותו רשימת מצאי עדכנית של מיקום המידע בארגון (Inventory).
ב. הארגון וידא כי המידע הארגוני נשמר באופן מרכזי.
ג. הארגון וידא כי גורמים עם נגישות נרחבת למערך האחסון ו/או למידע המאוחסן בו הם בעלי רמת מהימנות מתאימה. זאת, לאור העובדה כי גורמים אלו יכולים לגשת למידע בעל רמות סיווג שונות. כמו כן, הארגון וידא כי גורמים אלו עוברים תהליך חוזר של בדיקת מהימנות בתדירות גבוהה יותר ממשתמשים רגילים, וזאת במטרה לצמצם את חלון הזמן לאיתור חריגה מנוהלי העבודה.
ד. הארגון וידא כי הוא נוקט פעולות פרואקטיביות לצמצום כמות המידע במערך האחסון (Data Minimization). דוגמה ליישום: מחיקה תקופתית של מידע היסטורי שאינו נדרש.
ה. הארגון וידא כי הוא קבע והגדיר מכסות לשימוש במשאבי מערך האחסון. דוגמה ליישום: הגבלת Quota לכל משתמש.
ו. הארגון וידא כי הוא קבע והגדיר Allowlist לגבי פורמטים של קבצים (True Type) אשר ניתן לשמור במערך האחסון. דוגמה ליישום: שימוש ב-File Screening.
ז. הארגון וידא כי הוא מנע ממשתמשים את היכולת לשמור מידע באופן מקומי. דוגמה ליישום: שימוש ב-Folder Redirect.
ח. הארגון וידא כי הוא הגביל את הגישה ל-Storage Accounts למורשים בלבד.
ט. הארגון וידא כי משאבים משותפים (דוגמת Shares\Exports) שאין ליעדי ההגנה/המשתמשים הרשאות גישה לתוכן שלהם, מוסתרים.
י. הארגון וידא כי מערך האחסון שמר "תמונת מצב" (Snapshot) של המידע בהתאם לחלונות זמן מוגדרים (דוגמת 5 דקות, 15 דקות, שעה, 3 שעות), כך שניתן יהיה לשחזר קובץ שנמחק או לחזור לגרסה ישנה יותר של קובץ ללא צורך בביצוע הליך שחזור ממערך הגיבוי.
יא. הארגון וידא כי ברשותו תהליך סדור לניהול ומעקב אחר גרסאות (Versions) המידע, לרבות יכולת חזרה לאחר לגרסאות קודמות בעת הצורך.
יב. הארגון וידא כי ברשותו שלושה העתקי מידע זהים, המתעדכנים מול המקור באופן סינכרוני. יש לשמור את ההעתקים במיקום פיזי יחיד, הנמצא באזור הראשי (Primary Zone). דוגמה ליישום: LRS - Locally Redundant Storage.</t>
  </si>
  <si>
    <t xml:space="preserve">3. אבטחת התקני אחסון ניידים:
א. הארגון וידא כי הוא צמצם את השימוש בהתקני אחסון ניידים למינימום האפשרי.
ב. הארגון וידא כי העובדים אינם עושים שימוש בהתקני אחסון ניידים פרטיים.
4. אבטחת מערך האחסון:
א. הארגון וידא כי ברשותו רשימת מצאי עדכנית של מיקום המידע בארגון (Inventory).
ב. הארגון וידא כי המידע הארגוני נשמר באופן מרכזי.
ג. הארגון וידא כי גורמים עם נגישות נרחבת למערך האחסון ו/או למידע המאוחסן בו הם בעלי רמת מהימנות מתאימה. זאת, לאור העובדה כי גורמים אלו יכולים לגשת למידע בעל רמות סיווג שונות. כמו כן, הארגון וידא כי גורמים אלו עוברים תהליך חוזר של בדיקת מהימנות בתדירות גבוהה יותר ממשתמשים רגילים, וזאת במטרה לצמצם את חלון הזמן לאיתור חריגה מנוהלי העבודה.
ד. הארגון וידא כי הוא נוקט פעולות פרואקטיביות לצמצום כמות המידע במערך האחסון (Data Minimization). דוגמה ליישום: מחיקה תקופתית של מידע היסטורי שאינו נדרש.
ה. הארגון וידא כי הוא קבע והגדיר מכסות לשימוש במשאבי מערך האחסון. דוגמה ליישום: הגבלת Quota לכל משתמש.
ו. הארגון וידא כי הוא קבע והגדיר Allowlist לגבי פורמטים של קבצים (True Type) אשר ניתן לשמור במערך האחסון. דוגמה ליישום: שימוש ב-File Screening.
ז. הארגון וידא כי הוא מנע ממשתמשים את היכולת לשמור מידע באופן מקומי. דוגמה ליישום: שימוש ב-Folder Redirect.
ח. הארגון וידא כי הוא הגביל את הגישה ל-Storage Accounts למורשים בלבד.
ט. הארגון וידא כי משאבים משותפים (דוגמת Shares\Exports) שאין ליעדי ההגנה/המשתמשים הרשאות גישה לתוכן שלהם, מוסתרים.
י. הארגון וידא כי מערך האחסון שמר "תמונת מצב" (Snapshot) של המידע בהתאם לחלונות זמן מוגדרים (דוגמת 5 דקות, 15 דקות, שעה, 3 שעות), כך שניתן יהיה לשחזר קובץ שנמחק או לחזור לגרסה ישנה יותר של קובץ ללא צורך בביצוע הליך שחזור ממערך הגיבוי.
יא. הארגון וידא כי ברשותו שלושה העתקי מידע זהים, המתעדכנים מול המקור באופן סינכרוני. יש לשמור את ההעתקים בשלושה מקומות שונים הנמצאים באזור הראשי (Primary Zone). דוגמה ליישום: ZRS - Zone-Redundant Storage.
</t>
  </si>
  <si>
    <t>5. אבטחת התקני אחסון ניידים:
א. הארגון וידא כי ברשותו תיעוד עדכני של מצאי התקני האחסון הניידים, וכי מתבצעת קורלציה בזמן אמת בין התיעוד לבין נתוני אמצעי האבטחה השונים, דוגמת Device Control.
ב. הארגון וידא כי הוא משתמש בהתקני אחסון ניידים במקרים חריגים בלבד.
ג. הארגון וידא כי כאשר חיבור של התקן אחסון נייד ליעד ההגנה לא נחסם, המידע שבו עובר תהליך הצפנה.
6. אבטחת מערך האחסון:
א. הארגון וידא כי ברשותו שלושה העתקי מידע זהים, המתעדכנים מול המקור באופן סינכרוני ונשמרים במיקום פיזי יחיד הנמצא באזור הראשי (Primary Zone) - (LRS - Locally Redundant Storage ). בנוסף, יש ליצור העתק מידע במיקום פיזי יחיד הנמצא באזור משני (Secondary Zone) ומתעדכן באופן אסינכרוני. לבסוף, יש ליצור באזור המשני שלושה העתקי מידע, המתעדכנים מול המקור המקומי באופן סינכרוני. דוגמה ליישום:Geo-Redundant Storage - GRS.
ב. הארגון וידא כי הוא עשה שימוש במערך אחסון בלתי תלוי עבור כל רשת בעלת רמת אמון שונה מהותית מחברתה (דוגמת רשת ה-OT ורשת ה-IT).
ג. הארגון וידא כי מערך האחסון כולל תמיכה ביכולות "מנעול שמירה" (Retention Lock), כך שאי אפשר למחוק מידע שהארגון מחויב לשמור אותו לתקופה נתונה - בין אם עקב רשלנות, טעות אנוש או פעולה בזדון (דוגמת WIPER או מעשה זדוני של איש IT). 
ד. הארגון וידא כי לפני כתיבת מידע חדש למערך האחסון הוא נסרק באמצעות אמצעים מקובלים ועדכניים כדי לוודא שאינו מכיל נוזקות (Malwares). דוגמה ליישום: הגדרת מערך האחסון לעבודה עם מערכת לגילוי וזיהוי נוזקות התומכת בפרוטוקול ICAP בגרסתו העדכנית.
ה. הארגון וידא כי הוא בודק בזמן אמת את מהימנות ושלמות המידע (Integrity) העובר בתווך. דוגמה ליישום: שימוש ב-SMB Signing.
ו.  הארגון וידא כי מידע המשונע למערך האחסון או ממנו מוצפן כברירת מחדל (Data Encryption in Transit).
ז. הארגון וידא כי הוא משתמש בעקרונות מקובלים לביצוע פעולות אחסון  ועיבוד מידע על גבי יעדי הגנה שונים. דוגמה ליישום: שימוש בפתרון אחסון מבוסס Raid תוכנתי מסוג EC (Erasure Coding).
ח. הארגון וידא כי שימוש במידע מתבצע באזור זיכרון נדיף ייחודי, המוצפן על ידי מפתח ייחודי. דוגמה ליישום: שימוש ב-Confidential Computing.</t>
  </si>
  <si>
    <t>7. אבטחת התקני אחסון ניידים:
א. הארגון וידא כי ברשותו תיעוד עדכני של מצאי התקני האחסון הניידים, וכי מתבצעת קורלציה בזמן אמת בין התיעוד לבין נתוני אמצעי האבטחה השונים, דוגמת Device Control.
ב. הארגון וידא כי הוא משתמש בהתקני אחסון ניידים במקרים חריגים בלבד.
ג. הארגון וידא כי כאשר חיבור של התקן אחסון נייד ליעד ההגנה לא נחסם, המידע שבו עובר תהליך הצפנה.
8. אבטחת מערך האחסון:
א. הארגון וידא כי ברשותו שלושה העתקי מידע זהים, המתעדכנים מול המקור באופן סינכרוני. יש לשמור את ההעתקים בשלושה מקומות פיזיים שונים באזור הראשי (Primary Zone). בנוסף, יש ליצור העתק מידע במיקום פיזי יחיד הנמצא באזור משני (Secondary Zone) ומתעדכן באופן אסינכרוני. לבסוף, יש ליצור באזור המשני שלושה העתקי מידע, המתעדכנים מול המקור המקומי באופן סינכרוני. דוגמה ליישום: GZRS - Geo-Zone-Redundant Storage.
ב. הארגון וידא כי הוא עשה שימוש במערך אחסון בלתי תלוי עבור כל רשת בעלת רמת אמון שונה מהותית מחברתה (דוגמת רשת ה-OT ורשת ה-IT).
ג. הארגון וידא כי מערך האחסון כולל תמיכה ביכולות "מנעול שמירה" (Retention Lock), כך שאי אפשר למחוק מידע שהארגון מחויב לשמור אותו לתקופה נתונה - בין אם עקב רשלנות, טעות אנוש או פעולה בזדון (דוגמת WIPER או מעשה זדוני של איש IT). 
ד. הארגון וידא כי לפני כתיבת מידע חדש למערך האחסון הוא נסרק באמצעות אמצעים מקובלים ועדכניים כדי לוודא שאינו מכיל נוזקות (Malwares). דוגמה ליישום: הגדרת מערך האחסון לעבודה עם מערכת לגילוי וזיהוי נוזקות התומכת בפרוטוקול ICAP בגרסתו העדכנית.
ה. הארגון וידא כי הוא בודק בזמן אמת את מהימנות ושלמות המידע (Integrity) העובר בתווך. דוגמה ליישום: שימוש ב-SMB Signing.
ו.  הארגון וידא כי מידע המשונע למערך האחסון או ממנו מוצפן כברירת מחדל (Data Encryption in Transit).
ז. הארגון וידא כי הוא משתמש בעקרונות מקובלים לביצוע פעולות אחסון  ועיבוד מידע על גבי יעדי הגנה שונים. דוגמה ליישום: שימוש בפתרון אחסון מבוסס Raid תוכנתי מסוג EC (Erasure Coding).
ח. הארגון וידא כי שימוש במידע מתבצע באזור זיכרון נדיף ייחודי, המוצפן על ידי מפתח ייחודי. דוגמה ליישום: שימוש ב-Confidential Computing.</t>
  </si>
  <si>
    <t>1. הארגון וידא כי החיל מדיניות גיבוי על מידע הקיים בחברה בהתאם לסטנדרטים הנדרשים על פי החוק, הרגולציה, הדרישות החוזיות והצרכים העסקיים. זאת תוך התייחסות לפרמטרים מקובלים, דוגמת:
א. סוגי המידע הבאים: 
• קבצים (Files).
• בסיסי נתונים רלציוניים (RDBMS).
• בסיסי נתונים לא רלציוניים (NoSQL).
- אובייקטים של שירותי ספרייה (Directory Services).
• הגדרות תצורה (System Configurations), לרבות ציוד תקשורת ואמצעי אבטחת מידע וסייבר.
• דיסקים וירטואליים (Virtual Disks).
• מערך אחסון בתור (Queue Storage).
• קושחה (Firmware).
• מטה-דאטה (Metadata).
• קוד מקור (Source Code).
• מערכת הפעלה (Operating Systems).
• Images ארגוניים.
• קונטיינרים (Containers).
• לוגיקה של בקרים מתוכנתים (PLC).
•  אפליקציות.
ב. הפרמטרים הבאים: 
• שיטת הגיבוי: אינקרמנטלי, דיפרנציאלי, מלא, מלא לנצח (Full backup forever) וכדומה.
• היסטורית הגיבויים - שעתי / יומי / שבועי/ חודשי / שנתי / רב שנתי וכדומה - וזאת בהתאם ל-BCP הארגוני.
• אורך החיים לשמירה על המידע/הגיבויים (Data Retention).
• אורך החיים למחיקת מידע (Data Purging).
• עדכניות טכנולוגיית הגיבוי.
• אופן שמירת הגיבוי – דיסק, קלטות, Storage וכדומה.
• אזור שמירת הגיבוי – סניפי ארגון, חברות אחסון מידע, ארכיונים, ענן וכדומה.
• בקרות פיזיות הנדרשות לשמירה על אמצעי האחסון (דוגמת כספת חסינת אש).
• בקרות לוגיות הנדרשות לשמירה על אמצעי אחסון (דוגמת הצפנה).
• בקרות אדמיניסטרטיביות (דוגמת בדיקת מלאי הקלטות באופן תקופתי).
• אתר חלופי – המידע המועתק באתר החירום ואופן ההגנה עליו, זמני סנכרון המידע עם אתר החירום וכו'.
• תהליכי בדיקה תקופתיים לבחינת תקינות הגיבוי.
2. הארגון וידא כי ברשותו לפחות העתק גיבוי מידע אחד בלתי תלוי, המנותק מרשת הארגון בשגרה (Offline).
3. הארגון וידא כי הוא ביצע שחזור תקופתי של המידע שגובה, וזאת לשם בחינת שלמות ומהימנות המידע (Integrity). 
4. הארגון וידא כי הוא עושה שימוש בטכנולוגיית Continues Backup.
5. הארגון וידא כי תהליך הגיבוי כולל ביצוע בדיקות לשלמות ומהימנות (Integrity) המידע.
6. הארגון וידא כי במקרה של שיבוש או מחיקה של אינדקס הגיבוי, עדיין ניתן לשחזר את המידע בהצלחה.
7. הארגון וידא כי הוא בוחן באופן תקופתי אם ניתן לצמצם את כמות המידע המאוחסנת במערך הגיבוי (Data Minimization).
8. הארגון וידא כי הוא ביצע בדיקות תקינות פונקציונלית ליעד ההגנה לאחר שחזור. דוגמהות ליישום: בדיקת תקינות התהליך העסקי, בדיקת אפקטיביות אמצעי ההגנה, בדיקת תקינות הגדרות התצורה ביחס ל-Baseline מאושר, בדיקת קיומה של הקשחה בהתאם למדיניות הארגונית.
9. הארגון וידא כי הוא מבצע באופן תקופתי מיפוי של יעדי הגנה ומידע שיש להוסיף/לגרוע מתהליך הגיבוי.</t>
  </si>
  <si>
    <t>10. הארגון וידא כי בעת אחסון הגיבוי יש הפרדה לוגית או פיזית של מידע בהתאם לסיווגו (לדוגמה, מידע פומבי לא יאוחסן עם מידע רגיש/חסוי).
11. הארגון וידא כי בעלי הגישה למערך הגיבוי הם בעלי רמת מהימנות מתאימה, וזאת לאור יכולתם לגשת לצברי מידע בעלי רמות סיווג שונות.
12. הארגון וידא כי ברשותו לפחות שני העתקי גיבוי מידע בלתי תלויים, אשר אחד מהם מנותק מהרשת בשגרה (Offline).
13. הארגון וידא כי לפני העברת מידע לגיבוי, הוא ביצע בדיקה מקדימה ובלתי תלויה לגילוי, זיהוי והסרת נוזקות (Malware).
14. הארגון וידא כי מערך הגיבוי אינו מגבה ומאחסן סוגי קבצים שאינם מותרים בהתאם למדיניות הארגון. דוגמה ליישום: File Screening.</t>
  </si>
  <si>
    <t>15. הארגון וידא כי מימש את "חוק 1/2/3" - עיקרון שלפיו מערך הגיבוי צריך לכלול שלושה עותקי מידע, שני סוגי מדיה ואתר חיצוני אחד.
16. הארגון וידא כי יש לו יכולת מוכחת למחיקת מידע היסטורי מהעתקי גיבוי, וזאת בהתאם לדרישות החוק והרגולציה (דוגמת GDPR למחיקת PII).
17.  הארגון וידא כי הוא משתמש במערך גיבוי בלתי תלוי עבור כל רשת בעלת רמת אמון שונה מהותית מחברתה (דוגמת רשת ה-OT ורשת ה-IT).
18. הארגון וידא כי כאשר מידע שגובה משוחזר, מתבצעת בדיקה מקדימה ובלתי תלויה לגילוי וזיהוי נוזקות (Malware) לפני העברת המידע ליעד ההגנה.
19. הארגון וידא כי הוא משתמש במערך הגיבוי בטכנולוגיית WORM, כך שיש ברשותו לפחות גיבוי אחד שלא ניתן לשכתוב.
20. הארגון וידא כי הוא מסוגל לשחזר באופן אפקטיבי את המידע ויעדי ההגנה על חומרה השונה מזו שבמקור (לדוגמה: מערכת ההפעלה הותקנה בעבר על שרת של יצרן X ואילו השחזור מתבצע על שרת של יצרן Y). 
21. הארגון וידא כי הוא ביצע הצפנה במנוחה למידע שגובה (At Rest).
22. הארגון וידא כי תהליך הגיבוי עושה שימוש בעקרון משיכה (Pull), כך ששרת ניהול הגיבוי הוא זה שפונה ללקוחות, ולא להפך. יש לוודא באופן תקופתי כי הגדרת תצורה זו לא השתנתה עקב תקלה או סיבה אחרת.
23. הארגון וידא כי קיימת הפרדה בין ההרשאות של הגורם שמתפעל את המערכת בשגרה, לבין אלה של הגורם אשר קובע את מדיניות הגיבוי (SOD).
24. הארגון וידא כי יש הפרדת סמכויות (SOD - Segregation of Duties) בין המשתמשים במערך הגיבוי. דוגמה ליישום: משתמש פלוני יוכל להוסיף נכס סייבר למערך הגיבוי, ואילו משתמש אלמוני יחיל את ההגדרות בפועל.
25. הארגון וידא כי מידע המשונע אל מערך הגיבוי וממנו מוצפן כברירת מחדל (Data Encryption in Transit).</t>
  </si>
  <si>
    <t xml:space="preserve">1. הארגון וידא כי צוות ה-IT עבר הכשרות מתאימות להכרת איומים שכיחים בעולם ה-IPv6, והכרת שיטות ואמצעים להתמודדות עמם.
2. הארגון וידא עם יצרני יעדי ההגנה כי:
א. הציוד תומך בעבודה עם IPv6 (דוגמת יכולת סינון Extension Headers, בדיקת  Header Chaining וחתימות IPS/IDS הכוללות גילוי, זיהוי ויכולת לחסום תקיפות כנגד פרוטוקול IPv6).
ב. אין מגבלות ידועות (דוגמת שירותי אבטחה הקיימים במוצר בעת עבודה ב-IPv4, אך אינם קיימים בעת עבודה ב-IPv6).
3. הארגון וידא כי יעד ההגנה מפעיל את רכיב ה-FW המובנה כברירת מחדל, וכי חוק ברירת המחדל הוא מניעת התקשרות (Deny). יש לזכור כי חלק מה-FW הקיימים בשוק מאפשרים כברירת מחדל גישה מהעולם ואליו באמצעות IPv6.
4. הארגון וידא כי כתובת ה-IPv6 אינה חושפת מידע אודות כתובת ה-MAC האמיתית של כרטיס הרשת. דוגמה ליישום: הפעלת מנגנון IPv6 Privacy Extension בעת עבודה ב-SLAAC.
5. הארגון וידא כי ביטל את התמיכה ב-IPv6 ביעדי הגנה שאינם משתמשים בפרוטוקול זה באופן שגרתי. </t>
  </si>
  <si>
    <t>6. הארגון וידא כי הוא מיפה איומים ותרחישי תקיפה אפשריים באמצעות סקר סיכונים שהכינו מומחה תקשורת וגורמי הגנת מידע וסייבר, וכי הוא מקדם בהתאם תוכנית עבודה לסגירת הפערים.
7. הארגון וידא כי גרסת פרוטוקול IPv6 שבה הוא משתמש היא עדכנית, בדגש על וידוא כי IPv6 Extension Headers שאינם נתמכים בתקינה אינם פעילים/קיימים.
8. הארגון וידא הוא משתמש באמצעי ממוכן לתמודדות עם IPv6 Spoofing. דוגמה ליישום: שימוש ב-Ingress Filtering and RPF (Reverse Path Forwarding).</t>
  </si>
  <si>
    <t>16. הארגון וידא כי מערך תקשורת הנתונים מאפשר שליחת מסרים מסוג (Router Advertisement) RA אך ורק מיעדי הגנה מורשים. דוגמה ליישום:IPv6 RA (Router Advertisement) Guard/IPv6 RA Filtering
17. הארגון וידא כי הוא אינו עושה שימוש ב-IPv4, וכי אין אפשרות ש-IPv4 יופעל עקב טעות או תקלה.
18. הארגון וידא כי הוא ביצע בדיקות חדירה (חוסן), כדי לוודא שאמצעי האבטחה שברשותו מספקים רמת הגנה נאותה נגד איומים ותרחישי תקיפה המנצלים לרעה את פרוטוקול IPv6.
19. הארגון וידא כי הוא אינו מאפשר שליחת מסרי Neighbor Discovery באופן גלוי בתווך. דוגמה ליישום: שימוש ב-Secure Neighbor Discovery (SEND) כחלופה ל- Neighbor Discovery Protocol (NDP).
20. הארגון וידא כי לא ניתן לבצע דלף מידע באמצעות ניצול לרעה של יכולות המובנות בפרוטוקול IPv6. דוגמה ליישום: הארגון וידא כי התעבורה כוללתTraffic Class: (unless QoS is used) - Flow Label: 0.</t>
  </si>
  <si>
    <t>1. כללי:
א. הארגון וידא כי רק יעדי הגנה מורשים מסוגלים לבצע תשאול (Query) של שרתי ה-DNS המשרתים את הארגון.
ב. הארגון וידא כי רק יעדי הגנה מורשים מסוגלים לבצע פעולות Zone-Transfer מול שרתי ה-DNS המשרתים את הארגון.
ג. הארגון וידא כי רק שרתי DNS מורשים מסוגלים לבצע תשאול של שרתי DNS חיצוניים (Forwarder), דוגמת Root Servers או שרת ה-DNS של ספק שירותי האינטרנט.
ד. הארגון וידא כי הגדיר את סוג וגרסת פרוטוקול ה-DNS שבו הוא משתמש. דוגמה ליישום: שימוש בפרוטוקול DNS מסורתי העובד ב-UDP 53 או DoT\DoH.
ה. הארגון וידא כי רק גורמים מורשים מסוגלים להוסיף רשומות DNS חדשות, למחוק רשומות ישנות או לעדכן קיימות. דוגמה ליישום: עבודה ב-Secure Update או הגדרה ידנית של רשומות DNS.
ו. הארגון וידא כי שרתי ה-DNS המשמשים כ- Recursive Resolver ברשת שלו אינם מסוגלים ליצור קשר ישיר עם Root Servers באינטרנט. דוגמה ליישום: הגדרת השרתים לפנייה לשרת ה-DNS של ספק שירותי האינטרנט או שימוש בשרת DNS המותקן ב-DMZ.
ז. הארגון וידא כי קיימת שרידות לתשתית ה-DNS, כדי למנוע מצב שבו קיימת נקודת כשל אחת. דוגמה ליישום: שימוש בשני שרתי DNS בלתי תלויים.
ח. הארגון וידא כי הוא אינו מתיר למשתמשים גישה לכתובות מתחם (Domains) ו-URIs\URLSs בעלי רמת אמון נמוכה (Trust Level). דוגמהות ליישום: 
I. שימוש במודיעין סייבר ב-URL Filtering לשם חסימת גישה למתחמים (Domains) ו-URLs\URIs הקשורים לקמפייני תקיפה וכדומה.
II. שימוש בשירות PDNS (Protective DNS) לשם חסימת גישה למתחמים (Domains) ו-URLs\URIs הקשורים לקמפייני תקיפה וכדומה.
ט. הארגון וידא כי ביצע מחיקה יזומה של רשומות DNS שאינן דרושות לעבודה שוטפת או שהפנו למשאבים שאינם קיימים (Dangling DNS).
י. הארגון וידא כי הוא תיקף באופן תקופתי את נכונות ומהימנות רשומות ה-DNS.
2. דרישות הגנה הקשורות לתשתית ה-DNS המשרתת משתמשים באינטרנט:
א. הארגון וידא כי שרת DNS המשרת את המשתמשים באינטרנט אינו חושף מזהים ארגוניים, דוגמת DNS Zone של ה-Domain/Kerberos Realm שבו הארגון משתמש ברשתות המקומיות, מפתחות הצפנה, או רשומות DNS המצביעות לשירותים פנימיים (דוגמת SRV Record).
ב. הארגון וידא כי בעת עבודה עם ספק שירותים חיצוניים לניהול ה-DNS Namespace, שינוי ב-DNS Domain מחייב אימות מוצלח ב-MFA, וכן גורר שליחת התרעה למנהל המערכת.
ג. הארגון וידא כי בעת עבודה עם ספק שירותים חיצוניים לניהול ה-DNS Namespace, הדומיין אינו ניתן להעברה לספק חלופי ללא אישור הארגון. דוגמה ליישום: הגדרת Transfer Lock.</t>
  </si>
  <si>
    <t>5. כללי:
א. הארגון וידא כי הוא אוכף ספים (Bars) ורפים (Thresholds) לבקשות DNS בהתאם למדדים מקובלים (דוגמת מספר Packets בזמן נתון/ממקור מסוים, וגודל Packet מותר).
ב. הארגון וידא כי הטמיע מנגנון טכנולוגי אשר מממש את היכולות הבאות: 
- אימות קריפטוגרפי כי מקור המידע (Data Origin Authentication) הוא מ-DNS Zone מורשה.
- וידוא של שלמות ומהימנות המידע שמתקבל על ידי ה-Resolver, כך שניתן יהיה להבטיח כי התוכן לא שונה לאחר החתימה הדיגיטלית (Digital Certificate) המקורית של ה-DNS Zone המקורי.
דוגמה ליישום: שימוש ב-DNSSEC. יש לזכור כי השימוש בפרוטוקול זה מגדיל ברמה מסוימת את הסיכון לתקיפת DOS\DDoS בשל גודל חבילות המידע, ועל הארגון להיערך בהתאם.
ג. הארגון וידא כי הוא אינו מאפשר שימוש בפרוטוקולים מתקדמים לתשאול DNS, דוגמתDoT (DNS Over TLS), DoH (DNS Over HTTP). לחלופין, הארגון מתיר שימוש בפרוטוקולים אלו תוך מתן גישה לשרתי DNS מורשים בלבד.
ד. הארגון וידא כי הוא אינו מתיר למשתמשים גישה לשרתי DNS ו-Domains אשר נוצרו ב-10 הימים האחרונים.
ה. הארגון וידא כי הוא עושה שימוש בעקרונות מקובלים למניעה והונאה (Denial &amp; Deception) לשם הגנה על תשתית ה-DNS ומניעת ניצול לרעה שלה. דוגמה ליישום: שימוש ב-DNS sinkhole לשם גילוי וזיהוי TTP’s העושים שימוש לרעה בתעבורת ה-DNS.
6. דרישות הגנה הקשורות לתשתית ה-DNS המשרתת משתמשים באינטרנט:
א. הארגון וידא כי בעת עבודה עם ספק שירותים חיצוניים לניהול ה-DNS Namespace, שינוי ב-DNS Domain מחייב גישה מכתובות IP ספציפיות של הארגון.
ב. הארגון וידא כי בעת עבודה עם ספק שירותים חיצוניים לניהול ה-DNS Namespace, לא ניתן לנצל את ערוץ התמיכה/השירות כדי לבצע תקיפות הנדסה חברתית לשם השתלטות על ממשקי הניהול או ביצוע שינויים לא מורשים.
ג. הארגון וידא כי ביכולתו לגלות ולזהות תקיפות שכיחות נגד שרתי ה-DNS וממשקי הניהול, לרבות הגדרות תצורה לקויות (דוגמת מתן אפשרות לביצוע Zone Transfer או מתן אפשרות לביצוע תשאול מהתקני קצה שאינם מורשים).
ד. הארגון וידא כי תשתית ה-DNS עמידה בפני תקיפות DOS/DDoS, דוגמת DNS Amplification and Reflection Attacks,  Resource Utilization Attack. דוגמה ליישום: עיגון משפטי של דרישות האבטחה מול ספק השירות.
ה. הארגון וידא כי ברשותו יכולת לגלות, לזהות ולסכל ניסיונות להקמת DNS Domains בעלי שמות דומים לאלו שברשותו. דוגמה ליישום: שימוש ב-DPS (Digital Protection Services).
ו. הארגון וידא כי ברשותו יכולת לגלות, לזהות ולסכל ניסיונות להשתלטות על ה-DNS Domains שברשותו. דוגמ ליישום: שימוש ב-DPS (Digital Protection Services).
ז. הארגון וידא כי לפני מתן גישה, יעדי ההגנה מוודאים את תקינות התעודה הדיגיטלית של אתר אינטרנט באמצעות ביצוע קורלציה מול שרת ה-DNS הרשמי של בעלי הדומיין. דוגמה ליישום: הגדרת הדפדפן לשימוש בפרוטוקול DANE (DNS-based Authentication of Named Entities).</t>
  </si>
  <si>
    <t>7. כללי:
א. הארגון וידא כי תעבורת ה-DNS אינה עוברת באופן גלוי בתווך. דוגמה ליישום: שימוש ב-DNS Over TLS (DoT) או DNSCrypt.
ב. הארגון וידא כי יעדי ההגנה אימתו את זהות שרתי ה-DNS, וזאת בטרם העברת הבקשה אליהם.  דוגמה ליישום:  שימוש ב-DNSCrypt
ג. הארגון וידא כי תעבורת ה-DNS היוצאת/הנכנסת לארגון נבדקת על ידי אמצעי טכנולוגי לשם גילוי, זיהוי וסיכול איומים. דוגמה ליישום: שימוש ב-DNS FW.  
ד. הארגון וידא כי הוא מגלה, מזהה ומסכל ניסיונות לא מורשים להוצאת מידע בערוץ ה-DNS (דוגמתDNS Tunneling , Data Exfiltration Over DNS,  Data Exfiltration Over DoH,  Data Exfiltration , Exfiltration  Over DoT).
8. דרישות הגנה הקשורות לתשתית ה-DNS המשרתת משתמשים באינטרנט:
א. הארגון וידא כי נעשה שימוש בתשתית DNS מבוזרת, המסוגלת לספק תשובה לבקשת לקוח בהתאם למיקום הגיאוגרפי שלו ובהתאם לפרמטרים נוספים, דוגמת עומס. דוגמה ליישום: שימוש ב-GSLB\GEODNS.
ב. הארגון וידא כי נעשה שימוש בתשתית DNS מבוזרת כדי לאפשר "דילוג" שקוף בין חדרי שרתים הממוקמים באתרים שונים בעולם. דוגמה ליישום: שימוש ב- GSLB\GEODNS.</t>
  </si>
  <si>
    <t>1. השימוש בעקרונות שונוּת (Diversity) מאפשר לארגון להגיע למספר הישגים:
א. הערמת קשיים על תוקף המעוניין להשיג את מטרתו.
ב. הארכת זמן הפעילות של התוקף, דבר המעלה את הסבירות לכך שמערך האבטחה של הארגון יגלה ויזהה את פעילות התוקף.
ג. ערעור תוקף רדום.
2. פעמים רבות המימוש הטכנולוגי כולל שימוש במשטח תקיפה דינמי (MTD – Moving Target Defense).
3. הפעלת מנגנון MTD ברמת החומרה מחייבת בדרך כלל גם תמיכה ברמת התוכנה (מערכת הפעלה, אפליקציה וכו').
4. יש לוודא כי מבוצע שינוי של פורטי תקשורת כברירת מחדל. לדוגמה: שינוי אקראי של פורט העבודה של SSH מ-TCP 22 ל-TCP 20345 וחוזר חלילה.
5. ניתן להשתמש ב-MT6D (Moving Target IPv6 Defense) או בשיטה אחרת כדי לבצע שינוי ארכיטקטורה דינמי, תוך השארת המזהים (דוגמת כתובת IP) הישנים ברשת והפנייתם למלכודת דבש (או אמצעי אחר), כך שניתן יהיה לגלות ולזהות פעילות תוקף וללמוד אותה במקרה הצורך.
6. MTD היא אחת השיטות היחידות שמאפשרות התמודדות אפקטיבית עם תקיפות יום אפס (Zero-Day).
7. במקרים מסוימים שימוש ב-Just-In-Time (JIT) Compiler עשוי לשפר את רמת האבטחה של אפליקציות, אך מימוש לא נכון עלול להוות עקב אכילס.
8. יש לבחון אצל יצרני החומרה (בדגש על יצרני מעבדים) את יכולות ההגנה העדכניות שלהם בתחום.
9. החלת השינוי בפועל אפשרית בהתאם למסגרת זמן מוגדרת (Predefined Time),  זמן אקראי (Random Time) או אירוע (Event).
10. יש לשים לב לכך שקיימות טכניקות רבות למימוש MTD. להלן חלוקה מקובלת של טכניקות אלו:
א. Dynamic Platforms.
ב. Dynamic Runtime Environments.
ג. Dynamic Networks.
ד. Dynamic Data.
ה. Dynamic Software.
ו. Dead Code.
ז. Stack Directions.
ח. Equivalent lnstruction Substitution.</t>
  </si>
  <si>
    <t>1. הארגון וידא כי מרחבי הזיכרון (Address Layout) של יעדי ההגנה מוקצים באופן אקראי באמצעות מנגנון תוכנתי ו/או חומרתי. דוגמה ליישום: שימוש במנגנון (Address Space Layout Randomization) ASLR, אשר נתמך כברירת מחדל בחומרת יעדי הגנה ומערכות הפעלה עדכניות.
2. הארגון וידא באמצעות מנגנון תוכנתי ו/או חומרתי כי לא ניתן להריץ קוד מכונה (Machine Code) באזורי זיכרון מוגנים (Non-Executable). דוגמה ליישום: שימוש במנגנון (Data Execution Prevention) DEP, אשר נתמך כברירת מחדל בחומרת יעדי הגנה ומערכות הפעלה עדכניות.
3. הארגון וידא כי הוא ביצע שינויים תכופים בשגרות העבודה. דוגמה ליישום: שינוי במועד ביצוע תהליכי גיבוי או שינוי שמות חשבונות אפליקטיביים.</t>
  </si>
  <si>
    <t>4. הארגון וידא כי מרחבי הזיכרון (Address Layout) של יעדי ההגנה מוקצים באופן אקראי באמצעות מנגנון תוכנתי וחומרתי.
5. הארגון וידא באמצעות מנגנון תוכנתי וחומרתי כי לא ניתן להריץ קוד מכונה (Machine Code) באזורי זיכרון מוגנים (Non-Executable). דוגמה ליישום: שימוש במנגנוני DEP + UEFI MAT.
6. הארגון וידא כי בעת טעינת אפליקציה/יישום לזיכרון הנדיף מתבצעת החלפה של מבנה התהליכים, תוך השארת המבנה המקורי כמלכודת דבש. כמו כן, הארגון וידא כי גישה למשאב הממוקם במבנה המקורי תיחשב כחריגה, אשר תגרור שליחה של התרעה והשבתה של התהליך הזדוני/החשוד. 
7. הארגון וידא כי בצומתי מפתח הוא משתמש במוצרי אבטחה של יצרנים שונים לשם השגת אותה תכלית. דוגמה ליישום: שימוש בארכיטקטורת Frontend/Backend FW בעת חיבור לרשת ציבורית או בעת גישת משתמשים לשרתים, וזאת באמצעות FW של יצרנים שונים.
8. הארגון וידא כי יעדי ההגנה חוזרים למצב אפס (Steady State) באופן תקופתי, וכן לאחר גילוי וזיהוי התנהגות חריגה. דוגמה ליישום: שימוש ביכולות VDI עדכניות.</t>
  </si>
  <si>
    <t>9. הארגון וידא כי ביצע שינויים אקראיים בהגדרות הלוגיות של הרשת (Network Randomization). דוגמה ליישום: החלפת כתובותIP, Host\DNS Names, IPv6 Privacy Extensions ,TCP/IP Ports.
10. הארגון וידא כי הוא מחזיר את יעדי ההגנה למצב אפס (Steady State) בסוף כל יום באמצעות שכתוב מאפס של מערכת ההפעלה וההגדרות, טעינת מערכת הפעלה/קושחה (Firmware) ממקור מהימן, ולבסוף החלה של הגדרות התצורה הנדרשות ללא שימוש בגיבוי היסטורי או בתמונת מצב (Snapshot).</t>
  </si>
  <si>
    <t>11. הארגון וידא כי הוא משתמש בפולימורפיזם (Polymorphism) לשם הגנה על דפי Web.
12. הארגון וידא כי קיימת אקראיות במאפייני מערכת ההפעלה/סביבת ההרצה (Runtime). לדוגמה: החלפה אקראית של סביבת ההרצה של האפליקציה net. Core/JVM או הפעלה אקראית בסביבת מערכת הפעלה מבוססת קוד פתוח או מסחרי.
13. הארגון וידא כי הוא משתמש בתכנים אקראיים/תכנים ללא דפוס קבוע. דוגמה ליישום: פיצול קובץ למספר חלקים, כאשר כל חלק מוצפן באמצעות מפתח ייחודי וזמני; לאחר מכן כל קובץ מאוחסן זמנית ביעד הגנה אקראי, תוך שימוש בשם אקראי וזמני - וחוזר חלילה.
14. הארגון וידא כי הוא מחליף את יצרני יעדי ההגנה בתדירות גבוהה, בדגש על יצרני אמצעי האבטחה.
15. הארגון וידא כי הוא מחליף באופן תדיר את המיקום הפיזי והלוגי של יעדי ההגנה, תוך וידוא כי יעד הגנה שנמצא ברשת בעלת רמת אמון גבוהה לא יחובר לרשת בעלת רמת אמון נמוכה יותר.
16. הארגון וידא כי הוא משתמש בטכניקות שונות והשתנות להגנה על רכיבי תוכנה. דוגמהות ליישום: שימוש ב"סביבת הרצה רבת משתנים" (MVEE - Multi-Variant Execution Environment); או שימוש ב"שונות רכיבי תוכנה בקנה מידה גדול"   (MSSD - Massive-Scale Software Diversity)
17. הארגון וידא כי הוא משתמש בעקרונות של הגנה סימביוטית. דוגמה ליישום: שימוש ב-SEM (Symbiotic Embedded Machine)</t>
  </si>
  <si>
    <t>1. בעת ניהול שיחות רגישות/חסויות (דוגמת שיחות אסטרטגיה של הנהלת הארגון) מומלץ לשקול ניתוק פיזי של הטלפונים מרשת החשמל והתקשורת.
2. יש לבדוק עם ספק שירותי הטלפון אם הוא מסוגל להציע לארגון שירותי אבטחה מפני Caller ID Spoofing, דוגמת שימוש בפרוטוקולי STIR/SHAKEN.
3. יש לוודא כי הותקנו עדכוני אבטחה (פאצ'ים) בהתאם להמלצות היצרן (לרבות עדכוני קושחה).
4. יש לוודא כי הארגון אינו מאפשר נגישות באמצעות מודם לשם ביצוע פעולות תמיכה מרחוק.
5. יש לוודא כי אמצעי האבטחה שברשות הארגון מסוגלים לספק רמת הגנה נאותה לפרוטוקולים שבהם משתמש מערך הטלפוניה. לדוגמה: חלק מהפתרונות בשוק עושים שימוש בפרוטוקול איתות SIP הפועל ב-TCP 5060. עם זאת, חלק ניכר מאמצעי האבטחה אינו מסוגל לגלות, לזהות ולסכל איומים הרלוונטיים לפרוטוקול זה.
6. יש לוודא כי מערך הבקרה הרציפה והמתמשכת כולל ניטור של:
א. גישה ושינויי תצורה במערך הפצת הכתובות והגדרות התצורה של כתובות ה-IP של מכשירי הטלפוניה.
ב. קובצי הגדרות הקונפיגורציה של מערך הטלפוניה.
18. יש לתת את הדעת על כך שבעת עבודה עם מתגי POE, תוקף יכול לדלג בין שתי רשתות באמצעות ניצול התווך החשמלי המשותף ביניהם. דבר זה מחייב נקיטת צעדי התמודדות מקובלים.
7. יש לוודא כי ההדרכות והתרגול של המשתמשים כוללים התייחסות לנושאים שכיחים, דוגמת התחזות קולית (לרבות Deepfakes) והתחזות Caller ID.
8. לאור העובדה כי ארגונים רבים משתמשים בספקי שירות חיצוניים לתמיכה במערך הטלפוניה, יש לוודא עיגון של דרישות האבטחה בחוזה ההתקשרות עם הספק והיצרן. כמו כן, יש לוודא החלת SLA לצורך מימוש דרישות האבטחה בהתאם.
9. יש לוודא כי ההרשאות והתכנים של מערך הטלפוניה אשר נמצאים ב-Shares\Exports אינם ניתנים לשינוי על ידי לא מורשים.
10. יש לוודא כי תשתית תקשורת הנתונים עושה שימוש במחברים/סימונים שונים, כדי לצמצם את האפשרות לחיבור יעד הגנה לא מורשה לרשת זו.</t>
  </si>
  <si>
    <t xml:space="preserve">1. ודאו באופן מדגמי כי ה-FW מספק יכולת אפקטיבית לגילוי, זיהוי וסיכול פעילות BAS.
2. ודאו כי חוקת ה-FW אינה כוללת חוקים מיותרים או חוקים מתירניים. בכלל זה, יש לוודא כי לא נעשה שימוש בחוק Any any allow ברמת השירותים או ברמת כתובות ה-IP. 
3. ודאו את עדכניות הגרסה ואת עדכוני האבטחה ביחס להמלצות היצרן.
4. ודאו באופן מדגמי את היכולת להמשיך בפעילות עסקית תקינה לאחר השבתה יזומה של מערכת ה-FW (לדוגמה: ניתוק כבל רשת).
5. ודאו את אפקטיביות היכולת לגילוי, זיהוי וסיכול פעילות הכוללת העברת תעבורה אפליקטיבית בפורט תקשורת לא מתאים.
6. ודאו כי קיימת הסמכת IPv6Ready תקפה למוצר ה-FW שבו משתמש הארגון.
7. ודאו כי קיימת קורלציה בין חוקי ה-FW הקיימים לבין תהליך האישורים הסדור שמכתיב תהליך ניהול השינויים בארגון.
8. ודאו כי מערך ה-FW משתמש במודיעין סייבר עדכני.
9. ודאו כי ה-FW שומר לוגים לפחות שלושה חודשים לאחור, וזאת בשרת שאינו שרת האכיפה.
10. ודאו כי ה-FW מנוהל מרשת חיצונית לתהליך (OOB).
11. ודאו באופן מדגמי כי הלוגים של ה-FW מאפשרים תחקור אפקטיבי של הנעשה ברשת הארגון.
12. ודאו באופן מדגמי כי לא ניתן להתחבר לממשקי הניהול של ה-FW מכתובות IP לא מורשות.
13. ודאו כי הארגון החליף את התעודות הדיגיטליות שמגיעות כברירת מחדל בתעודות דיגיטליות חדשות מטעמו.
14. ודאו באופן מדגמי כי השינוי בחוקת ה-FW בוצע בהתאם לתהליך ניהול השינויים הרשמי בארגון.
15. אם רמת הסיכון בארגון היא גבוהה, ודאו כי נעשה שימוש בארכיטקטורת Backend\Frontend FW.
16.ודאו באופן מדגמי באמצעות סריקת פורטים ושירותים כי ה-FW אינו מאפשר חשיפה של מידע שלא לצורך.
17. ודאו כי המפרט הטכני של ה-FW עומד בסטנדרטים עדכניים בתחום.
18. ודאו כי קיים תהליך סדור ואפקטיבי בניהול מערך ה-FW, וזאת תוך החלת הפעולות הבאות באופן תקופתי:
Cleanup of expired and disabled rules.
Cleanup of redundant rules and objects.
Identify and remove shadowed rules.
19. ודאו כי לארגון יש כלי תומך החלטה, המסייע לנתח משמעויות בשינוי חוקת ה-FW, וזאת בהתאם להחלת השינויים בפועל.
</t>
  </si>
  <si>
    <t xml:space="preserve">יכולות הגנה מובנות:
1. הארגון וידא כי קיימת יכולת Anti-Spoofing פעילה ואקטיבית. 
2. הארגון וידא כי הגדרות ה-FW הוחלו בהתאם לשיטות עבודה מקובלות/מומלצות. דוגמה ליישום: כברירת מחדל העברת התעבורה אסורה (Deny by Default).
3. הארגון וידא כי ה-FW בעל יכולת גילוי, זיהוי וסיכול איומים ברמות OSI Layer 3-7 לכל הפחות, וכולל יכולת DPI (Deep Packet Inspection). 
4. הארגון וידא כי  ה-FW מגלה, מזהה ומסכלת ניסיון שימוש של אפליקציה בפרוטוקול שאינו אופייני לה. דוגמה ליישום: שימוש ב-FTP בפרוטוקול TCP Port 80 ייחסם לאלתר. 
5. הארגון וידא כי אמצעי האבטחה תומך בתכונת Stateful Inspection.
6. הארגון וידא כי מערכת ה-FW מגלה, מזהה ומסכלת ניסיון שימוש בפרוטוקול שאינו בהתאם לדרישות התקן הרשמי/אנומליה ברמת הפרוטוקול.
</t>
  </si>
  <si>
    <t>בקרה תקופתית:
7. הארגון וידא כי הוא משתמש בכלים אוטומטיים ו/או אוטומטיים למחצה ו/או ידניים לשם ביצוע סקירה רבעונית לכל הפחות של חוקת ה-FW. זאת, במטרה לגלות ולזהות חוקים שאינם נדרשים, וחוקים שיוצרים סיכון עקב הגדרה לקויה או סיבה אחרת.
ממשקים:
8. הארגון וידא כי הוא מבצע הפרדה לוגית לכל הפחות בין ממשקי הניהול (Management), הנתונים (Data) והבקרה (Control) של ה-FW. 
יכולות הגנה מובנות:
9. הארגון וידא כי הוא הטמיע תצורת אשכול של רכיב ה-FW.
תפעול ותחזוקה:
10. הארגון וידא כי נעשה שימוש בפרוטוקולים עדכניים ומקובלים לשם גישה לממשקי ניהול, וזאת תוך החלת מנגנוני הגנה ההולמים את מתאר הסיכון. דוגמה ליישום: גישה לשירותי הספרייה הארגונית (Directory  Services) תתבצע באמצעות שימוש ב-LDAP channel binding and LDAP signing.</t>
  </si>
  <si>
    <t xml:space="preserve">יכולות הגנה מובנות:
11. הארגון וידא כי מערכת ה-FW כוללת אינטגרציה פעילה עם בקרות הגנה נוספות, דוגמת מערכת הלבנה או Sandbox, כך שניתן יהיה להגביר את רמת הוודאות כי התעבורה המגיעה ליעד אינה מכילה איומים. 
12. הארגון וידא כי הוא מונע אפשרות גישה מכתובות IP בעלי רמת מהימנות נמוכה ושינוע IOC/IOA/IOE בתעבורה, וזאת באמצעות שילוב יכולות מודיעין סייבר במערך ה-FW.  
13. הארגון וידא כי ה-FW מבצע אימות מקדים למשתמש בשירותי הספרייה הארגונית (Directory  Services), ולאחר מכן מבטיח כי המשתמש מורשה לגשת ליעד בהתאם לפרמטרים מקובלים.
חוקי גישה:
14. הארגון וידא כי הוא עושה שימוש ב-FW התומך בהחלת מדיניות הגנה בעת עבודה עם פרוטוקולים  מעולמות תוכן שאינם IT גרידא. דוגמה לפרוטוקולים: MODBUS, PROFIBUS, DNP3, CIP.
15. הארגון וידא כי למרות יצירת עומס אמיתי/כוזב לא ניתן לעקוף את חוקי הסינון המוגדרים. 
16. הארגון וידא כי ארכיטקטורת מערך ה-FW מאפשרת יתירות מלאה במקרים של ביצוע פעולות תחזוקה, כשל או אירוע סייבר במערכת FW מסוימת, כך שהפעילות התפעולית לא תיפגע. 
ניהול שינויים (בנוסף לסעיפים ברמה מתפתחת):
17. הארגון וידא כי הוא הטמיע תהליך ניהול שינויים ממוכן, לרבות ניהול תהליך זרימת מידע (Workflow) לאישורים. 
18. הארגון וידא כי הגישה אל ה-FW מתבצעת מעמדות ניהול ייעודיות, וכל השינויים שמתבצעים מתועדים ברשומות בקרה המנוטרות באופן שוטף. 
19. הארגון וידא כי הוא הטמיע תהליכי עבודה לשינוי חוקת ה-FW, הכוללים בדיקות מקיפות לחוקים החדשים ובדיקת נכונותם והשפעתם העסקית עוד לפני החלתם. 
20. הארגון וידא כי השינויים מתבצעים רק לאחר אישור ועדת ניהול השינויים הארגונית. כמו כן, ברשות הארגון צריך להיות נוהל מקוצר לביצוע שינויים בעת חירום, כאשר אישור הוועדה מתקבל בדיעבד. 
21. הארגון וידא כי לפני החלת חוק FW חדש בפועל, גורם נוסף מצוות ה-IT מאשר את תקינותו. 
תפעול ותחזוקה
22. הארגון וידא כי הוקצה פורט תקשורת ייעודי (OOB) לניהול ה-FW, עם עדיפות לפורט תקשורת פיזי.  
בקרה תקופתית
23. הארגון וידא כי הוא הטמיע כלים אוטומטיים לביצוע סקירה של חוקת ה-FW קרוב לזמן אמת, המתריעה על סיכונים נגזרים מתצורת החוקה. </t>
  </si>
  <si>
    <t>1. הארגון וידא כי הוא הגדיר את רמת השירות המצופה ממערך תקשורת הנתונים, וזאת תוך התייחסות למדדים מקובלים, דוגמת: זמינות, שיהוי (Latency) או ריצוד (Jitter).
2. הארגון וידא כי הוא מממש עקרונות מקובלים למניעת לולאות (Loops) במערך תקשורת הנתונים.
3. הארגון וידא כי פורטי תקשורת שאינם בשימוש נמצאים במצב "כבוי" (Shutdown).
4. הארגון וידא כי נקודת תקשורת שאינה משרתת את יעדי ההגנה מנותקת ברמה החומרתית ממערך תקשורת הנתונים.
5. הארגון וידא כי נעשה שימוש בסימונים (דוגמת שילוט/מדבקות/צבעים שונים) לשם צמצום הסבירות לחיבור יעדי הגנה בעלי רמת אמון שונה מזו של רשת היעד בשל טעות אנוש.
6. הארגון וידא כי הגישה לממשקי הניהול אפשרית למורשים בלבד.
7. הארגון וידא כי בעת עבודה עם פרוטוקול ניתוב דינמי נעשה שימוש במנגנוני אבטחה מקובלים. דוגמה ליישום: שימוש בסיסמה משותפת בין יעדי ההגנה השותפים לתהליך.
8. הארגון וידא כי יעדי הגנה האחראים לנושא הגנת הסייבר עושים שימוש בכתובות IP סטטיות.
9. הארגון וידא כי קיימת הפרדה פיזית בין תעבורת יעדי הגנה המשרתים משתמשים לבין תעבורת ממשקי הניהול של יעדי הגנה (OOB).
10. הארגון וידא כי הוא מממש מנגנונים מקובלים לשם התמודדות עם IP Spoofing. 
דוגמה ליישום: שימוש ב-RPF (Reverse-path forwarding) ומניעת קבלת פניות מרשתות ציבוריות שנושאות כתובת IP פנימית של הארגון.
דוגמה נוספת ליישום: בעת עבודה עם פרוטוקול BGP יש לוודא את קיומם של מנגנוני ההגנה הבאים:
א. RPKI Origin Validation for BGP updates.
ב. BGP Path Validation.
ג. AS Path Length Limitation.
ד. Peer Lock++ Agreements with all Direct Peers - One ASN Deep.
ה. MANRS+ Global Campaign to Expand the Peer Lock Circles.
ו. BGP Peering BCPs Do all ingress/egress policies.
ז. Anti-Spoofing and External BGP Monitoring.
ח. BGPsec.</t>
  </si>
  <si>
    <t>11. הארגון וידא כי הוא מימש עקרונות הגנה מקובלים נגד תקיפת VLAN Hopping. דוגמה ליישום:
א. אין לאפשר ליעדי ההגנה לעשות שימוש ב-Native VLAN.
ב. יש לוודא כי תעבורת ה-Native VLAN מחייבת ביצוע תיוג (Tag), וכי חבילות מידע ללא תיוג מושמטות.
ג. יש לוודא כי פורטי התקשורת המשרתים את יעדי ההגנה מוגדרים בתצורת Access.
ד. יש לוודא כי בוטלה האפשרות לניהול משא ומתן (Negotiations) באמצעות פרוטוקול DTP (Dynamic Trunking Protocol).
12. הארגון וידא כי הוא מממש מנגנונים מקובלים להתמודדות עם ARP Spoofing. דוגמה ליישום: Dynamic ARP inspection (DAI).
13. הארגון וידא כי מערך תקשורת הנתונים אינו מאפשר שימוש בשרת DHCP שאינו מורשה. דוגמה ליישום: DHCP Snooping.
14. הארגון וידא כי הוא מממש מנגנונים מקובלים להתמודדות עם תקיפות נגד STP (Spanning Tree Protocol). דוגמה ליישום:
א. יש לוודא מיהם המתגים/הנתבים המעורבים בתהליך ה-Root Bridge Election, ומהו סדר התיעדוף לבחירת Root Bridge חלופי בעת תקלה או תקיפה.
ב. יש לוודא כי המתגים/הנתבים המעורבים בתהליך ה-Root Bridge Election נמצאים תחת שליטתו המלאה של  הארגון (לרבות אבטחה פיזית).
ג. יש להחיל בציוד התקשורת הגבלה לשם חסימת מסרי BDPU ממתגים/נתבים שאינם מורשים. דוגמה ליישום:  BPDU guard Root Guard.
ד. יש להחיל מנגנון למניעת Loop ברשת התקשוב. דוגמה ליישום: Loop Guard.
ה. יש להחיל מנגנון אשר ימנע העמסה של מעבד הנתב/המתג בעת קבלת מסרי BDPU רבים (כתוצאה מתקיפה או תקלה טכנית). דוגמה ליישום: BPDU skew (Latency) detection.
ו. יש לגלות ולזהות אנומליה, דוגמת שינויי טופולוגיה לא מורשים.
ז. יש לוודא עם יצרן ציוד התקשורת ואמצעי ההגנה כי השימוש בתצורת Port Past אינו פוגע בחוסן ההגנתי.
15. הארגון וידא כי הוא ביטל את השימוש בפרוטוקולי תרגום שמות (Name Resolution) שאינם נדרשים לעבודה שוטפת. דוגמה ליישום: ביטול התמיכה בפרוטוקולים LLMNR ו-NetBIOS Over HTTP.
16. הארגון וידא כי הוא משתמש ברשת ניהול מחוץ לתהליך (OOB) לשם ניהול יעדי ההגנה.</t>
  </si>
  <si>
    <t>17. הארגון וידא כי נעשה שימוש במחברים פיזיים שונים לשם צמצום הסבירות לחיבור של יעדי הגנה בעלי רמת אמון השונה מזו של רשת היעד בשל טעות אנוש. דוגמה ליישום: רשת המנהלה תעשה שימוש בכבילת נחושת מבוססת מחברי RG45, ואילו רשת ה-OT תעשה שימוש בכבילה אופטית בעלת מחברי LC/SC/ST.
18. הארגון וידא כי מערך התקשורת מסוגל לספק את התשתית הנדרשת לשם מימוש עקרונות הגנה שקטה, וזאת ללא פגיעה בפעילות העסקית. דוגמה ליישום: מערך התקשורת יכלול תמיכה בפרוטוקול NetFlow, וכן בפונקציונליות Port Mirror.
19. הארגון וידא כי הוא מבצע שכתוב מאפס של מערכת ההפעלה והגדרות התצורה של מערך התקשורת בשלב הקבלה, ולאחר מכן מתקין מחדש מערכת הפעלה שהתקבלה ממקור מהימן, תוך החלת הגדרות ידנית (ללא שימוש ב-Backup/Restore) ותיקוף נכונות ההגדרות על ידי מהנדס תקשורת.
20. הארגון וידא כי שרת ה-DHCP אינו מכיל רשומות IP/MAC כפולות. דוגמה ליישום: הגדרת חוק מתאים ב-SIEM/SOAR הארגוני לניטורDHCP Table/DHCP Snooping Bindings Database.
21. הארגון וידא כי אין אפשרות להשתמש באותה כתובת MAC/IP בשני פורטי תקשורת שונים או יותר בזמן קצר.
22. הארגון וידא כי לכל פורט תקשורת הוגדרה קיבולת תעבורה מרבית בזמן נתון. דוגמה ליישום: הגדרת Limit rate with burst ברמת פורט התקשורת.
23. הארגון וידא כי מערך תקשורת הנתונים משתמש ביכולות חומרה לצורך האצת ביצועי אבטחה. דוגמה ליישום: המתגים יעשו שימוש במעבד ASIC לשם תמיכה ב-NetFlow.
24. הארגון וידא כי לא ניתן לבצע Login למערך תקשורת הנתונים באמצעות חשבונות מקומיים.
25. הארגון וידא כי הוא אוכף מדיניות לתעדוף תעבורה במערך תקשורת נתונים, בהתאם לדרישות העסקיות. דוגמה ליישום: תעבורת VoIP תעמוד במדדים הבאים:  שיהוי (Latency) ממוצע של עד 120ms וריצוד (Jitter) ממוצע של עד 20ms.
26. הארגון וידא כי לא ניתן לחבר למערך תקשורת הנתונים יעד הגנה עם מספר כרטיסי רשת שונים. 
27. הארגון וידא כי קיימת הפרדה פיזית בין תעבורת יעדי הגנה המשרתים משתמשים לבין תעבורת ממשקי הניהול של יעדי ההגנה (OOB).
28. הארגון וידא כי לא ניתן לחבר את אותו יעד הגנה לסביבות בעלות רמות אמון שונה (Trust Level).
29. הארגון וידא כי הוא מבקר ושולט באופן מרכזי על השימוש בכתובות IP בארגון. דוגמה ליישום: שימוש ב-IPAM (IP Address Management)</t>
  </si>
  <si>
    <t>30. הארגון וידא כי הוא אינו עושה שימוש בטכנולוגיית STP (Spanning Tree Protocol). דוגמה ליישום: שימוש בארכיטקטורת Spine/Leaf או SPB (Shortest Path Bridging).
31. הארגון וידא כי לא ניתן לעקוף את מערך בקרת הגישה באמצעות שימוש ב-Hub.
32. הארגון וידא כי התעבורה ב-OSI Layer 2 אינה עוברת באופן גלוי מקצה לקצה (E2E), וזאת ללא תלות ביעדי הגנה אחרים. דוגמה ליישום: שימוש בפרוטוקול MACSec.
33. הארגון וידא כי חומרת מערך תקשורת הנתונים מיוצרת על ידי יצרן שונה מזה של תוכנת מערך תקשורת הנתונים. דוגמה ליישום: שימוש בארכיטקטורתSDN (Software Defined Networking) בשילוב חומרת שרתי COTS.
34. הארגון וידא כי הוא משתמש בציוד תקשורת ללא "לוגיקה מורכבת" בצד המשתמשים, כך שכל ניהול הלוגיקה העסקית (דוגמת ביצוע ניתוב ואישורי הפעלת פורטי התקשורת) נעשה בליבה (Core). דוגמה ליישום: שימוש בארכיטקטורתSDN (Software Defined Networking).
35. הארגון וידא כי בעת קישור יעדי הגנה רגישים/חסויים למערך תקשורת הנתונים, הוא לא מאפשר העברת סוגי תעבורה שונים על אותו מדיום פיזי. דוגמה ליישום: לא תתאפשר העברת תעבורה מידע (Data) ושמע (Voice) על אותו מדיום פיזי/לא ייעשה שימוש בתקשורת אחודה (Unified Communication).
36. הארגון וידא כי הוא משתמש ברשת תקשורת פיזית ייעודית לצורך ניהול מחוץ לתהליך (OOB) של יעדי ההגנה.</t>
  </si>
  <si>
    <t>1. הארגון וידא כי החיל מידור רשתי בין יעדי הגנה הנמצאים באותה רשת - VLAN\Segment (East-West Traffic), וזאת באמצעות הפעלת רכיב טכנולוגי ביעד ההגנה עצמו. דוגמה ליישום: PFW (Personal Firewall) מובנה במערכת ההפעלה או במוצר ה-End Point Security, המחיל Access Control Lists.
2. הארגון וידא החלת גישה בהתאם לעקרון מתן הרשאות גישה נמוכות (least Privilege Access Principle).</t>
  </si>
  <si>
    <t>1. יש לפנות לבקרת "Firewall".
2. יש לוודא כי אמצעי האבטחה תומכים ב-DPI (Deep Packet Inspection), וזאת בהתאם למפרט הפרוטוקולים שבהם משתמש הארגון.
3. יש להעדיף כי בכל אמצעי אבטחה יותקן כרטיס רשת פיזי ייעודי, וכי לא ייעשה שימוש ב: 
א. פרוטוקול אשר מאפשר העברת מספר רשתות לוגיות בתווך (דוגמת Trunk).
ב. SVI (Switched Virtual Interface).
דוגמה ליישום: Interface in L3 Mode.
4. יש לוודא כי באמצעי האבטחה יש כרטיס רשת פיזי ייעודי לניהול, המקושר לרשת ניהול שאינה משמשת לביצוע פעולות תפעוליות (OOB).
5. יש למנוע מצב שבו יעד הגנה המחובר לרשת בעלת רמת אמון (Trust Level) מסוימת יצליח לעבוד אם יחובר לרשת בעלת רמת אמון שונה.
6. ככל שעומק היישום עולה, יש להעדיף שימוש בפתרונות אבטחה פיזיים ולא וירטואליים.
7. ראוי לציין כי יש ממשקים שיחייבו החלת בקרות הגנה נוספות, דוגמת גישה ל-WEB שתדרושURL Filtering, AV וכו'. זאת, באמצעות שימוש בכלים נוספים, דוגמת שרת PROXY\SWG ייעודי.
8. בעת עבודה עם בודל חד-כיווני (Data-Diode) יש לוודא כי:
א. נעשה שימוש במנגנון ניהול תורים או פתרון מקביל, כדי להימנע מאובדן מידע עקב תקלה/עומס חריג.
ב. יש תהליך שליטה ובקרה לשם גילוי וזיהוי תקלות תפעוליות, כך שהשימוש בבודל לא יפגע בתקינות התהליכים העסקיים.
ג. הבודל החד-כיווני כולל מנגנון למניעת חבלה (Tamper Resistance) ומנגנון לחשיפת חבלה (Tamper Evident).
ד. הבודל החד-כיווני מונע זליגת אות מערוץ של רשת בעלת רמת אמון אחת לערוץ רשת בעלת רמת אמון אחרת (Crosstalk).
ה. לוגיקת הבודל החד-כיווני לא ניתנת לשינוי לאחר החלתה.
9. ממשקי תקשורת והעברת נתונים בין סביבות יישמו מנגנוני סינון דו-כיווניים המונעים מעבר קוד עוין, תקיפת חולשות, ניצול ממשקים אפליקטיביים והוצאה לא מבוקרת של מידע. ניתן ליישם זאת באמצעות טכנולוגיות סינון מתקדמות המשתמשות במסנני תוכן וחוקי סינון מתקדמים.
10. הפרדה מלאה בין סביבות דורשת יישום רשתות פיזיות נפרדות ותשתיות נפרדות. שימוש בתשתיות משותפות דורש יישום של מנגנוני הפרדה מספקים, המותאמים לרמת האיום ולאופי הסיכונים הנשקפים לסביבה הטכנולוגית.
11. יש לוודא כי הארגון הגדיר תרחישי אירוע סייבר שבהם הוא ינתק את הממשק באופן יזום כדי לצמצם את משטח התקיפה או להקטין את רדיוס הפיצוץ (Blast Radius).</t>
  </si>
  <si>
    <t>1. הארגון וידא כי ברשותו מיפוי עדכני של ממשקי העבודה עם רשת ציבורית (דוגמת האינטרנט וספק רשת הטלפוניה).
2. הארגון וידא כי הוא צמצם למינימום את מספר ממשקי העבודה עם רשת ציבורית.
3. הארגון וידא כי הוא יצר חציצה לוגית בלתי תלויה בין הרשת שלו לרשת הציבורית, תוך שימוש באמצעי אבטחה מקובלים הממוקמים במבואות הארגון. דוגמה ליישום: שימוש ב-FW.
4. הארגון וידא כי הוא מגלה, מזהה ומסכל איומים ידועים העוברים בתווך. דוגמה ליישום: שימוש ב-IPS.</t>
  </si>
  <si>
    <t>7. הארגון וידא כי הוא ביצע הפרדה פונקציונלית בין התהליכים העסקיים ברמת התשתית, כך שאירוע סייבר בתהליך עסקי א' לא ישפיע על תהליך ב'. דוגמה ליישום: הפרדה מלאה בין ערוץ הגלישה לאינטרנט לבין הערוץ המאפשר התחברות מרחוק (VPN).
8. הארגון וידא כי גם במקרה של כשל טכני, חולשה או סיבה אחרת, לא תתאפשר גישה ישירה מהרשת הציבורית ליעדי ההגנה של הארגון. דוגמה ליישום: שימוש בארכיטקטורת Front/Back Firewall.
9. הארגון וידא כי הוא אוכף רמת תיעדוף מוגדרת וידועה לכל סוג תעבורה, בהתאם לדרישות העסקיות. דוגמה ליישום: תעבורת VoIP תעמוד במדדים הבאים – שיהוי ממוצע (Latency) של 120ms וריצוד ממוצע (Jitter) של 20ms, וזאת תוך שימוש במנגנוני QoS מקובלים.
10. הארגון וידא כי ביכולתו להתמודד עם צריכת משאבים חריגה, בין אם היא נובעת מפעילות עסקית לגיטימית ובין אם מתקיפה.
דוגמהות ליישום:
א. העברת אתר האינטרנט לעבודה מלאה בענן ציבורי.
ב. שימוש ב-CDN, לשם הקטנת העומס על תשתיות הארגון.
ג. הגדלת קיבולת התשתית באמצעות פס רוחב דינמי, והוספת יעדי הגנה נוספים לשם מתן מענה ללקוחות.</t>
  </si>
  <si>
    <t>11. הארגון וידא כי הוא מימש עקרונות מקובלים לבחינת חוויית הלקוח, תוך תיקון חריגות לפני שנוצרת השפעה רוחבית. דוגמה ליישום: שימוש במערכת DEM (Digital Experience Monitoring).
12. הארגון וידא כי התעבורה בין אתרים/גופים אחרים אינה עוברת ישירות באינטרנט.
דוגמהות ליישום: 
א. שימוש ב-S2S VPN על גבי תשתית MPLS.
ב. שימוש ב- S2S VPN על גבי תשתית APN סלולרית, שאינה כוללת יציאה לאינטרנט.
ג. שימוש ב-S2S VPN על גבי תשתית IP VPN.</t>
  </si>
  <si>
    <t>1. ודאו כי הארכיטקטורה של מערך התקשוב אינה מאפשרת שליחה/קבלה של דוא"ל שלא באמצעות התהליך הארגוני המאושר.
2. ודאו באופן מדגמי את אפקטיביות ההתמודדות עם "דואר זבל" ונוזקות.
3. ודאו כי מתבצע ניטור של אנומליות בקבלת/שליחת דוא"ל, וכי מתקבלות התרעות במצבים שהארגון הגדיר.
4. ודאו כי מתבצעת הצפנה של הודעת דוא"ל לנמען חיצוני לפי נוהלי הארגון.
5. ודאו כי לא ניתן להכניס לארגון קובץ בעל יכולות הדומות לאלו שבהן משתמשים כלי תקיפה, גם אם הקובץ אינו מוכר כנוזקה. דוגמה: קובץ עם מאקרו או סקריפט, או קובץ Executable אחר.
6. ודאו כי לא ניתן לקבל/לשלוח קובץ בעל נפח גדול מהמוגדר.
7. ודאו כי בעת שליחת/קבלה דוא"ל עם הפנייה ל-URL בעל רמת מהימנות נמוכה, ההודעה נחסמת או שה-URL מוחלף במשפט כללי (דוגמת "ה-URL שאותר חשוד, ולפיכך הוסר").
8. ודאו באופן מדגמי באמצעות קמפיין פישינג כי רמת המודעות של המשתמשים לאיומים בדוא"ל גבוהה.
9. ודאו באופן מדגמי את אפקטיביות יכולת הגילוי, הזיהוי והסיכול של WORM המנצל לרעה את ממשק הדוא"ל הפנים ארגוני.
10. ודאו כי המשתמשים מקבלים הדרכות מודעות שנתיות, וזאת באמצעות  דו"חות המפרטים את מספר המשתמשים, וכן את איכות והתאמת התכנים לכל קהל יעד.
11. ודאו כי הודעת דוא"ל שמתקבלת ממקור חיצוני מסומנת באופן ברור, כך שעובדים יהיו מסוגלים להבחין כי לא מדובר בהודעה שנשלחה מגורם פנימי.
12. ודאו באופן מדגמי כי נחסם כל ניסיון לשלוח דוא"ל לרשת הארגון תוך שימוש במאפיינים הדומים לאלה של הארגון (דוגמת זהות המשתמשים).
13. ודאו כי הודעות דוא"ל אשר כוללות כלי מעקב נחסמות, או שכלי המעקב מוסר לפני העברת ההודעה לנמען.
14. ודאו שימוש במנגנוני אבטחה מקובלים, דוגמת SPF, DKIM, DMARC.
15. ודאו כי קיים מערך הלבנה בערוץ הכניסה.</t>
  </si>
  <si>
    <t>1. הארגון וידא כי הוא מתיר קבלת צרופות (Attachments) רק בהתאם ל-Allowlist של סוגי קבצים, וזאת תוך החלה של שני מנגנונים בלתי תלויים.
דוגמה ליישום: בדיקת סיומת קובץ ו-MIME Type מול Allowlist, וביצוע אכיפה ב-Mail Relay ושרת הדוא"ל הארגוני.
2. הארגון וידא כי לשם קבלה/שליחה של דוא"ל הוא משתמש בשרת מתווך, כך שתוקף פוטנציאלי לא יוכל לקבל גישה ישירה לשרת הדוא"ל.
3. הארגון וידא כי הוא מגביל את גודל הדוא"ל שניתן לקבל/לשלוח, וזאת בהתאם לדרישות העסקיות.
4. הארגון וידא כי הוא מגביל את מספר הנמענים אשר ניתן לשלוח אליהם דוא"ל במקביל (בין אם מחוץ לארגון ובין אם באופן פנימי), וזאת בהתאם לדרישות העסקיות.
5. הארגון וידא כי הוא הגדיר ספים (Thresholds) ורפים (Bars) לקבלה/שליחה של דוא"ל ביחס לחלון זמן מוגדר.
6. התמודדות עם נוזקות:
א. הארגון וידא כי הודעות הדוא"ל שמתקבלות במבואותיו ובשרת הדוא"ל אינן מכילות נוזקות, וזאת באמצעות שימוש באמצעים מקובלים.
ב. הארגון וידא כי הוא מבצע סריקה תקופתית (פעם ליום לפחות) כדי לוודא שתיבות הדוא"ל אינן מכילות נוזקות.
7. הארגון וידא כי הגדיר רשימת פעולות שביצוע שלהן מחייב אישור בערוץ נפרד מהדוא"ל. דוגמה ליישום: העברת כספים תחייב אישור טלפוני או פגישה פרונטלית עם גורם מורשה.
8. הארגון וידא כי מימש הגדרות בתשתית ה-DNS לשם חיזוק רמת ההגנה של מערך הדוא"ל:
א. הארגון קבע והגדיר רשומות DNS המשפרות את דירוג מערך הדוא"ל כגורם מהימן. דוגמה ליישום: הגדרת PTR Record.
ב. הארגון הגדיר את רשימת השרתים שמהם ה-Domain יכול לשלוח דוא"ל. דוגמה ליישום: הגדרת SPF Records ו-Sender ID.</t>
  </si>
  <si>
    <t>9. הארגון וידא כי הדוא"ל המתקבל אינו מסוג "דואר זבל", תוך שימוש בשיטות הבאות:
א. בדיקה כי ל-Domain השולח הוגדרה SPF Record תקפה (SPF Lookup).
ב. ביצוע בדיקות לפני קבלת הדוא"ל על ידי מערך הדוא"ל. דוגמה ליישום: שימוש ביכולות מתקדמות של פרוטוקול ESMTP של שיהוי קבלת הדוא"ל, עד להשלמת הבדיקות.
10. התמודדות עם נוזקות:
א. הארגון וידא כי כתובת ה-URI המובנה בגוף הדוא"ל אינה בעלת רמת אמון נמוכה (Trust Level). דוגמה ליישום: ביצוע קורלציה מול Denylist עדכנית של רשומות בעלות רמת אמון נמוכה (URI DNSBL וכדומה).
ב. הארגון וידא כי הוא הטמיע מערך הלבנה ייעודי לערוץ הדוא"ל.
ג.  הארגון וידא כי כתובת ה-URI בהודעת הדוא"ל אינה מפנה ל-Domain אשר נוצר/נרכש ב-7 הימים האחרונים.
ד. הארגון וידא כי כתובת ה-URI בהודעת הדוא"ל אינה מפנה ל-Domain אשר עושה שימוש בפורמט של Domainlike.
ה. הארגון וידא כי הודעת הדוא"ל אינה מכילה טעויות כתיב.
ו. הארגון וידא כי הודעת הדוא"ל אינה מכילה שגיאות ניסוח / סמנטיות (Semantic Errors).
ז. הארגון וידא כי לכל הודעת דוא"ל מוצמד תיוג המשקף למשתמש את רמת האמון של הארגון בהודעה ובמקורה.  דוגמה ליישום: החלת מדיניות ב-SEG, המחייבת הוספת שורה חדשה בראש כל הודעת הדוא"ל או בשדה "הנושא" (Subject), דוגמת: "שימו לב! דוא"ל זה מקורו מחוץ לארגון".
11. הארגון וידא כי הוא מעדיף שליחה/קבלה של דוא"ל באופן שבו המידע לא יעבור באופן גלוי (Cleartext) בתווך. דוגמה ליישום: שימוש ב-TLS.</t>
  </si>
  <si>
    <t>12. הארגון וידא כי הוא משתמש באמצעים ממוכנים לשם בחינת רמת המודעות של המשתמשים.
13. הארגון וידא כי הוא מסכל פעילות מנגנוני מעקב אשר נלווים להודעת דוא"ל. דוגמה ליישום: קוד ה-HTML בהודעת הדוא"ל נבדק לפני הגעתו לנמען, ואם הקוד מנסה לבצע רישום/פנייה לאתר אינטרנט חיצוני קטע הקוד הרלוונטי מוסר מההודעה. דוגמה נוספת: סיכול פעילות מנגנון Pixel Tracker.
14. הארגון וידא כי צרופות בדוא"ל שהגיע מרשת ציבורית עוברות תהליך CDR לפורמט קריאה בלבד (Read Only). יש לוודא כי קבלת העתק של הצרופה בפורמט המקורי (או פורמט אחר המאפשר עריכה) מחייבת את המשתמש לעשות פעולה אקטיבית, דוגמת אישור הורדה של הצרופה מאתר Web פנימי.
15. הארגון וידא כי קבצים שמשתמשים מקבלים נפתחים כברירת מחדל במצב קריאה בלבד (Read Only).</t>
  </si>
  <si>
    <t>16. הארגון וידא כי הדוא"ל המתקבל אינו מסוג "דואר זבל", תוך שימוש בשיטות הבאות:
א. קבלת היזון חוזר מהמשתמשים לשם דירוג וטיוב הדוא"ל המתקבל.
ב. יידוע מפעילי שרתי הדוא"ל של הנמען אם יש לשולח מדיניות SPF ו/או DKIM. בנוסף:
- יש להגדיר כיצד לנהוג במקרה של כישלון באימות אחד מהפרוטוקולים או שניהם. 
- יש לוודא כי השולח מסוגל לבקש משרתי הנמען דיווחים על הודעות שנשלחו אליהם וכשלו. 
- יש לוודא כי ניתן לבצע בדיקה להתאמה (Alignment) בין שמות Domains שונים בהודעה. דוגמה ליישום: שימוש ב-DMARC.
17. הארגון וידא כי ברשותו שירות מודיעין סייבר שמסוגל לגלות, לזהות ולהסיר Domains בעלי שם דומה לאלו שהארגון עושה בהם שימוש.
18. הארגון וידא כי מערך הדוא"ל אינו משמש כממשק ממוכן להעברת תכתובות בין ארגונים. לחלופין, הארגון וידא כי כתנאי להחלפת דוא"ל בין הצדדים הוא משתמש במנגנון הכולל אימות הדדי והצפנה (ברמת המסר הבודד או התווך). דוגמה ליישום: שימוש ב-mTLS.</t>
  </si>
  <si>
    <t>1. הארגון וידא כי ממשק הגישה לאינטרנט אינו חושף כלפי חוץ מזהים ארגוניים (דוגמת שם משתמש או שם הפרופיל במערכת ההפעלה המשמש לגלישה).
2. הארגון וידא כי הוא מנע גישה לכתובות IP, אתרים ותכנים בעלי רמת אמון נמוכה (Trust Level). דוגמה ליישום: שימוש ב-URL Filtering למניעת גישה לשרתי פרוקסי אנונימי, אתרים/דומיינים חדשים אשר נוצרו לפני X ימים, וזאת באמצעות אכיפה ב-FW או ב-SWG הארגוני.
3. הארגון וידא כי הוא מאפשר הורדת קבצים מהאינטרנט בהתאם ל-Allowlist. דוגמה ליישום: מתן אפשרות להורדת סוגי קבצים ספציפיים בהתאם ל-True Type, וזאת באמצעות אכיפה ב-FW או ב-SWG הארגוני או שירות PDNS (Protective DNS).
4. הארגון וידא כי הוא קבע גודל קובץ מקסימלי שמשתמש יכול להוריד מהאינטרנט.
5. הארגון וידא כי לשם גישה לאינטרנט הוא דורש לקיים פעילות (Session) חדשה, אשר אינה קשורה לפעילות שיזם המשתמש במקור. דוגמה ליישום: שימוש ביכולות פרוקסי המובנות ב-FW או ב-SWG הארגוני.
6. הארגון וידא כי הוא גילה, זיהה וחסם הורדה/הרצה של נוזקות, וזאת תוך אכיפה באמצעות שרת חוצץ. דוגמה ליישום: הפעלת מודול AV ב-FW או ב-SWG הארגוני.
7. הארגון וידא כי הוא מנע הורדת קבצים מוצפנים.
8. הארגון וידא כי אתר האינטרנט שאליו ניגש משתמש אינו נחשף למזהים ארגוניים, כגון סוג וגרסת דפדפן המשתמש. דוגמה ליישום: שימוש ב-Proxy.</t>
  </si>
  <si>
    <t>11. הארגון וידא כי הוא מתיר שימוש ב-HTTP Headers בהתאם ל-Allowlist.
12. הארגון וידא כי הוא מאפשר שימוש באפליקציות P2P בהתאם ל-Allowlist.
13. הארגון וידא כי הוא מאפשר גישה לשירותי ענן ציבוריים בהתאם ל-Allowlist. דוגמה ליישום: שימוש ב-CASB.
14. הארגון וידא כי הוא גילה, זיהה וחסם אפליקציות המתחזות לדפדפן סטנדרטי.
15. הארגון וידא כי פעולת עיבוד ואחסון תוכני האינטרנט מתבצעת באופן מרוחק מיעד ההגנה שאליו המשתמש מחובר ישירות. דוגמה ליישום: שימוש ב-VDI.</t>
  </si>
  <si>
    <t>1. הארגון וידא כי אין חשיפה ישירה לאינטרנט של ממשקי הניהול של האתר/CMS (לרבות טעינת התכנים ו-APIs). כחלופה ניתן לעשות שימוש ב-VPN או בשיטה אחרת.
2. הארגון וידא כי הוא עושה שימוש במנגנון למניעת חבלה במערכת הקבצים (FIM – File Integrity Monitoring).
3. הארגון וידא כי ברשותו תמונת מצב (Snapshot), המאוחסנת בשרת מבודל ומאפשרת להחזיר את האתר למצבו המקורי בזמן קצר.
4. הארגון וידא כי הוא מחייב את המשתמש להפעיל מנגנוני הגנה מקובלים בדפדפן. דוגמה ליישום: שליחת HTTP Security Headers מקובלים לדפדפן המשתמש.
5. הארגון וידא כי הוא הגדיר ואוכף רפים וספים לבקשות המשתמשים.
6. הארגון וידא כי הוא מונע שימוש בגרסת פרוטוקול ישנה בעת גישה לאתר (Downgrade Attack).
7. הארגון וידא כי הוא הגדיר ואוכף הגדרות תצורה המורות למנועי חיפוש באילו נתיבים מותר/אסור לבצע חיפוש באתר. דוגמה ליישום: שימוש ב-robot.txt ו-sitemap.xml.
8. הארגון וידא כי תעבורת האתר אינה עוברת באופן גלוי באינטרנט. דוגמה ליישום: שימוש ב-TLS.
9. הארגון וידא כי חשיפה של מפתחות סודיים ארוכי טווח, ששימשו לשיתוף מפתחות השיחה, אינה מסכנת את סודיות מפתחות השיחה שהפרוטוקול יצר בעבר.
דוגמה ליישום: שימוש בעקרונות PFS (Perfect Forward Secrecy) מקובלים.
10. הארגון וידא כי הגביל את סוג וגודל הקבצים שניתן לטעון לאתר, וזאת באמצעות החלת Allowlist.
11. הארגון וידא כי תוקף שהשיג גישה מלאה/חלקית לאתר לא יוכל לדלג לאזורים רגישים במערכת ההפעלה. דוגמה ליישום: שימוש ב-SELinux in enforcing mode
12. הארגון וידא כי דפי האתר מאוחסנים במחיצה לוגית/פיזית נפרדת מזו שבה מאוחסנים קבצים רגישים, דוגמת קובצי מערכת ההפעלה ותהליך ה-Boot.</t>
  </si>
  <si>
    <t>13. הארגון וידא כי הוא יישם מערך הלבנה ייעודי עבור אבטחת תהליך טעינת הקבצים לאתר.
14. הארגון וידא כי ברשותו "אתר צל" (Shadow Site), המאפשר המשך פעילות מהיר בתשתית חלופית.
15. הארגון וידא כי הוא מזהה, מגלה ומסכל תקיפות אפליקטיביות נגד האתר. זאת, באמצעות שימוש ברכיב חוצץ בין האתר לאינטרנט, האוכף תכנים בהתאם ל-Allowlist וחתימות לדפוסי התנהגות מוכרים של תוקפים. דוגמה ליישום: שימוש ב-WAF.
16. הארגון וידא כי הוא משתמש במנגנון למניעת חבלה באתר (WTP – Web Tampering Protection).
17. הארגון וידא כי האתר אינו מאפשר גישה באמצעות דפדפן/אפליקציה בגרסה המכילה חולשות ידועות.
18. הארגון וידא כי קיימת הפרדה לוגית לשרתים/מופעים (Instnaces) בלתי תלויים של רכיבי התוכנה של האתר. דוגמה ליישום: 3-Tier Architecture.</t>
  </si>
  <si>
    <t>19. הארגון וידא כי הוא מסוגל להבחין בין משתמש אנושי למכונה, וכי משתמש מבוסס מכונה אינו מורשה לגשת לאתר. דוגמה ליישום: שימוש במודול Anti-Bot ב-WAF.
20. הארגון וידא כי הוא בודק תכנים של ספקי צד-שלישי לפני הזרמתם ללקוחות האתר, וזאת לשם גילוי, זיהוי וסיכול איומים.
21. הארגון וידא כי הוא מצמצם את מספר הפניות לשרת המקורי, וזאת לצד קיצור זמן התגובה ללקוחות בהתאם למיקומם בעולם. דוגמה ליישום: שימוש ב-CDN.</t>
  </si>
  <si>
    <t>22. הארגון וידא כי הוא יישם ארכיטקטורה שהקטינה את משטח התקיפה למינימום, וזאת לצד הגמשת היכולת להחלה מהירה של עדכונים. דוגמה ליישום: שימוש בארכיטקטורת Microservices.
23. הארגון וידא כי הוא מגלה, מזהה ומסכל תקיפות מקובלות נגד שרתי מסדי נתונים (דוגמת SQLi), וזאת באמצעות שימוש ברכיב ייעודי לסינון תוכן. דוגמה ליישום: שימוש ב-DAP (DB FW).
24. הארגון וידא כי הוא מצפין כל פריט מידע רגיש המוזן על ידי המשתמש ונשלח. יש לבצע זאת באמצעות מפתח הצפנה ייחודי לכל תו, ללא הסתמכות על הצפנת התעבורה הרגילה בין הלקוח לשרת.
25. הארגון וידא כי הוא בוחן בזמן אמת את איכות חוויית הלקוח. דוגמה ליישום: שימוש במערכת DEM (Digital Experience Monitoring).</t>
  </si>
  <si>
    <t>1. הארגון וידא כי ברשותו מיפוי עדכני של טווח כתובות ה-IPv4\IPv6, ה-FQDN's וה-AS's אשר משמשים אותו לצורך קישוריות לאינטרנט.
2. הארגון וידא כי החיל את הדרישות הבאות בשכבה הפנימית (Internal Layer):
א. הארגון וידא כי הוא הגדיר ליעדי ההגנה ספים (Thresholds) ורפים (Bars) המעידים על קיומה של פעילות תקינה ופעילות חריגה/חשודה.
ב. הארגון וידא כי הוא החיל הגבלת תעבורה (Rate Limit) כאמצעי הגנה על יעדי הגנה השונים (לרבות נתבי התקשורת עצמם). 
ג. הארגון וידא כי הוא טייב את תוכן הקבצים המקובלים אשר מטרתם להגדיר למנועי חיפוש אילו דפים מותר/אסור לאנדקס (Index). דוגמה ליישום: robots.txt, Sitemap.
3. הארגון וידא כי הוא החיל את הדרישות הבאות בשכבת הקצה (Edge Layer):
א. הארגון וידא כי הוא מפעיל אמצעי מקובל העושה שימוש בחתימות לשם גילוי, זיהוי וסיכול תקיפות מניעת שירות מבוזרות. 
ב. הארגון כי קיים מצב אל-כשל (fail-safe), וזאת באמצעות שימוש ביתירות (Redundancy) או בדרך חלופית. הארגון וידא כי מצב זה מתקיים מקצה לקצה (End to End).
ג. הארגון וידא כי הוא ביצע הפרדה פיזית/לוגית בין ערוצי השירותים, לשם צמצום ההשפעה של תקיפת מניעת שירות על ערוצים שונים (יש לבצע את ניהול המשאבים בערוץ נפרד).
ד. הארגון וידא כי הוא הגביל גישה ליעדי ההגנה מכתובות IP בעלות רמת אמון נמוכה. דוגמה ליישום: שימוש ב-GeoLocation\Geofencing לשם מניעת גישה משרתי פרוקסי אנונימי ומדינות עוינות.</t>
  </si>
  <si>
    <t>4. הארגון וידא כי הוא החיל את הדרישות הבאות בשכבה הפנימית (Internal Layer):
א. הארגון וידא כי ביכולתו להגדיל ולהקטין את קיבולת המשאבים באופן דינמי (Auto Scaling).
ב. הארגון וידא כי לשם התמודדות עם עומסים הוא משתמש בתקנים מקובלים הנתמכים ברמת החומרה (Hardware). דוגמה ליישום:IEEE 802.1Qbb Priority Flow Control (PFC), IEEE 802.3x Flow control with Pause frames.
ג. הארגון וידא כי לשם הקטנת העומס על יעדי ההגנה הוא שילב יכולות מקובלות הממומשות בענן ציבורי. דוגמה ליישום: העברת תכנים מ-CDN ישירות ללקוח באינטרנט.
5. הארגון וידא כי הוא החיל את הדרישות הבאות בשכבת הקצה (Edge Layer):
א. הארגון וידא כי הוא ביצע הפרדה פיזית בין ערוצי השירותים, לשם צמצום ההשפעה של תקיפת מניעת שירות על ערוצים שונים (יש לבצע את ניהול המשאבים בערוץ נפרד).
ב. הארגון וידא כי ביכולתו להבדיל בין פעילות משתמש אנושי לפעילות מכונה. בכלל זה, יש לוודא תמיכה במנגנונים מקובלים לאתגור (Challenge) המשתמש.
ג. הארגון וידא כי הוא משתמש במספר תשתיות תקשורת בלתי תלויות לשם קישוריות לאינטרנט.
ד. הארגון וידא כי ביכולתו לבצע האטה יזומה של פעילות חשודה (Tarpitting\Tarpits).
ה. הארגון וידא כי ביכולתו להעביר תעבורה חשודה/זדונית לבולען (Sinkhole) ול"חור שחור" (Blackholing).
6. הארגון וידא כי הוא החיל את הדרישות הבאות בשכבה החיצונית (External Layer):
א. הארגון וידא כי ביכולתו להנחות את ספק שירותי האינטרנט (ISP) לבצע חסימה יזומה של גישה מכתובת IP בודדת, טווח כתובות IP, וכדומה.
ב. הארגון וידא כי בעת הצורך הוא יכול להעביר את התעבורה דרך פתרון ניקוי בענן (Scrubbing).</t>
  </si>
  <si>
    <t>7. הארגון וידא כי הוא החיל את הדרישות הבאות בשכבה הפנימית (Internal Layer):
א. הארגון וידא כי קיים מצב התאוששות אוטונומי במקרה של כשל (Self- Healing). דוגמה ליישום: שימוש בארכיטקטורת Micro-Services.
ב. הארגון וידא כי ביכולתו להגדיל ולהקטין את משאבי התשתית באופן דינמי (Scale-Out\In).
8. הארגון וידא כי הוא החיל את הדרישות הבאות בשכבת הקצה (Edge Layer):
א. הארגון וידא כי הוא משתמש באמצעי מקובל המזהה אנומליה וחריג חשוד טעות (Outlier) לשם גילוי, זיהוי וסיכול תקיפות מניעת שירות מבוזרות.
9. הארגון וידא כי הוא החיל את הדרישות הבאות בשכבה החיצונית (External Layer):
א. הארגון וידא כי הוא מעביר את התעבורה דרך פתרון ניקוי בענן (Scrubbing), וזאת מעבר לשימוש באמצעי האבטחה במבואות הרשת.</t>
  </si>
  <si>
    <t>10. הארגון וידא כי הוא החיל את הדרישות הבאות בשכבה החיצונית (External Layer):
א. הארגון וידא כי הוא משתמש ביכולת GSLB\GeoDNS בתשתית ה-DNS הציבורית.
ב. הארגון וידא כי בעת עבודה בענן ציבורי, הוא משתמש בממשק תקשורת שאינו נגיש לאינטרנט. דוגמה ליישום: שימוש ב-MPLS.</t>
  </si>
  <si>
    <t>1. הארגון וידא כי הוא הטמיע נוהלי עבודה לחיבור מרחוק, המגדירים את הגבלות השימוש ואת דרישות הקונפיגורציה להתחברות.
2. הארגון וידא כי הוא החיל מנגנונים מקובלים לשם רישום, אימות ומידור גישה בין יעדי ההגנה והמשתמשים.
3. הארגוןוידא כי הוא מחייב אימות משתמש המבוסס על דרישות רב"א (Levels of Assurance) 3 ומעלה (MFA).
4. הארגון וידא כי הוא מנתב את כל ההתחברויות מרחוק דרך מספר מוגדר ומצומצם של נקודות בקרת גישה מנוהלות (דוגמת שרת SSL VPN).
5. הארגון וידא כי יעד הגנה אינו מסוגל להעביר תעבורה שמקורה ברשת הארגונית אל רשת המשתמש המתחבר מרחוק (Split Tunneling) - ולהפך. לדוגמה: המשתמש לא יוכל לשלוח הדפסה למדפסת הנמצאת ברשת הביתית שלו כאשר יעד ההגנה מחובר לרשת הארגון.
6. הארגון וידא כי ממשק ההתחברות מרחוק עושה שימוש בשכבת הצפנה אחת לפחות (In Transit). דוגמה ליישום: שימוש ב-IPSEC.
7. הארגון וידא כי הוא מנתק את פעילות המשתמש בצד השרת לאחר פרק זמן מוגדר ללא פעילות (Session Timeout).
8. הארגון וידא כי בעת התחברות מרחוק של גורם צד-שלישי (דוגמת ספק שירות), נציג מטעמו של הארגון צופה בפעילות לשם איתור חריגות. 
9. הארגון וידא כי הוא לא מאפשר אתחול (Reboot\Restart) של יעדי ההגנה בעת עבודה מרחוק.
10. הארגון וידא כי הפרוטוקול המאפשר חיבור מרחוק אינו זהה לפרוטוקול המאפשר התחברות ליעד ההגנה הסופי.
11. הארגון וידא כי חשיפה של מפתחות סודיים ארוכי טווח, ששימשו לצורך שיתוף מפתחות השיחה, אינה מסכנת את סודיות מפתחות השיחה שהפרוטוקול יצר בעבר.
דוגמה ליישום: שימוש בעקרונות PFS (Perfect Forward Secrecy) מקובלים.
12. הארגון וידא כי נקודת ההתחברות מרחוק (דוגמת URL או Login Banner) אינה חושפת מזהים ארגוניים.</t>
  </si>
  <si>
    <t xml:space="preserve">13. הארגון וידא כי לא ניתן לבצע שנמוך גרסה לפרוטוקולים שבהם נעשה שימוש (Downgrade Attack).
14. הארגון וידא כי קיים מנגנון לאיתור נתק תקשורתי עם יעדי הגנה מרוחקים. דוגמה ליישום: הפעלתDead Peer Detection (DPD).
15. הארגון וידא כי הוא מממש מנגנונים מקובלים למניעת התכחשות (Non Repudiation).
</t>
  </si>
  <si>
    <t>16. הארגון וידא כי ממשק ההתחברות מרחוק עושה שימוש בשתי שכבות הצפנה בלתי תלויות (In Transit). דוגמה ליישום: שימוש ב-IPSEC ולאחר מכן ב-TLS.
17. הארגון וידא כי גישה מרחוק לרשת הארגון מחייבת מעבר ביעד הגנה ייעודי (Jump Box) מתווך. דוגמה ליישום: VDI.
18. הארגון וידא כי המשתמש לא ביצע פעולות זדוניות, וזאת באמצעות הקלטת הפעילות וביצוע פעולות תחקור מדגמיות בדיעבד.</t>
  </si>
  <si>
    <t>10. הארגון וידא כי הוא משתמש במערכת ממוכנת לגילוי וזיהוי דפים/פרסומים המתחזים לדפים/פרסומים מטעמו או של גורם מטעמו. דוגמה ליישום: שימוש בשירותDRP (Digital Risk Protection).
11. הארגון וידא כי הוא בחן באופן תקופתי את מגמות השימוש במדיות החברתית, לשם גילוי וזיהוי אנומליה (דוגמת ירידה לא ברורה במספר המשתמשים/הצפיות).</t>
  </si>
  <si>
    <t>12. הארגון וידא כי הוא הקצה למשתמשים המתפעלים את המדיה החברתית ציוד מחשוב ייעודי, שאינו משמש לפעילות פרטית או אחרת. דוגמה ליישום: הקצאת מכשיר טלפון ייעודי לצורך אימות.</t>
  </si>
  <si>
    <t>1. יש לפנות לבקרת "אבטחת מבואות לרשת ציבורית".
2. יש לפנות לבקרת "פיתוח מאובטח".
3. יש לפנות לבקרת "אבטחת קוד פתוח".
4. יש לפנות לפרק "בקרת גישה".
5. יש לפנות לפרק "קריפטוגרפיה".
6. יש לפנות לבקרת "אבטחת תשתית PKI".
7. יש לעשות שימוש ב-Parameterized API Queries.
8. יש לוודא באופן תקופתי כי קיימת הגדרה נכונה למדיניות CORS (Cross-origin resource sharing).
9. אין להסתמך על קלט שמגיע מצד המשתמש לצורך קבלת החלטות עסקיות/אבטחה. 
10. יש לוודא באופן תקופתי כי ה-API אינו מכיל מתודות שאינן מתועדות ומאושרות.
11. יש לוודא הזרקת HTTP security headers לצד הלקוח.
12. פעמים רבות ארגונים מתקשים לממש באופן עצמאי תהליך AAA (דוגמת ניהול אסימוני אימות). לאור זאת, מומלץ להשתמש במנגנונים מקובלים שגופים רבים בתעשייה עובדים איתם.
13. יש לוודא כי האסימונים (Tokens) המשמשים לפעולות אימות/הרשאות אינם מכילים מידע רגיש/חסוי.
14. יש לוודא כי מתקיים ניטור של אנומליות עסקיות.
15. מומלץ לוודא כי ה-API חסין מפני תקיפות מקובלות. דוגמה ליישום:OWASP TOP 10 API Security.
16. יש לוודא כי הארגון הגדיר מדיניות/שיטת עבודה מול צרכני שירות, לרבות השהיית פעילות במקרים חריגים.
17.יש לזכור כי לסוג ה-API (SPA, Mobile, or Browser-Based) עשויה להיות השפעה מהותית על החלטות לגבי שיטות ועקרונות הזדהות, ניהול הרשאות/ייפוי כוח (Delegation) ומאפייני אבטחה אחרים.
18. יש לתת את הדעת על כך שסוג צרכני השירות, מיקומם וכו' עשויים להשפיע על תהליך קבלת ההחלטות בנוגע למנגנוני ה-Authorization Policies שיש להחיל עליהם. דוגמה ליישום: נוכל לאפשר קבלת בקשה פשוטה ללא החלת מנגנונים מורכבים בעת גישה פנים ארגונית לסביבת הבדיקות. 
בעת עבודה עם OAuth/OpenID Connect יש לוודא שימוש במנגנוןPKCE (Proof Key for Code Exchange by OAuth Public Clients), RFC 7636.
19. יש לוודא את הגדרת ה-Caching Policies לריענון האסימונים. זאת, לשם מניעת שימוש לרעה באסימונים פגי תוקף (Invalidate Cached Credentials) או באסימונים שעדיין תקפים על אף שהמשתמש הלגיטימי כבר אינו נמצא במצב פעילות (Session).
20. יש לזכור כי רמת האבטחה של אסימונים יכולה להשתנות בהתאם לסביבת הפעולה. לדוגמה, אסימון מסוים יכול לספק רמת אבטחה טובה בעת עבודה עם דפדפן (Browser), אך לספק רמת אבטחה פחותה כשמשתמשים בו באפליקציה טבעית (Native Application). לאור זאת, ייתכן שהארגון יידרש לממש אסימונים שונים עבור כל סביבה פעולה.
21. יש לוודא מימוש של HTTP security headers רלוונטיים, וזאת לשם שיפור רמת החוסן להגנת ה-API ככלל, והטוקנים בפרט.
22. חלק מיצרני הפתרונות לניהול API מאפשרים אכיפת מדיניות מרכזית ותבניות מוגדרות, ומומלץ לממש זאת.</t>
  </si>
  <si>
    <t>1. הארגון וידא כי ברשותו מיפוי עדכני של הדרישות לאבטחה ולשימוש ב-API, וזאת בהתאם לדרישות החוק והרגולציה, דרישות חוזיות וצרכים עסקיים. דוגמה ליישום: Open Banking.
2. הארגון וידא כי הוא הגדיר ספים (Bars) ורפים (Thresholds) עבור בקשות המוגשות ל-API בזמן נתון (Rate Limiting).
3. הארגון וידא כי הוא הגדיר תהליך לרישום/אישור/הסרה של גורמים המעורבים במחזור החיים של ה-API.
4. הארגון וידא כי הוא התיר גישה ל-API למסגרת זמן מוגדרת, שאחריה המשך מתן הגישה ייבחן בשנית.
5. הארגון וידא כי הוא עושה שימוש באסימוני אימות ובניהול הרשאות מקובלים.
6. הארגון וידא כי גישה ל-API מתבצעת על תווך מוצפן בלבד. דוגמה ליישום: שימוש ב-TLS.
7. הארגון וידא כי הוא אינו מאפשר גישה אנונימית ל-API.
8. הארגון וידא כי ה-API נכתב בהתאם לסטנדרטים מקובלים ופתוחים. דוגמה ליישום: OpenAPI
9. הארגון וידא כי ה-API תוכנן ופועל בהתאם לעקרונות מקובלים, דוגמת אַטוֹמִיוּת, עִקְבִיּוּת, בִּידוּד ועֲמִידוּת (ACID - ‏Consistency‏, ‏Isolation‏, ‏Durability, ‏Atomicity).
10. הארגון וידא כי ה-API עושה שימוש בפורמט מוגדר וסטנדרטי.
11. הארגון וידא כי האסימונים שמשתמשים את ה-API אינם מכילים מידע רגיש/חסוי שאינו נדרש.
12. הארגון וידא כי ה-API שקובע את ההרשאות בפועל הוא ה-API הקרוב ביותר למשאב (Resource).
13. הארגון וידא כי ניתן לבצע Discovery ל-API מ-Allowlist בלבד.
14. הארגון וידא כי גישה ל-API אפשרית מ-Allowlist בלבד.
15.  הארגון וידע כי בדיקת זהות המשתמש ובדיקת הרשאות הגישה נאכפת בכל בקשה (Pre Request) ולא רק ברמת הפעילות (Session).
16. הארגון וידא כי אין אפשרות לבצע פנייה ב-API מסביבות נמוכות (פיתוח, בדיקות, קדם ייצור) לסביבת הייצור. במקרה הצורך יש להגדיר חשבון עם הרשאות מוגבלות לשם ביצוע הפעולה, ולאחר סיום הפעולה לבטל את הגישה לאלתר.</t>
  </si>
  <si>
    <t>17. הארגון וידא כי הוא זיהה, גילה וסיכל תקיפות אפליקטיביות נגד ה-API. זאת, באמצעות שימוש ברכיב חוצץ בין ה-API למשתמשים, האוכף תכנים בהתאם ל-Allowlist וחתימות לדפוסי התנהגות מוכרים של תוקף. דוגמה ליישום: שימוש ב-API Gateway.
18. הארגון וידא כי  הוא מאפשר גישה רק לגרסה העדכנית של ה-API, או באופן זמני לכל היותר לשתי גרסאות לאחור.
19. הארגון וידא כי הגישה ל-API מתבצעת בכפוף לאימות הדדי. דוגמה ליישום: שימוש ב-mTLS.
20. הארגון וידא כי הוא בחן השעיית גישה של צרכן אשר חרג משימוש סביר ב-API (הנגזר מהיקף לקוחותיו של צרכן המידע וממספר פניות סביר).
21. הארגון וידא כי הוא בחן השעיית גישה של צרכן אשר ניסה לבצע פעולה חריגה העשויה לסכן את הארגון ו/או את לקוחותיו.
22. הארגון וידא כי הוא בחן השעיית גישה של צרכן אשר יש סבירות כי קיימת אצלו פרצת אבטחה המסכנת את הארגון ו/או את לקוחותיו.
23. הארגון וידא כי כל בקשת צרכן חתומה דיגיטלית/עם חותם דיגיטלי (Electronic Seal) על ידי תעודה מוכרת הממופה בצד הארגון לתפקיד מוגדר.
24. הארגון וידא כי הוא יישם מנגנונים מקובלים להתמודדות עם מצבים שבהם האסימון הועבר באופן לא רצוני ליעד הגנה שאינו מאושר על ידי הארגון. דוגמה ליישום: שימוש במנגנון Token Exchange.
25. הארגון וידא כי הוא העדיף לעשות שימוש ב-API הפועל בתצורת עבודה מסוג "האצלת סמכות" (Delegation) ולא בתצורת "התחזות" (Impersonation), אשר נחשבת לפגיעה יותר.</t>
  </si>
  <si>
    <t>28. הארגון וידא כי הוא בחן בזמן אמת את איכות חוויית הלקוח באמצעות הדמיית פניות ממקומות שונים בעולם. דוגמה ליישום: שימוש במערכת DEM (Digital Experience Monitoring).</t>
  </si>
  <si>
    <t>1. יש לפנות לבקרת "בדיקת היגיינה טכנולוגיות של יעדי הגנה".
2. יש לפנות לבקרת "אבטחת מכשירים ניידים".
3.  יש לפנות לבקרת מניעה והתמודדות עם קוד זדוני/נוזקות (Malware).
4. יש לקשר את מערכת השו"ב של הטלפונים הסלולריים למערך הבקרה הרציפה והמתמשכת של הארגון, וזאת כדי לאפשר קבלת תמונת מצב עדכנית.
5. יש לזכור כי השימוש במכשירי טלפון ניידים הוא נרחב, וכי לתוקפים יש מוטיבציה גבוהה לגנוב מכשירים - בין אם לצורך מכירה של החומרה או לשם ריגול עסקי, לדוגמה.
6. רצוי להקשיח את הטלפון הנייד, כך שהוא לא יעשה שימוש בתשתיות ישנות (דוגמת G2\G3) שיש להן חולשות ידועות הניתנות לניצול לרעה באופן קל יחסית.
7. בעת עבודה עם BYOD מתבצעת הפרדה בין מידע הקשור לעבודה למידע פרטי, כך שבמקרה הצורך ניתן למחוק את "מידע העבודה" בלי לפגוע במידע הפרטי.
8. השימוש ב-MDM\EMM חיוני כיום לשם שליטה ובקרה מרכזית על טלפונים ניידים.
9. יש לוודא כי ברשות הארגון יכולת אפקטיבית לביצוע Remote Wipe.
10. יש לבחון אם ניתן לחסום את התמיכה בעבודה בתצורת Hotspot (Wi-Fi).
11. יש לוודא כי הנהלת הארגון אישרה אחת לשנה לפחות את המדיניות הארגונית ונוהלי העבודה בנושא הגנה על טלפונים ניידים.
12. יש לתת את הדעת על כך שיש מדינות המבצעות בדיקות פורזניות לטלפונים ניידים אשר נכנסים למתחמים שונים, דוגמת שדות תעופה - לעתים אף ללא ידיעת/הסכמת המשתמש.
13. יש לוודא כי המשתמשים קיבלו הדרכת מודעות תקופתית לגבי האיומים בשימוש בטלפון נייד, למשל בעת התחברות לרשת ציבורית בחו"ל או בעת מסירת המכשיר לתיקון.
14. יש לוודא כי ההדרכות למודעות עובדים כוללות סקירה של איומים הנובעים משימוש במטען חשמלי וב-Wi-Fi ציבורי (לרבות בבית מלון וכדומה).</t>
  </si>
  <si>
    <t>1. ודאו כי תרשים הארכיטקטורה והיישום בפועל כוללים שימוש ב-PEP קדמי ו-PEP אחורי.
2. ודאו כי מפרט היצרן עונה לדרישות הבקרה. 
3. ודאו כי קיימת בקרה מפצה פעילה. דוגמה ליישום: שימוש ב-WAF.
4. ודאו באופן מדגמי כי לא ניתן לבצע אימות ל-PEP הקדמי באמצעות חשבונות פנימיים.
5. ודאו באופן מדגמי כי לא ניתן לבצע אימות ל-PEP האחורי באמצעות חשבונות חיצוניים.
6. ודאו באופן מדגמי כי ה-PEP הקדמי אינו מכיל קבצים/מידע כאשר המשתמש אינו מחובר.
7. ודאו כי הרשאות מערכת ה-MFT כוללות מידור ההולם את צורכי הארגון.
8. ודאו כי משתמשים אנושיים הניגשים למערכת ה-MFT נדרשים לעבור בהצלחה MFA כתנאי לגישה למידע.
9. ודאו כי משתמשים לא-אנושיים הניגשים למערכת ה-MFT נדרשים לעבור בהצלחה MFA + גישה מכתובת IP מוגדרת כתנאי לגישה למידע.
10. ודאו כי מערכת ה-MFT מנתקת את המשתמש לאחר X דקות ללא פעילות.
11. ודאו כי מערכת ה-MFT עושה שימוש בגרסה עדכנית (לרבות פלגאנין ברמת דפדפן/מחשב).</t>
  </si>
  <si>
    <t>22. הארגון וידא כי רכיבי מערכת ה-MFT מממשים עקרונות מקובלים בהנדסת תוכנה, דוגמת אַטוֹמִיוּת, עִקְבִיּוּת, בִּידוּד ועֲמִידוּת (ACID - Atomicity, Consistency, Isolation, Durability).
23. הארגון וידא כי מנהל מערכת ה-MFT אינו יכול לראות את תוכן המידע, גם אם ברשותו הרשאות מלאות. 
24. הארגון וידא כי לאחר קבלת הקובץ/המסר, הנמען שולח הודעה כי המידע התקבל בהצלחה. דוגמה ליישום: שימוש בפרוטוקול AS4.</t>
  </si>
  <si>
    <t>1. יש להתייחס למפתחות ההצפנה כאל מידע חסוי.
2. ניתן לעשות שימוש ב"הצפנת דבש" (Honey Encryption) כדי להטעות תוקפים.
3. עקב הקושי ביישום נכון, יש להעדיף שימוש במנגנונים מקובלים ועדכניים למימושKMS (Key Management Services), ולא להסתמך על מנגנונים בפיתוח עצמי.
4. יש לוודא כי ספק הענן הציבורי מספק יכולות KMS (Key Management Services) מקובלות, דוגמת BYOK (Bring Your on Key) ו-Hold your own key (HYOK).
5. יש לבדוק באופן תקופתי כי אלגוריתמי/פרוטוקולי הקריפטוגרפיה שבהם משתמש הארגוןהם עדכניים, ועונים לפרופיל הסיכון באופן מיטבי.
6. לאחר החלפת מפתח הצפנה של מידע המאוחסן במנוחה (At Rest), יש לבצע מידית פענוח והצפנה מחדש של המידע.
7. על הארגון לוודא כי ברשות הארגון מידע עדכני על יכולות קריפטוגרפיה (תקיפה/הגנה) חדשות בזירה. הערכת הסיכונים (Risk Assessment) ליעד הגנה צריכה לכלול התייחסות לסיכונים הנגזרים מעולם הקריפטוגרפיה.
8. יש לוודא התייחסות לכל האלגוריתמים הרלוונטיים שבהם משתמש הארגון, דוגמת Key Establishment, Digital Signature, Digital Signature, Integrity, Confidentiality.
9. חשוב להסיר מפתחות קריפטוגרפיים המגיעים כברירת מחדל עם יעד ההגנה, וזאת לפני תחילת השימוש בהם.
10. יש לוודא כי יעדי ההגנה אינם עושים שימוש באלגוריתמים/פרוטוקולים פגיעים, דוגמת SSL v2, SSL v3, TLS 1.0, MD5, SHA-1.
11. ניתן לבצע הצפנה של מידע במספר ממדים: בעת אחסון במנוחה (At Rest), בתהליך עיבוד (At Processing) ובעת שינוע (In Transit).
12. ניתן לממש הצפנה בעת אחסון במנוחה (At Rest) ברמת דיסק הקשיח (FDE – Full Disk Encryption), מחיצה לוגית (Logic Partition), מחיצה וירטואלית (Virtual Partition), ספריה או קובץ.
13. יש להצפין את הדיסק הקשיח (FDE – Full Disk Encryption) של יעדי ההגנה, וכן את התעבורה לממשקי ניהול והעברת מידע. הדבר נכון גם לגבי יעדי הגנה הנמצאים פיזית במתחם הארגון.
14. ניתן להשתמש בגיבוב חד-כיווני (Hash) ו-Fuzzy Hashing לצורך ציד איומים (Threat Hunting).
15. ניתן להשתמש ביכולות קריפטוגרפיה ייעודיות לשם הגנה על מידע רגיש/חסוי המאוחסן בסביבה שאינה נשלטת במלואה (דוגמת סביבת ענן ציבורי). דוגמה למימוש: הצפנה הומומורפית (Homomorphic Encryption) או הצפנה פונקציונלית (Functional Encryption).
16. יש מקרים שבהם יצרן פתרון מצהיר כי הוא מבצע הצפנה של מידע, כאשר בפועל מתברר כי המימוש מבוסס על מיסוך (Masking).
17. יש לוודא התייחסות למחזור החיים המלא של המפתחות, דוגמת:
א. Key generation or acquisition 
ב. Key encryption algorithms 
ג. Key validity/rotation 
ד. Key distribution 
ה. Key Inventory 
ו. Key function isolation 
ז. Key rotation 
ח. Key revocation 
ט. Key replacement 
י. Key compromise 
יא. Key destruction 
יב. Key recovery
18. בעת מימוש הצפנה ביעדי הגנה יש לוודא כי לא ניתן לחבר מדיות עם גרסת הצפנה ישנה.
19. בעת מימוש הצפנה ביעדי הגנה יש לוודא כי מערכת ההפעלה אינה מזהה מדיה המחוברת למחשב כאשר הוא במצב נעילה (Lock).
20.  יש לוודא כי ברשות הארגון מיפוי עדכני של דרישות חוק ורגולציה, דרישות חוזיות וצרכים עסקיים הרלוונטיים לנושא הקרפיטוגרפיה.</t>
  </si>
  <si>
    <t>1. ודאו כי סוג האלגוריתמים/הפרוטוקולים שבהם נעשה שימוש עומד בהמלצות סטנדרטים מקובלים, דוגמת אלו של NIST.
2. ודאו כי נעשה שימוש בספריות קוד קריפטוגרפיות מוכרות ועדכניות.
3. ודאו כי ברשות הארגון מענה אפקטיבי לתרחישים שונים בעולם הקריפטוגרפיה, דוגמת אובדן/גניבת מפתחות, החלפת מפתח עקב פג-תוקף, או חולשה באלגוריתם/פרוטוקול.
4. ודאו באמצעות צוות סגול כי לא ניתן לשנמך את פרוטוקולי/אלגוריתמי העבודה לגרסה חלשה מזו המומלצת.
5. ודאו כי מודולי הקריפטוגרפיה עומדים בדרישות תקינה מקובלות, דוגמת FIPS 140-3 Level 3.
6. ודאו כי נוהלי הארגון מגדירים מחזור למפתחות, "סודות" וכדומה, וכי הנהלים נאכפים בפועל.
7. ודאו כי הארגון נעזר בהצפנה בתרחישים מקובלים להגנה על מידע.
8. ודאו כי ברשות הארגון מערכת ניהול מרכזית לתהליכי הקריפטוגרפיה בארגון. דוגמה: KMS (Key Management Server).
9. ודאו כי הארגון משלב יכולות הגנת חומרה בעת שימוש בקריפטוגרפיה. דוגמה: Bitlocker + TPM.
10. ודאו מימוש של Confidential Computing בסביבת ענן.
11. ודאו כי תהליך החלפת מפתחות/סודות מתבצע ללא צורך במעורבות אנושית.
12. ודאו כי ברשות הארגון מיפוי עדכני של דרישות החוק והרגולציה, הדרישות החוזיות והצרכים העסקיים הרלוונטיים לנושא קרפיטוגרפיה, וכי הדרישות מוחלות ביעדי ההגנה בהתאם.</t>
  </si>
  <si>
    <t>1. הארגון וידא כי הוא בחן את הצורך במימוש קריפטוגרפיה בתהליכי העבודה השונים, וזאת תוך התייחסות לנושאים הבאים:
א. מיפוי דרישות חוקיות, רגולטוריות, חוזיות ועסקיות רלוונטיות. 
ב. סטנדרטים מקובלים ועדכניים לבחינת החוזק של  אלגוריתמים ופרוטוקולים קריפטוגרפיים, לרבות התייחסות למחזור החיים. 
ג. רשימת תרחישים המחייבים הפעלת יכולות קריפטוגרפיה, וזאת בהתאם למתאר הסיכון. 
להלן דוגמה לתרחישים המחייבים שילוב קריפטוגרפיה ביעדי ההגנה:
• שמירה על סודיות המידע (פרטי אימות וכדומה) בעת גישה לממשק ניהול של יעד הגנה.
• שמירה על סודיות המידע בעת העברת מידע רגיש/חסוי מדפדפן או יישום מובייל לשרת אפליקציה או שרת VPN.
• שמירה על סודיות המידע שמאוחסן בטלפון/מחשב נייד של עובד או בדפדפן (דוגמתAuthentication Cookies).
• שמירה על סודיות סיסמאות של משתמשים ויישויות המאוחסנות בשרת אפליקציה.
• ביצוע בדיקות פורנזיות, דוגמת השוואה של ערך תמצות/גיבוב חד-כיווני (Hash) של ארטיפקטים (דוגמת קבצים) מול IOC/IOA/IOE; או במסגרת עמידה בעקרונות חקירה מקובלים, דוגמת שמירת שרשרת הראיות (Chain of Custody).
• מניעת שידור חוזר של מידע היסטורי (Replay Resistance).
• מחיקת מידע המאוחסן בספק ענן ציבורי (Crypto-Shredding).
• שינוע קבצים תוך שמירה על רמת מהימנות ושלמות המידע (Integrity).
2. הארגון וידא כי הוא משתמש בספריות קוד עדכניות ובעלות מוניטין חיובי לצורך ניהול תהליכי הקריפטוגרפיה. אם הארגון החליט לפתח באופן עצמאי קוד למטרות אלו, עליו לעשות זאת אך ורק אם וידא כי קיימת ברשותו רמת מומחיות נאותה.
הגנה על תהליך ניהול המפתחות הקריפטוגרפיים:
3. הארגון וידא כי הוא הגדיר והטמיע נוהלי עבודה לניהול מפתחות קריפטוגרפיים, המקיפים את כל מחזור החיים שלהם: מיפוי יעדי ההגנה שמשתמשים במפתחות; תהליך הנפקת המפתחות; שמירה על המפתחות (דוגמת מפתח פרטי); הגנה על שרתי הנפקת המפתחות; הפצת מפתחות; החלפת מפתחות; ביטול מפתחות; ומחיקה בלתי הדירה של המפתחות בתום השימוש [ראו בקרת "מחיקת מידע ממצעי אחסון ורשומות פיזיות (גריטה וגריסה)"].
4. הארגון וידא כי ברשותו יכולת אפקטיבית לשחזור מפתח במקרה של אובדן, תקלה טכנית או סירוב של משתמש להמציא העתק של המפתח (לדוגמה, שחזור נתונים לאחר אובדן מפתח הצפנה של מערך הגיבוי). 
בקרת גישה:
5. הארגון וידא כי כל משתמש עם הרשאות גישה לניהול מפתחות קריפטוגרפיים מחויב לעמוד בדרישות הרב"א ההולמות את מתאר הסיכון (MFA לדוגמה). 
6. הארגון וידא כי הוא קבע והגדיר מיהם הגורמים המורשים שמעורבים במחזור החיים של המפתחות, וכן מהי רמת המהימנות הנדרשת מכל בעל תפקיד. 
ניטור:
7. הארגון וידא כי פעולות הקשורות לניהול המפתחות והשימוש בהם מתועדות ללוג חיצוני, תוך שמירה על עיקרון האחריותיות (Accountability) 
שימוש בהצפנה:
8. הארגון וידא כי כברירת מחדל הוא מחייב הצפנה של מידע רגיש/חסוי בעת שינוע (Data In Transit), וזאת באמצעות פרוטוקולים ואלגוריתמים עדכניים ומקובלים.
חוזק אלגוריתמי קריפטוגרפיה:
9. הארגון וידא כי הוא משתמש באלגוריתמים/פרוטוקולים בתהליכי קריפטוגרפיה, וזאת בהתאם להמלצות יצרני יעדי ההגנה.</t>
  </si>
  <si>
    <t>30. הארגון וידא כי הוא חותם דיגיטלית על כל המסרים, כדי למנוע אפשרות להתכחשות  (Non-repudiation).
שימוש בהצפנה
31. הארגון וידא כי הוא משתמש במנגנונים קריפטוגרפיים המאפשרים לבצע פעולות חישוב באופן פומבי או באזור בעל רמת אמון נמוכה (דוגמת סביבת ענן ציבורי) בלי לחשוף ללא מורשים פרטי מידע רגישים/חסויים [לדוגמה, שימוש בהצפנה הומומורפית (Homomorphic Encryption), הצפנה פונקציונלית (Functional Encryption) או Confidential Computing]. 
32. הארגון וידא כי הוא הטמיע תהליך המונע מצב שבו מידע יהיה גלוי (Clear Text) בעת החלפת מפתחות הצפנה.
33. הארגון וידא כי כברירת מחדל הוא מצפין מידע רגיש/חסוי: בעת שינוע (Data In Transit) באמצעות שתי שכבות הצפנה בלתי תלויות; ובעת אחסון (Data At Rest) או תהליך (Data in Process) על ידי שכבת הצפנה אחת לפחות - וזאת תוך שימוש בפרוטוקולים ובאלגוריתמים עדכניים ומקובלים. 
34. הארגון וידא כי כברירת מחדל הוא מממש ארכיטקטורת הצפנה מקצה לקצה (E2EE - End-to-End Encryption).
חוזק אלגוריתמי קריפטוגרפיה
35. הארגון וידא כי בתהליכי קריפטוגרפיה הוא משתמש באלגוריתמים/פרוטוקולים החסינים מפני תקיפות שכוללות שימוש במחשוב מקובל/מסורתי ומחשוב קוואנטי (Quantum Computing), וזאת בהתאם להמלצת מומחה קריפטוגרפיה בעל מוניטין ידוע ותוך התייחסות לסטנדרטים מקובלים ועדכניים בתחום.</t>
  </si>
  <si>
    <t>1. הארגון וידא כי הוא יישם תהליך חילול מפתחות הכולל שימוש בפרקטיקות תוכנה מקובלות ועדכניות. דוגמה ליישום: שימוש במחולל רחש -PRNG - Pseudorandom Number Generator.</t>
  </si>
  <si>
    <t>2. הארגון וידא כי תהליך חילול המפתחות מתבצע בחומרה ייעודית, שאינה זו אשר מספקת שירותים למשתמשים בשגרה. דוגמה ליישום: שימוש במחשב ייעודי לצורך חילול מפתחות המשמשים להנפקת תעודות דיגיטליות.</t>
  </si>
  <si>
    <t>3. הארגון וידא כי תהליך חילול המפתחות עושה שימוש בפרקטיקות מקובלות ועדכניות, המבטיחות רמת אנטרופיה גבוהה. דוגמה ליישום: שימוש ברחשHRNG (Hardware Random Number Generator)\TRNG (True Random Number Generator).
4. הארגון וידא באמצעות מבחנים מקובלים בתחום (דוגמתAIS 20/31 , ISO 15408 - Common Criteria EAL 3 or Higher ,NIST SP 800-22) כי תהליך החילול אכן מציג רמת אנטרופיה גבוהה, וזאת בהתאם למקובל בעולם הקריפטוגרפיה.
5. הארגון וידא כי הוא משלב פרקטיקות מקובלות ועדכניות כדי לצמצם למינימום את האפשרות כי תוקף ינצל לרעה מידע שהופק מערוצי הצד השונים. דוגמה ליישום: הוספת רחש אקראי/רעש רקע לתהליך חילול המפתחות.
6. הארגון וידא כי בתהליך חילול המפתחות הוא משתמש בפרקטיקות מקובלות ועדכניות לצורך האצה חומרתית, וזאת לשם שיפור ביצועים וצמצום הפגיעה בחוויית המשתמש. דוגמה ליישום: שימוש בכרטיס האצה (ASIC).</t>
  </si>
  <si>
    <t>7. הארגון וידא כי תהליך החילול כולל שימוש בפרקטיות מקובלות ועדכניות ליצירת רצף מושלם של מספרים אקראיים. דוגמה ליישום:QRNG (Quantum Random Number Generator).</t>
  </si>
  <si>
    <t>1. יש להגדיר פעולות רגישות אשר מחייבות אישור סימולטני של שני משתמשים (Dual-Control). דוגמה לפעולות מסוג זה:
א. יצוא מפתח פרטי של משתמש.
ב. גישה למפתח פרטי על ידי משתמש שאינו בעלי המפתח המקורי.
ג. שינוי הגדרות המדיניות/הרשאות שרת ה-CA/RA.
ד. הוספה/הסרה של שרת CA/RA.
2. יש לוודא כי שרת ה-CA\RA אינו משמש כשרת CRL\OCSP הנגיש למשתמשי פנים/חוץ.
3. יש מקרים שבהם ניתן להחליף סודות בין צדדים, תוך שימוש באלגוריתם הצפנה אסימטרי המחייב ניהול מרכזי של מפתחות. דוגמה ליישום: CLAE (Certificate-Less Authenticated Encryption).
4. יש לוודא כי נעשה שימוש במנגנון Digital Certificate Chaining\Certificate Pinning.
5. בעת התכנון יש להתייחס לסוגיית Traversing a Certificate Hierarchy.
6. בעת ביצוע Trust בין CA/RA נפרדים, יש לתת את הדעת למשמעות הנגזרת מעבודה בתצורת Bilateral Cross-Certification.
7. ניתן לאכוף שימוש בתווך מוצפן ברמת האפליקציה. דוגמה ליישום: הזרקת כותרת (Headers) מסוג HSTS (HTTP Strict Transport Security).
8. יש להתייחס לכל האלגוריתמים הרלוונטיים שבהם משתמש הארגון, דוגמתKey Establishment, Digital Signature, Digital Signature, Integrity,  Confidentiality.
9. יש לשים לב לכך שהמימוש של תשתית PKI עשוי להיות מבוסס על טכנולוגיות דוגמת ABE (Attribute Based Encryption).</t>
  </si>
  <si>
    <t>1. ודאו כי קיימת היררכיית PKI בהתאם לעומק היישום.
2. ודאו כי כאשר פג תוקפה של תעודה דיגיטלית, יעד ההגנה מונע מהמשתמש להשתמש בה.
3. ודאו כי לאחר הגדרת תעודה דיגיטלית כאבודה/גנובה, יעד ההגנה מונע מהמשתמש להשתמש בתעודה.
4. ודאו כי כל תעודה דיגיטלית משמשת למטרה ספציפית אחת בלבד (דוגמת להצפנת מידע או לחתימה, אך לא לשתי הפעולות).
5. ודאו כי הארגון הגדיר פעולות רגישות המחייבות אישור סימולטני של שני משתמשים (Dual-Control).
6. ודאו כי ברשות הארגון תהליך מנוהל למחזור החיים של תעודות דיגיטליות.
7. ודאו באופן מדגמי כי הארגון אינו משתמש בתעודות דיגיטליות בעלות רמת אמון נמוכה.
8. ודאו כי רמת החשיפה של שרתי ה-CA למשתמשים/יעדי הארגון היא מינימלית.
9. ודאו כי התעודות הדיגיטליות מאוחסנות בהתקן מאובטח, דוגמת HSM העומד בדרישות תקינה מקובלת.
10. ודאו כי ברשות הארגון מערכת ניהול מרכזית, המתריעה לפני שפג תוקפה של תעודה דיגיטלית, דוגמת תעודה של אתר הארגון.
11. ודאו כי ניהול התעודות הדיגיטליות מתבצע תוך צמצום למינימום של מעורבות אנושית.
12. ודאו כי הארגון משלב יכולות אבטחה בחומרה לשם הגנה על תעודות דיגיטליות. לדוגמה: TPM.</t>
  </si>
  <si>
    <t xml:space="preserve">1. כללי:
א. הארגון וידא כי הוא הגדיר וקבע תרחישים לשימוש בתעודות דיגיטליות.
2. ניהול תעודות דיגיטליות:
א. הארגון וידא כי הוא רכש תעודות דיגיטליות ציבוריות מגורם מוכר ומהימן, באופן הכולל ביצוע זיהוי הדדי בין הגופים באמצעות אמצעים מקובלים. דוגמה ליישום: רכישת EV SSL Certificate.
ב. הארגון וידא כי הוא ביצע הסרה/החלפה של Self-signed certificate מיעדי הגנה לפני ששילב אותם בסביבת הייצור. 
ג. הארגון וידא כי לא ניתן לייצא את המפתח הפרטי של התעודה הדיגיטלית לאחר התקנתה ביעד הגנה. 
ד. הארגון וידא כי אורך החיים של תעודה דיגיטלית לא יעלה על שנתיים.
3. דרישות היררכיה מתשתית ה-PKI:
א. הארגון וידא כי הוא נסמך על תעודות דיגיטליות ממקור צד שלישי מוכר ומהימן. דוגמה ליישום: שימוש בתעודה דיגיטלית חוקית באתר האינטרנט של הארגון. </t>
  </si>
  <si>
    <t>4. כללי:
א. הארגון וידא כי ביכולתו לשחזר באופן תקין את היררכיית ה-PKI, וזאת באמצעות הכללתה בתהליכי הגיבוי/שחזור הארגוניים.
ב. הארגון וידא כי ברשותו סביבת מעבדה, המדמה את סביבת הייצור ומשמשת לבחינת שינויים בטרם החלתם.
ג. הארגון וידא כי תשתית ה-PKI מסונכרנת עם מקור זמן מהימן בארגון.
ד. הארגון וידא כי יעדי ההגנה המשרתים את תשתית ה-PKI אינם משרתים פונקציונליות נוספת/אחרת.
5. ניהול תעודות דיגיטליות:
א. הארגון וידא כי תעודות דיגיטליות שנמצאות בשימוש קבוע מחודשות לפני מועד תפוגתן, וכאשר הן מוחלפות מופץ באופן מיידי עדכון על כך ליעדי ההגנה. דוגמה ליישום: פרסום אודות עדכון הסטטוס יתבצע באמצעות CRL\OCSP.
ב. הארגון וידא כי רק גורמים מורשים יכולים להתקין תעודות דיגיטליות ביעדי ההגנה.
ג. הארגון וידא כי רק גורמים מורשים יכולים להגדיר תעודה דיגיטלית כ-Trusted.
ד. הארגון וידא כי הוא קבע מבנה אחיד לתעודות הדיגיטליות, שגורם התפעול אינו יכול לשנות באופן עצמאי. דוגמה ליישום: שימוש ב-Certificate Template.
ה. הארגון וידא כי אורך החיים של תעודה דיגיטלית של שרת CA אינו עולה על 5 שנים.
6. דרישות היררכיה מתשתית ה-PKI:
א. הארגון וידא כי הוא משתמש בהיררכיה המבוססת על שכבה אחת לפחות – Root &amp; Issuing CA.
7. הגנה על המפתחות הפרטיים המאוחסנים ב-CA's:
א. הארגון וידא כי שרתי ה-CA ומערך האחסון והגיבוי פועלים במתחם בעל אבטחה פיזית נאותה. 
ב. הארגון וידא כי בעלי הרשאה לוגית/פיזית לגישה לשרתי ה-CA ולמערך האחסון והגיבוי הם בעלי רמת מהימנות מתאימה. 
ג. הארגון וידא כי גיבוי תעודות דיגיטליות מחייב שימוש במפתח הצפנה שאינו ידוע לצוות שמתפעל את מערך ה-PKI. 
ד. הארגון וידא כי גיבוי תעודות דיגיטליות (עם מפתח פרטי) מתבצע למדיית גיבוי ייעודית. 
8. שימוש בכרטיס חכם:
א. הארגון וידא כי בעת עבודה עם כרטיס חכם, גישה למפתח הפרטי מחייבת השלמה מוצלחת של אימות העומד בדרישות רב"א 1/2 ומעלה. דוגמה ליישום: PIN Code.
9. תגובה לאירועים חריגים:
א. הארגון וידא כי הוא מבצע הסרה מלאה של תעודות דיגיטליות פגות תוקף.
ב. הארגון וידא כי הוא מבצע הסרה מלאה של תעודות דיגיטליות בעלות רמת אמון נמוכה. דוגמה ליישום: תעודה דיגיטלית שהמפתח הפרטי שלה אבד או נגנב תוסר מיעדי ההגנה באמצעות כלי ניהול הגדרות תצורה/הפצת תוכנה.
ג. הארגון וידא כי הוא מבטל (Revoke) בזמן אמת או קרוב לזמן אמת תעודות דיגיטליות שהוכרזו כבלתי מהימנות. דוגמה ליישום: תעודה דיגיטלית שאבדה או נגנבה תבוטל על ידי צוות ה-IT, ופרסום אודות עדכון הסטטוס יתבצע באמצעות CRL\OCSP.
ד. הארגון וידא כי ברשותו תהליך תגובה למקרה של גניבה/אובדן של מפתח פרטי, לרבות מפתח פרטי של שרת CA.</t>
  </si>
  <si>
    <t>10. כללי:
א. הארגון וידא כי הוא מסיר מיעדי ההגנה באופן תקופתי תעודות דיגיטליות של שרתי CA צד שלישי, אשר אינם דרושות לעבודה שוטפת.
ב. הארגון וידא כי הוא מחייב את כל יעדי ההגנה לבדוק את סטטוס התקינות/קבילות של התעודות הדיגיטליות לפני מתן אמון בהן (OCSP\CRL).
ג. הארגון וידא כי הוא הקצה יעדי הגנה ייעודיים המספקים שירות בפרוטוקולים CRL\OCSP, וזאת תוך הפרדה בין הסביבה המספקת שירות ללקוחות פנים וחוץ.
11. ניהול תעודות דיגיטליות:
א. הארגון וידא כי לכל תעודה דיגיטלית מוגדרת פונקציונליות יחידה. לדוגמה: תעודה דיגיטלית שמאפשרת הצפנה של מידע על ידי משתמש לא תכלול יכולת לביצוע חתימה דיגיטלית על המידע.
12. דרישות היררכיה מתשתית ה-PKI:
א. הארגון וידא כי הוא עושה שימוש בהיררכיה דו-שכבתית:
• שכבת Offline Root CA.
• שכבת Online Issuing CA, בהתאם לסוגי התעודות הדיגיטליות המותרים להנפקה, וזאת ביחס למיקום הפיזי/לוגי של השרת והלקוחות.
13. הגנה על המפתחות הפרטיים המאוחסנים ב- CA's:
א. הארגון וידא כי גישה ליותר משני מפתחות פרטים (Private Keys) מחייבת אישור סימולטני של שני מורשים בלתי תלויים (Two Roles), אשר מבצעים אימות מקדים לפעולה בהתאם לרב"א 4. 
ב. הארגון וידא כי שרתי ה-CA מותקנים ברשת ייעודית ומבודדת (OOB).
ג. הארגון וידא כי אחסון ועיבוד תעודות דיגיטליות (עם מפתח פרטי) מתבצע במודול חומרה מובנה מאובטח (HSM - Hardware Security Module), העומד בדרישותCommon Criteria EAL 3+, FIPS 140-3 Level 3+.
ד. הארגון וידא כי מודול האחסון מכיל יכולת למחיקה בלתי הדירה של התעודות לאחר X ניסיונות אימות לא מוצלחים.
ה. הארגון וידא כי אחסון ועיבוד תעודות דיגיטליות (עם מפתח פרטי) מתבצע במודול הכולל יכולות מקובלות ועדכניות למניעת חבלה (Tamper-Resistant) וחשיפה/דיווח בעקבות שינוי לא מבוקר (Tamper-Evident).
ו. הארגון וידא כי לפני מתן גישה למפתח הפרטי של שרת, מודול האחסון מחייב להשלים בהצלחה אימות הדדי. דוגמה ליישום: שימוש ב-mTls או CHAP  + אימות על בסיס תעודה דיגיטלית של מודול האחסון.
14. שימוש בכרטיס חכם:
א. הארגון וידא כי הוא משתמש בכרטיס חכם התומך בתקניםCommon Criteria EAL 3+, FIPS 140-3 Level 3+, FIPS 201.
ב. אם הארגון משתמש בכרטיס חכם משולב RFID, עליו לוודא כי תשאול ה-RFID על ידי קורא לא מורשה אינו חושף את פרטי האימות. דוגמה ליישום: ממשק ה-RFID בכרטיס יתחיל להגיב רק לאחר שהקורא יעביר לו פרטי זיהוי ייחודיים, דוגמת המספר הסידורי של הכרטיס.
ג. הארגון וידא כי לכרטיס החכם יש יכולת למחיקה בלתי הדירה של התעודות לאחר X ניסיונות אימות לא מוצלחים.
ד. הארגון וידא כי הכרטיס החכם אינו חושף למערכת ההפעלה את המפתח הפרטי. דוגמה ליישום: שימוש בכרטיס חכם התומך בתקן FIDO עדכני.
ה. הארגון וידא כי הכרטיס החכם כולל יכולות מקובלות ועדכניות למניעת חבלה (Tamper-Resistant) וחשיפה/דיווח בעקבות שינוי לא מבוקר (Tamper-Evident).
15. תגובה לאירועים חריגים:
א. הארגון וידא כי ביכולתו לבצע הסרה מלאה של תעודות דיגיטליות פגות תוקף, וכן להסיר תעודות דיגיטליות בעלות רמת אמון נמוכה - וזאת ב"זמן אמת" או "קרוב לזמן אמת". דוגמה ליישום: תעודה דיגיטלית שהמפתח הפרטי שלה אבד או נגנב תוסר מיעדי ההגנה באמצעות כלי ניהול הגדרות תצורה/הפצת תוכנה. דוגמה אחרת: כאשר נגנבת תעודה דיגיטלית של שרת Trusted CA, כל יעדי ההגנה בארגון יפסיקו לפתוח תעודות שהפיק אותו שרת.</t>
  </si>
  <si>
    <t>1. הארגון וידא כי ברשותו נוהל עבודה לניהול חולשות וחשיפות בהגנת מידע וסייבר.
2. הארגון וידא כי נוהל העבודה כולל התייחסות לנושאים הבאים:
א. מיפוי יעדי ההגנה.
ב. תדירות ביצוע הבדיקות.
ג. אמצעים, שיטות ומשאבים לטובת ניהול חולשות וחשיפות בהגנת מידע וסייבר.
ד. מתודולוגיה לדירוג חומרת החולשות/חשיפות (דוגמת CVSS).
ה. שיטות לקבלת דיווחים אודות חולשות/חשיפות קיימות.
ו. שימוש באמצעים ממוכנים לשם גילוי וזיהוי חולשות וחשיפות בהגנת מידע וסייבר (דוגמתVulnerability Scanner).
ז.  שימוש באמצעים ממוכנים לשם גילוי וזיהוי פורטי תקשורת החשופים שלא לצורך (Ports Scanners).
ח. בעלי תפקיד, תחומי אחריות ודרישות מהימנות.
ט. רשימת משימות לביצוע, מסגרת SLA\OLA לתיקון ממצאים/חולשות, ומעקב שוטף.
י. הגדרת פרק הזמן המינימלי (Retention Policy) לשימור המידע שהופק במסגרת בדיקת חולשות וחשיפות בהגנת מידע וסייבר, וזאת בהתאם לדרישות החוק, דרישות חוזיות ועסקיות, ודרישות רגולטוריות (לדוגמה, ברשומות הקשורות לצנעת הפרט המידע יישמר לתקופה מינימלית, בהתאם לדרישות תקנות הגנת הפרטיות).</t>
  </si>
  <si>
    <t>3. הארגון וידא כי נוהל העבודה כולל התייחסות לנושאים הבאים:
א. שילוב בדיקות חוסן לטובת ניהול חולשות וחשיפות בהגנת מידע וסייבר.
ב. שילוב תהליך ניהול חולשות וחשיפות בהגנת מידע וסייבר כחלק אינטגרלי מתהליך ניהול השינויים הארגוניים.
ג. הטמעת בקרות מפצות לשם צמצום ההשפעה של החולשות/החשיפות, וזאת עד לסגירת הפער האבטחתי באופן מיטבי.
ד. שימוש באמצעים ממוכנים לשם גילוי וזיהוי מידע הנחשף שלא לצורך עסקי לגיטימי אודות שירותים/אפליקציות (Services\Applications). דוגמה ליישום: בחינה תקופתית כי שרתי ה-Web אינם מסגירים מידע אודות גרסת מנוע ה-Web בעת שליחת HTTP Headers כתגובה לבקשת לקוח.
ה. קיום תהליך דיווח פנים ארגוני אודות חולשות וחשיפות בהגנת מידע וסייבר (דוגמת דיווחי עובדים ושותפים עסקיים).
ו. רשימת משאבים נדרשים.
ז. תהליכי אסקלציה מול גורמי פנים וחוץ.
ח. ניהול זרימת עבודה (Workflow).
ט. תהליכי קבלה ליעד הגנה חדש, כדי להבטיח שלא ייעשה שימוש ביעד הגנה המכיל חולשות וחשיפות הגנת מידע וסייבר ידועות.
י. גילוי וזיהוי הגדרות תצורה שמקורן בטעות אנוש, אשר עשויות ליצור (או יצרו) חולשה/חשיפה (דוגמת טעות בהגדרת בקרת גישה למשאב בשירות ענן ציבורי).</t>
  </si>
  <si>
    <t>4. הארגון וידא כי נוהל העבודה לניהול חולשות וחשיפות בהגנת מידע וסייבר זוכה למשוב תקופתי מגורם מקצוע צד שלישי.
5. הארגון וידא כי נוהל העבודה כולל התייחסות לנושאים הבאים:
א. קיום תהליך דיווח חוץ ארגוני אודות חולשות וחשיפות בהגנת מידע וסייבר (דוגמת דיווחי לקוחות או גורמים מזדמנים).
ב. מעקב אחר מגמות במשך זמן, וביצוע תיקונים/התאמות בהתאם.
ג. שימוש באמצעים בלתי תלויים בתשתית התפעולית בארגון לשם גילוי וזיהוי חולשות וחשיפות.
ד. שילוב תהליך ניהול חולשות וחשיפות בהגנת מידע וסייבר בתהליכים ארגוניים משיקים, דוגמת פיתוח ומחקר מוצרי תוכנה.
ה. אימוץ שיטות עבודה בהתאם להמלצות יצרני יעדי ההגנה.
ו. שימוש בגורמי צד שלישי לשם ביצוע בדיקות חוסן ליעדי ההגנה.
ז. שילוב מודיעין איומי סייבר צד שלישי לשם טיוב רמת הסיכון הנובעת מחשיפה/חולשה.
ח. שימוש באמצעים ממוכנים לשם גילוי וזיהוי מידע הנחשף שלא לצורך אודות הארגון ככלל, ויעדי ההגנה בפרט (לרבות Footprint הקיים במאגרי מידע צד שלישי). דוגמה ליישום: שימוש בשירות מנוהלDRP (Digital Risk Protection) לשם חשיפת מידע באינטרנט אודות סוג מערכות האבטחה שבהם משתמש הארגון, פרטי קשר של גורמי סיסטם והנהלה ועוד.</t>
  </si>
  <si>
    <t>6. הארגון וידא כי נוהל העבודה כולל התייחסות לנושאים הבאים:
א. תהליכי בדיקה לאפקטיביות אמצעי אבטחה לפני רכישתם, וזאת באמצכות מבחנים אובייקטיבים.
ב. שימוש באמצעים בלתי תלויים בתשתית התפעולית לשם החלת תיקונים (דוגמת התקנת פאצ'ים).
ג. גילוי וזיהוי חולשות/חשיפות בתשתיות של ספקים מהותיים בשרשרת האספקה של הארגון וספקים אחרים, ככל שהדבר נדרש בהתאם לניהול הסיכונים של הארגון.
ד. אפשרות לגילוי וזיהוי חולשות/חשיפות פוטנציאליות לפני יצירתן בפועל (דוגמת ביצוע What-if Prediction).
ה. שימוש באמצעים ממוכנים המדמים פעילות תוקף לשם טיוב תהליך גילוי וזיהוי חולשות/חשיפות. דוגמה ליישום: שימוש ב-BAS (Breach and Attack Simulation).
ו. שילוב יכולות מחקר ופיתוח לשם גילוי וזיהוי חולשות/חשיפות שאינן מוכרות (Zero-Day).</t>
  </si>
  <si>
    <t xml:space="preserve">5. הארגון וידא כי ביצע ניסיונות חדירה מבוקרים ליעדי ההגנה שמתמקדים בגילוי וזיהוי חולשות אפליקטיביות.
6. הארגון וידא כי במסגרת ניסיונות החדירה המבוקרים נבחנת רמת האפקטיביות של אמצעי ההגנה הקיימים.
7. הארגון וידא כי במסגרת ניסיונות החדירה המבוקרים הוא בודק באופן מדגמי כי מדיניות האבטחה הרצויה נאכפת באמצעות אמצעי ההגנה הקיימים (יש לבצע בדיקה שכזו אחת לשבוע לכל הפחות). דוגמה ליישום: שליחת דוא"ל עם צרופה "זדונית" (דוגמת EICAR), הדלפה של מסמך "חסוי" או חיבור DOK לא מורשה תיחסם, ותועבר התרעה לצוות האבטחה.
8. הארגון וידא כי במסגרת ניסיונות החדירה המבוקרים נבחנת אפקטיביות וכשירות מערך ניטור הסייבר. </t>
  </si>
  <si>
    <t>9. הארגון וידא כי הוא משלב את ניסיונות החדירה המבוקרים בתהליכים ארגוניים משיקים, דוגמת פיתוח מאובטח.
10. הארגון וידא כי במסגרת ניסיונות החדירה המבוקרים נבחנת רמת האפקטיביות של כל מערך האבטחה.
11. הארגון וידא כי ניסיונות החדירה המבוקרים מכסים באופן מיטבי תרחישי תקיפה שנלקחו ממתודולוגיות מקובלות ועדכניות. דוגמה ליישום: שימוש ב-MITRE ATT&amp;CK ו-OWASP Testing Guide.
12. הארגון וידא כי לשם ביצוע ניסיונות חדירה מבוקרים הוא נעזר בגורם מקצועי בלתי תלוי או בגורם חיצוני בלתי תלוי (Purple Team).
13. הארגון וידא כי מערך הניטור בסייבר משולב בניסיונות חדירה מבוקרים, כדי לשפר את יכולת הלמידה, הניטור והתחקור (Purple Team).</t>
  </si>
  <si>
    <t>14. הארגון וידא כי הוא משתמש בכלים ממוכנים לסימולציית תקיפה. דוגמה ליישום: BAS (Breach and Attack Simulation).
15. הארגון וידא כי הוא משתמש בחוכמת ההמונים לשם שיפור תהליכי ניסיונות חדירה מבוקרים. דוגמה ליישום: הקמה ופרסום של תוכנית Bug bounty.
16. הארגון וידא כי הוא ביצע ניסיונות חדירה מבוקרים לספקים מהותיים בשרשרת האספקה שלו (וספקים אחרים, ככל שהדבר נדרש) בהתאם לממצאי תהליך ניהול הסיכונים של הארגון.</t>
  </si>
  <si>
    <t>1. הארגון וידא כי הוא ביצע בכל יעד הגנה סריקה לגילוי וזיהוי חולשות ידועות בתדירות הבאה: לפני עלייה לייצור, לאחר ביצוע שינוי מהותי בסביבת הייצור, ובאופן תקופתי (אחת לחודש לכל הפחות).
2. הארגון וידא כי הוא משתמש במתודולוגיה מקובלת ועדכנית לדירוג חולשות. דוגמה ליישום: שימוש ב-CVSS בגרסתו האחרונה.
3. הארגון וידא כי הוא משתמש בגרסה עדכנית של האמצעי לגילוי וזיהוי חולשות.
4. הארגון וידא כי הוא משתמש בגרסה עדכנית של חתימות חולשות (Vulnerability Scanner).
5. הארגון וידא כי הוא ביצע סריקה לגילוי וזיהוי חולשות באמצעות משתמש אפליקטיבי (Credentialed Scan) המשתמש בפרופילי הרשאות מקובלים: משתמש אנונימי, משתמש רגיל, משתמש חזק.
6. הארגון וידא כי קיימת תוכנית עבודה סדורה לסגירת ממצאים, וזאת בהתאם ל-SLA\OLA מוגדר ומאושר.
7. הארגון וידא כי הוא הטמיע עדכוני אבטחה (פאצ'ים) בהתאם ל-SLA\OLA המומלץ על ידי יצרן יעד ההגנה.</t>
  </si>
  <si>
    <t>5. הארגון וידא כי הוא משתמש במודיעין סייבר תפעולי (Operational). מודיעין זה נועד לספק לארגון מידע אודות:
א. מוטיבציה/כוונה ויכולות (דוגמת משאבים) של תוקף ספציפי במרחב הסייבר. פעמים רבות מודיעין מסוג זה מחייב מעורבות של גורם אנושי בעל ניסיון בבניית תמונת מצב מודיעינית.
ב. תקיפה צפויה של הארגון או סקטור הפעילות, לרבות התייחסות פרטנית לעיתוי התקיפה, הטקטיקות, הטכניקות ונוהלי העבודה (TTP's) שבהם התוקף הספציפי יעשה שימוש. פעמים רבות מודיעין מסוג זה מופק מה-Darkweb או מ-HUMINT.
6. הארגון וידא כי ברשותו פונקציה ייעודית אשר אחראית למודיעין סייבר, וברשות פונקציה זו משאבים ויכולות למימוש תפקידה באופן אפקטיבי.
7. הארגון וידא כי הוא מינה בעלים למידע מודיעיני (Information Owner), וכן וידא כי המידע המודיעיני הוא (א) מדויק (Accuracy), (ב) בעל הקשר (Context) לארגון, (ג) מוצג על ציר הזמן (Timeline), (ד) בעל אורך חיים מוגדר (TTL – Time to Live) – שאחריו מתבצע תיקוף מחדש.
8. הארגון וידא כי ברשותו פלטפורמה ממוכנת להיתוך מודיעין (TIP – Threat Intelligence Platform), הכוללת את היכולות הבאות:
א. ביצוע קורלציה (Correlation) בין פריטי המידע המתקבלים בערוצי המודיעין השונים.
ב. זיהוי כפילות בין פריטי המידע.
ג.  זיהוי פריטי מידע כוזבים.
ד. מתן ציון לרמת המהימנות (Ranking) של המידע, בהתאם למתודולוגיה סדורה.
ה. טיוב והעשרה (Enrichment) של פריטי המידע בעזרת מומחי תכן רלוונטיים.
ו. אחסון של פריטי המידע במאגר מידע מרכזי (Cyber Pool).
ז. ביצוע אינטגרציה מלאה עם יכולות הניתוח והאנליזה של מערך הניטור בארגון.
9. הארגון וידא כי עשה שימוש במודיעין לשם גילוי וזיהוי מידע במקורות ציבוריים (דוגמת האינטרנט) שעשוי לסייע לתוקף פוטנציאלי (דוגמת ביצוע Footprint), וכן זיהוי של תקיפה נגד לקוחות הארגון  תוך שימוש במזהים של הארגון (כגון Brand). דוגמה ליישום - שימוש בשירות מנוהל DRP (Digital Risk Protection) הכולל:
א. ניטור Web - לשם גילוי וזיהוי ניסיונות ניצול לרעה של מזהים שברשות הארגון, כגון תכנים, לוגו, שמות מתחמים מסוג ccTLDs, gTLDs ,gTLDs ותעודות דיגיטליות.
ב. ניטור אתרי מסחר מקוון - לשם גילוי וזיהוי פעולות זדוניות כגון ניסיונות זיוף ופגיעה בתדמית הארגון, לרבות קיומה של ירידה לא ברורה בהכנסות הארגון.
ג. ניטור אפליקציות מובייל (לרבות Apps Store) לשם גילוי וזיהוי אפליקציות זדוניות/מזויפות שעושות שימוש בלוגו/שם הארגון וכדומה.
ד. ניטור פרסומות - לשם גילוי וזיהוי ניסיונות הונאה שמטרתם להסית תעבורה לגיטימית לאתרים של מתחרים או לאתרים זדוניים.
ה. ניטור רשתות חברתיות - לשם גילוי וזיהוי פעולות זדוניות כגון ניסיונות זיוף ופגיעה בתדמית הארגון, לרבות קיומה של ירידה לא ברורה בהכנסות הארגון.</t>
  </si>
  <si>
    <t>1. הארגון וידא כי הוא שינה את שמות חשבונות המשתמש/אפליקטיביים (לרבות חשבונות מחשב) המוגדרים כברירת המחדל לשמות אקראיים. אם הדבר אפשרי, יש לנטרל את חשבונות ברירת המחדל ולהקים במקומם חשבונות עם שם זהה, אך ללא הרשאות יתר, שלא ניתן לעשות בהם שימוש (Disabled State). 
2. הארגון וידא כי הוא הקים ביעדי ההגנה חשבונות משתמשים רגילים פיקטיביים. יש לוודא כי חלק מהחשבונות יעשו שימוש בסיסמה חזקה, וחלק בסיסמה חלשה.
3. הארגון וידא כי הוא הקים ביעדי ההגנה חשבונות משתמשים חזקים פיקטיביים (לרבות חשבונות אפליקטיביים). יש לוודא כי חלק מהחשבונות יעשו שימוש בסיסמה חזקה, וחלק בסיסמה חלשה.
4. הארגון וידא כי הוא שתל מידע בארנק מרגל (Honeydocs\Pocket Litter) ביעדי ההגנה. דוגמהות ליישום:
א. שתילת קובץ דמה של תרשים רשת או דו"ח כספי רגיש ב-Shares\Exports שבשרת הקבצים הארגוני.
ב. שתילת קובץ הגדרות תצורה (Configuration Files) עם "סיסמאות".
ג. שתילת מסד נתונים פיקטיבי.
5. הארגון וידא כי בעת תשאול (Footprint\Enumeration) מספקים יעדי ההגנה מידע פיקטיבי לגורם המתשאל. דוגמה ליישום: מתן מידע פיקטיבי אודות גרסת/זהות שרת ה-Web באמצעות שינוי כותרות ברירת המחדל (Default Headers).
6. הארגון וידא כי מערך התקשורת האלחוטית שברשותו עושה שימוש בשם רשת אלחוטית (SSID) פיקטיבי.</t>
  </si>
  <si>
    <t>7. הארגון וידא כי הוא הטמיע אמצעי מניעה והונאה הזהים ליעד הגנה אמיתי. דוגמה ליישום: Honeypot Full OS.
8. הארגון וידא כי הוא הטמיע אמצעי מניעה והונאה המדמים יעד הגנה אמיתי. דוגמה ליישום: אמולטור (Emulator) או סימולטור (Simulator).
9. הארגון וידא כי הוא משתמש בפרופילים פיקטיביים ברשתות חברתיות. בכלל זה, יש לוודא יישום של עקרונות דיסאינפורמציה (Disinformation) בעת בניית הפרופיל ותפעולו.
10. הארגון וידא כי הוא השתמש בדיסאינפורמציה (Disinformation). דוגמהות ליישום: 
א. פרסום מידע טכני פיקטיבי אודות יכולות מערך המחשוב/מערך האבטחה.
ב. פרסום מכרז פיקטיבי.
ג. פרסום מידע אודות אירוע סייבר שלא התרחש.
11. הארגון וידא כי הוא שתל אסימוני דבש (Honeytokens) באופן גלוי (Clear Text) בדיסק הקשיח של יעדי ההגנה. דוגמהות ליישום:
א. אחסון Cookie פיקטיבי בדפדפן.
ב. יצירת פרופיל משתמש פיקטיבי.
12. הארגון וידא כי הוא שתל אסימוני דבש באופן מוצפן (Encrypted) בדיסק הקשיח של יעדי ההגנה. דוגמה ליישום: אחסון Cookie פיקטיבי בדפדפן.</t>
  </si>
  <si>
    <t>20. הארגון וידא כי הוא איפשר שליחת איתות (Beacon) במקרה ש"אסימון הדבש" הופעל בנכס סייבר שאינו שייך לארגון.
21. הארגון וידא כי הוא איפשר שליחת איתות (Beacon) במקרה ש"אסימון הדבש" הופעל ביעד הגנה אשר נמצא ברשת בעלת רמת אמון נמוכה מזו אשר הוגדרה במקור לאותו אסימון. דוגמה ליישום: כאשר קובץ וורד ששכן במקור ברשת ניהולית יופעל במחשב ברשת ADSL - יישלח איתות.
22. הארגון וידא כי  יעדי ההגנה מדמים מצב שבו הם נפגעו על ידי תוקף. דוגמה ליישום: Whiteworm.
23. הארגון וידא כי יעדי הגנה שנפגעו מתקיפה (לרבות Zero-Day) יציגו מצג שווא שהתקיפה לא צלחה.
24. הארגון וידא כי הוא משתמש ביכולות מניעה והונאה כחלק ממערך מחקר הגנה בסייבר. דוגמה: הקמת Honeynets המדמות סביבות אמת, ותיעוד פעילות התוקף לשם לימוד ופיתוח חיסון מתאים.
25. הארגון וידא כי הוא הטמיע תהליך עבודה המאפשר לנוזקה או לתהליך חשוד להשלים את הפעולה הזדונית/החשודה ב"קופסת חול" (Sandbox) אשר תדמה באופן זהה את סביבת הפעולה, אך ללא גרימת נזק לארגון. מומלץ לשלב שימוש באסימוני דבש ו/או סביבת דמה נוספת, לשם בחינת יכולות וכוונות יריב לאורך זמן.
26. הארגון וידא כי בעת הצורך הוא משתמש בטכניקות מניעה והונאה מתקדמות, וכי ביכולתו להשתמש בטכניקות אלו ב"זמן אמת" (Real Time) או לכל הפחות "קרוב לזמן אמת" (Near Real Time).
להלן חלוקה מקובלת למשפחות של טכניקות אלו:
I. טכניקות מניעה מסוג A-type: Hiding the real: EEFI – Masking, Repacking, Dazzling, Red Flagging
II. טכניקות מניעה מסוג A-type: Hiding the false: NDDI – OPSEC, Positive Spin
III. טכניקות הונאה מסוג M-type: Showing the false: EEDI – Mimicking, Inventing, Decoding, Double Play
IV. טכניקות הונאה מסוג M-type: Showing the True: NEFI –Paltering, Negative Spin, Feints/Demonstrations, Double Play, Double Bluff</t>
  </si>
  <si>
    <t xml:space="preserve">לארגון יש מתודולוגיה סדורה, הנתמכת על ידי נוהל תיעוד וניטור של יעדי ההגנה (שרתים, רכיבי תקשורת, אפליקציות, מסדי נתונים וכו').
הנוהל יבוקר ויעודכן אחת לתקופה. 
הנוהל יכיל, לדוגמה: מהם האירועים שאותם תתעד המערכת; כיצד הרשומות שנאספות מתאימות לתחקור התרעות ואירועי סייבר; משך שמירת הנתונים; ושיטות ההגנה אשר יש להחיל לשם הגנה על נתונים אלו.
</t>
  </si>
  <si>
    <t>1. הארגון וידא כי ברשותו נוהל עבודה עדכני לניטור הגנת מידע וסייבר.
2. הארגון וידא כי נוהל העבודה כולל התייחסות לנושאים הבאים, לכל הפחות:
א. מיפוי יעדי ההגנה שיש לנטרם.
ב. מדרג הסיכון של יעדי ההגנה שיש לנטרם.
ג. מיפוי מקורות מידע דיגיטליים (Digital) שיש לאסוף מהם מידע.
ד. עומק ניטור ותדירות הדגימה.
ה. מבנה הלוגים/רשומות הבקרה (דוגמת CEF).
ו. רשימת האירועים שישמשו מקור לשליחת התרעה (Alert).
ז. חוקי קורלציה בין אירועים שונים.
ח. בעלי תפקיד, תחומי אחריות ודרישות מהימנות.
ט. פרוטוקול העברת המידע שנעשה בו שימוש לצורך הניטור (דוגמת Syslog).
י. דפוסים סטטיים (Patterns) הנדרשים לגילוי וזיהוי, דוגמת IOAs\IOCs\TTPs.
יא. רשימת האמצעים שבהם משתמש הארגון לניטור הגנת מידע וסייבר - הן בניטור פסיבי (דוגמת הקלטת תעבורה) והן בניטור אקטיבי.
יב. שיטות העבודה שבהן משתמש הארגון לניטור הגנת מידע וסייבר.
יג. הגדרת פרק הזמן המינימלי (Retention Policy) לשימור המידע שהופק במסגרת הניטור, וזאת בהתאם לדרישות החוק, דרישות חוזיות ועסקיות ודרישות הרגולציה (לדוגמה, ברשומות הקשורות לצנעת הפרט יישמר המידע לתקופה מינימלית, בהתאם לדרישות תקנות הגנת הפרטיות).
יד. מקורות מידע לאיסוף מידע הגנתי, דוגמת אתרים של יצרני אמצעי הגנה, ארגוני תקינה, וארגוני הגנת מידע וסייבר.
טו. הפעלת יכולות מודיעין סייבר המובנות באמצעי ההגנה הקיימים בארגון.
טז. שילוב מערך הניטור בתהליכי התגובה לאירוע.
יז. שילוב מערך הניטור בתהליכי ההמשכיות העסקית.
יח. שילוב ממצאי איתור חולשות (Vulnerability scanning) במערך הניטור.
יט. התייחסות לנושאים ייחודים לארגון, דוגמת התמודדות עם הונאות ומעילות וניטור סביבת ה-OT.
כ. אמצעים, שיטות ומשאבים לניטור הגנת מידע וסייבר.
כא. קיומו של תהליך סדור לשמירה על סינכרון השעונים ביעדי ההגנה, לרבות קיומה של קוהרנטיות בערך השעונים. 
כב. חתירה לשיפור מתמיד באיכות הניטור.</t>
  </si>
  <si>
    <t>1.	הארגון וידא כי הממצאים/ארטיפקטים (Artifacts) אשר ברשותו מאפשרים השגת מודעות מצבית (Situational Awareness) אודות קיומם של שינויים ואירועים מקומיים ביעד ההגנה.
2.	הארגון וידא כי ביכולתו לגלות ולזהות את הממצאים/ארטיפקטים (Artifacts)  המשונעים בתווך מוצפן, וזאת ע"י פתיחת התעבורה באמצעות מפתחות קריפטוגרפים הקיימים ברשותו. דוגמה ליישום: יישום SSL\TLS  Transparent Proxy במבואות היציאה לרשת ציבורית.
3.	הארגון וידא כי תהליך האיסוף תומך בתצורת עבודה ב"משיכה" (Pull) של נתונים (דוגמת משיכה של לוגים ע"י שרת ניהול) ו"דחיפה" (Push) (דוגמת שליחת Syslog), כאשר היכולת לקבוע מהי תצורת האיסוף נשלטת במלואה ע"י הארגון, והוא יכול לשנותה בהתאם לצרכי החקירה.
4. הארגון וידא כי יעדי ההגנה מפעילים מנגנוני הרישום (Auditing) אשר כוללים, לכל הפחות, שימוש בפורמט גנרי, מזהה יעד ההגנה, מידע אודות אופי הפעולה שבוצעה, חתימת זמן, מקור ויעד הפעולה, מזהה משתמש, מזהה תהליך, כשלון/הצלחה, שם קובץ וה-Process המעורבים. 
5. הארגון וידא כי ייצר מנגנון של קבלת התרעה במידה של הפסקת כתיבת נתונים ללוגים/ייצור לוגים.
6.  הארגון וידא כי הגדיר אירועים אותם המערכת תתעד (כלומר תרשום אודותיהם לוגים), לתעד כיצד רשומות בקרה אלה מתאימות לתחקור אירועים ותקריות אבטחה וכן להגדיר את פרק הזמן שיש לשמור נתונים אלה. בנוסף יש להגדיר באילו מערכות יש להפעיל auditing (שרתים, רכיבי תקשורת, אפליקציות, מסדי נתונים וכו').
7. הארגון וידא כי בעת איסוף ממצאים/ארטיפקטים (Artifacts) לא מתבצעת פגיעה תפעולית בפעילות יעד ההגנה (Online).</t>
  </si>
  <si>
    <t>8. הארגון וידא כי מערך הניטור איפשר להחיל על כל סוכן (Agent) האחראי על ביצוע פעולת יצירה/איסוף ארטיפקטים, "חוקי איסוף", המאפשרים למקד את גילוי וזיהוי הממצאים/ארטיפקטים (Artifacts) (דוגמת קובץ עם ערך Hash מוגדר או קובץ המכיל String מסוים). כמו כן, קיימת לארגון יכולת לתזמן את פעולת ההפקה/האיסוף בהתאם לצורך.
9. הארגון וידא כי הלוגים ביעדי ההגנה מופעלים ומטויבים בהתאם להמלצות יצרן.
10. הארגון וידא כי הוא אוסף ממצאים/ארטיפקטים (Artifacts) אודות הגדרות התצורה (Configurations Settings) של יעדי ההגנה.
11. הארגון וידא כי ביכולתו לבצע איסוף ממצאים/ארטיפקטים (Artifacts) אשר מקורם מתקשורת נתונים. דוגמה ליישום: PCAP.</t>
  </si>
  <si>
    <t>21.	הארגון וידא כי ביכולתו לבצע איסוף ממצאים/ארטיפקטים (Artifacts) אשר מקורם מזיכרון נדיף (Memory Dump).
22.	הארגון וידא כי ביכולתו לבצע איסוף ממצאים/ארטיפקטים (Artifacts) אשר מקורם בקושחה (Firmware) של יעד ההגנה. לדוגמה: UEFI/BIOS.
23.	הארגון וידא כי ביכולתו לבצע איסוף ממצאים/ארטיפקטים (Artifacts) מנכסי סייבר שאינם של הארגון אך מכילים מידע ארגוני (לרבות BYOD).
24.	הארגון וידא כי ביכולתו לבצע איסוף ממצאים/ארטיפקטים (Artifacts) גם כאשר יעד ההגנה נמצא במצב כבוי (Offline). דוגמה למימוש: שימוש בממשק JTAG/UART או איסוף Hibernate/Snapshot File.
25.	הארגון וידא כי ביכולתו לבצע איסוף ממצאים/ארטיפקטים (Artifacts) גם כאשר התוקף יישם אמצעי אבטחה מטעמו.  לדוגמה: תוקף הפעיל כופרה (Ransomware) לשם הסתרת הנוזקה.
26.	הארגון וידא כי ביכולתו לבצע איסוף ממצאים/ארטיפקטים (Artifacts) אשר עושים שימוש בערוץ סמוי (Covert Channel).
27.	הארגון וידא כי ביכולתו לבצע איסוף ממצאים/ארטיפקטים (Artifacts) אשר עושים שימוש בערוץ-צד (Side Channel). לדוגמה: PFP - Power Fingerprinting, TEMPEST/EMSEC, Acoustic Cryptanalysis, Optical &amp; Quantum State, Heating, Timing
27.	הארגון וידא כי ביכולתו לבצע איסוף ממצאים/ארטיפקטים (Artifacts) אשר משודרים על גבי תווך אלחוטי (RF).
28. הארגון וידא כי ביכולתו לבצע איסוף ממצאים/ארטיפקטים (Artifacts) מ-OSI Layer 1 אשר עשויים להעיד על קיום יעד הגנה לא לגיטימי. לדוגמה: PFP - Power Fingerprinting.</t>
  </si>
  <si>
    <t>1.	הארגון וידא כי עיגן חוזית את הממצאים/הארטיפקטים (Artifacts) אשר הוא מעוניין לנטר.
2.	הארגון וידא כי עיגן חוזית את שיטות ניתוח/אנליזה של הממצאים/הארטיפקטים (Artifacts).
3.	הארגון וידא כי עיגן חוזית את זמני הפעילות של מרכז ניטור הגנת מידע וסייבר (CSOC - Cyber Security Operations Center).
4.	הארגון וידא כי עיגן חוזית את רשימת השירותים אשר מרכז ניטור הגנת מידע וסייבר (CSOC - Cyber Security Operations Center) אמור לספק לארגון.
5.	הארגון וידא כי עיגן חוזית את עמידת מרכז ניטור הגנת מידע וסייבר (CSOC - Cyber Security Operations Center) בדרישות החוק, הרגולציה, חוזיות ועסקיות אשר הארגון כפוף אליהם.
6.	הארגון וידא כי עיגן חוזית כי את הדרישה כי צוות מרכז ניטור הגנת מידע וסייבר (CSOC - Cyber Security Operations Center) בעל ניסיון מקצועי והכשרה מתאימה למילוי המשימות.
7.	הארגון וידא כי עיגן חוזית כי את הדרישה כי צוות מרכז ניטור הגנת מידע וסייבר (CSOC - Cyber Security Operations Center) בעלי רמת מהימנות מתאימה.
8.	הארגון וידא כי עיגן חוזית כי את הדרישה כי צוות מרכז ניטור הגנת מידע וסייבר (CSOC - Cyber Security Operations Center) מקצה לארגון נציג ייעודי לטובת מתן מענה לסוגיות תפעוליות.
9.	הארגון וידא כי מרכז ניטור הגנת מידע וסייבר (CSOC - Cyber Security Operations Center)  עמד בדרישות אשר הוגדרו, ולאחר מכן מעגן את הדרישות בחוזה ומבקר אותם אחת לתקופה.
10.	הארגון וידא כי עיגן חוזית תהליך דיווח של מרכז ניטור הגנת מידע וסייבר (CSOC - Cyber Security Operations Center) לגורמים המוסכמים בארגון, וזאת תוך הכללת מנגנון אסקלציה.
11. הארגון וידא כי מרכז ניטור הגנת מידע וסייבר (CSOC - Cyber Security Operations Center) עושה שימוש במתודולוגיה/מודל עדכני למיפוי איומים. דוגמה ליישום: MITRE ATT&amp;CK.
12. הארגון וידא כי מרכז ניטור הגנת מידע וסייבר (CSOC - Cyber Security Operations Center) עושה שימוש במודיעין סייבר עדכני, וזאת כך שהוא מסוגל לספק תמונת מצב עדכנית.
13. הארגון וידא כי הקצה שטח אחסון מספק עבור רשומות הבקרה, וזאת תוך ביצוע תכנון מקדים של דרישות אחסון הנתונים, וכן ביצוע תכנון קיבולת תקופתי.</t>
  </si>
  <si>
    <t>1.	הארגון וידא באופן מדגמי כי כל הארטיפקטים אשר הוגדרו מתקבלים בהתאם למסגרת ה-SLA\OLA אשר הוגדרה.
2.	הארגון וידא באופן מדגמי כי לא בוצע שינוי לא מורשה או מחיקה של ארטיפקט, וזאת החל מיצירתו, וכלה באחסונו במערך הניטור.
3.	הארגון וידא את קיומו של תהליך סדור לדיווח על חשד לאירוע או אירוע הגנת מידע וסייבר, וזאת באמצעות בחינה עתית של תקינות יומן האירועים.
4.	הארגון וידא כי הוא מבצע טיוב עתי של חוקי הקורלציה וההתרעות השונות.
5.	הארגון וידא אחת ליום לכל הפחות, כי ההתרעות נשלחות באופן תקין בממשקים מקובלים. דוגמה ליישום: דוא"ל ו-SMS.
6.	הארגון וידא כי בכל תחילת/סיום יום עבודה הוא מקבל דו"ח סטאטוס הכולל סקירה טכנית פרטנית, ותקציר מנהלי עבודה.
7. הארגון וידא כי מערך הניטור פועל במסגרת מדדים מקובלים.
8. הארגון וידא כי הישנות אירועים/התרעות בסדר גבוה לא יפגע בתהליכי העבודה. דוגמה ליישום: ביצעו אגרגציה לאירועים וזאת במטרה למנוע הצפה של מערך הניטור.
9. הארגון וידא כי  הוקצה שטח אחסון מספק עבור רשומות הבקרה ביעדי ההגנה עצמם, ובמערך הניטור עצמו.
10. הארגון וידא כי הוגדרו ספים בהם נשלחת התרעה לפני מילוי שטח האחסון של רשומות הבקרה ביעדי ההגנה עצמם, ובמערך הניטור עצמו, כך שהארגון יוכל לבצע פעולות מתקנות בטרם תהיה פגיעה ברציפות תהליך הניטור.
11.  הארגון וידא כי הוא בוחן באופן תקופתי את הגדרת האירועים המתועדים ואת אפקטיביות מערך הרישום.</t>
  </si>
  <si>
    <t>12.	הארגון וידא כי הוא ביצע תרגול חצי שנתי של מערך הניטור ע"י "צוות סגול" (Purple Team) מטעמו לשם בחינת איכות תהליך הניטור וביצוע פעולות תגובה בהתאם ל-Playbooks מוגדרים.
13.	הארגון  וידא כי הוא ביצע  שגרות הגנה לבחינת תקינות תהליך הניטור (דוגמת חיבור DOK לא מורשה ביעד הגנה אקראי, ווידוא מערך הניטור מגלה ומזהה את האירוע, ונוקט בפעולות מתאימות).
14.	הארגון וידא כי מערך הניטור עושה שימוש בטכנולוגיות עדכניות וזאת ע"י ביצוע השוואה מול דו"חות אנליסטים והשוואה בין פתרונות עדכניים הזמינים בשוק. 
15.	הארגון  וידא כי הוא ביצע בדיקות שחזור עיתיות וזאת לשם וידוא תקינות הגיבויים ומידע היסטורי.
16.	הארגון וידא כי הוא בודק באופן עצמאי את אפקטיביות מערך הניטור. דוגמה ליישום: שליחת דוא"ל עם צרופה EICAR ובחינה כי מערך הניטור מאתר ומגיב בהתאם לנדרש. דוגמה אחרת ליישום: וידוא כי מערך הניטור תומך בגרסה העדכנית של MITRE ATT&amp;CK.
17.	הארגון וידא כי הוא קיבל נגישות ל-Dashboards אשר מתאימים לצורכי קהלי היעד הרלוונטיים, ובוחן ע"י גורם מקצועי את מצב האבטחה בתדירות ההולמת את פרופיל הסיכון (Risk Profile).</t>
  </si>
  <si>
    <t>1.	הארגון וידא כי הגדיר רשימת תרחישים לניטור אשר מחייבים מענה מצד צוות הגנת המידע והסייבר. לדוגמה איתור פגיעות ביעד הגנה או קיומה של  תקיפת סייבר.
2.	הארגון וידא כי במקרה של חריגה מהמדיניות המאושרת ביעד ההגנה, נשלחת התרעה (Alert) לגורם מוסמך. 
דוגמהות ליישום:
א. במקרה של חשד לנוזקה, שרת ניהול האנטי-וירוס שולח דוא"ל/SMS לגורם מוסמך. 
ב. שרת אפליקציה המקבל רף בקשות חריג (Threshold) או סף (Bar) חריג בחלון זמן נתון, תשלח התרעה לגורם מוסמך.
ג. אמצעי אבטחה אשר חדל לפעול גורר שליחת התרעה לגורם מוסמך.
3.	הארגון וידא כי הוא מבצע טיוב עתי להתרעות.</t>
  </si>
  <si>
    <t>11.	הארגון וידא כי הוא עושה שימוש בסנסורים המבוססים על טכנולוגיות שונות וזאת לשם העלאת הסבירות לגילוי וזיהוי תקיפות.
12.	הארגון וידא כי הוא פיתח יכולות עצמיות לטובת גילוי וזיהוי תקיפות, כך שהסבירות שתוקף פוטנציאלי יוכל ל"עוור" את אמצעי ההגנה יהיה נמוך ככל הניתן.
13. הארגון וידא כי שליחת התרעות מתבצעת באמצעות רשת ייעודית (OOB), כך שבמקרה של השתלטות עוינת על רשת התקשוב הרגילה, תוקף לא ישפיע על תקינות הניטור ושליחת ההתרעות.
14. הארגון וידא כי עושה שימוש באמצעי ממוכן למתן מענה ממוכן להתרעות. דוגמה ליישום: שילוב SOAR במערך הניטור הכולל Playbooks מתאימים.</t>
  </si>
  <si>
    <t>1.	הארגון וידא כי הגדיר גבולות רשת ברורים בין סביבות בעלות רמות אמון שונות (Trust Level) .
2.	הארגון וידא כי הטמיע אמצעים טכנולוגיים לגילוי וזיהוי תקיפות ידועות (דוגמת IDS/IPS) בתווך (Inline). יש לוודא כי האמצעי הנבחר מתעדכן תדיר בחתימות עדכניות, וכן מסוגל לגלות ולזהות אנומליה ברמת הפרוטוקולים ותוכן התעבורה.
3. הארגון וידא כי הוא מגלה ומזהה ניסיונות גישה לכתובות בעלות רמות נמוכות. דוגמה ליישום: גילוי וזיהוי כתובות השייכים לשרתי פרוקסי אנונימי.
4. הארגון וידא כי הוא מבצע שימוש במסנני תעבורה ותוכן בארכיטקטורת ההגנה.
5. הארגון וידא כי הוא בוחן את טבלאות OSI Layer 2 &amp; 3 ביעדי ההגנה באופן עתי, וזאת לשם גילוי וזיהוי חריגות לא מאושרות. להלן דוגמהות לחריגות:
א. קיומה של כתובת MAC הרשומה במספר פורטי תקשורת במתג ספציפי או במתגים שונים.
ב. קיומו של ניתוב שאינו מוכר.
ג. קיומו של שרת DHCP שאינו מוכר.
5. הארגון וידא כי לכל יעד הגנה ישנו אמצעי טכנולוגי בלתי תלוי לגילוי, וזיהוי איומים בתווך תקשורתי. דוגמה ליישום: שימוש ב-HIPS\HIDS.</t>
  </si>
  <si>
    <t>7.	הארגון וידא כי הטמיע אמצעים טכנולוגיים לגילוי וזיהוי איומים על בסיס אנומליה תקשורתית (Anomaly DeteCIon)/התנהגות רשתית חריגה (NBA - Network Behavior Analysis). דוגמה ליישום: שימוש ב-NetFlow או IPFIX או VPC Flow.
8. הארגון וידא כי הוא עושה שימוש באמצעים טכנולוגיים לגילוי וזיהוי נתיבי כניסה/יציאה שאינם ידועים, לרבות קיומה של אפשרות לביצוע דילוג בין רשתות בניגוד למדיניות הארגון. דוגמה ליישום: BAS – Breach and Attack Simulation</t>
  </si>
  <si>
    <t xml:space="preserve">9.	הארגון וידא כי הטמיע אמצעים טכנולוגיים לגילוי וזיהוי אנומליה (Anomaly DeteCIon) ואיומים בתוכן מידע (Payload) רשתי. דוגמה ליישום: שימוש ב-NTA (Network Traffic Analysis) או NDR (Network DeteCIon and Response).
10. הארגון וידא כי הוא מסוגל לגלות ולזהות איומים בתווך מוצפן גם אם אין ברשותו מפתח הצפנה לפתיחת ההצפנה.
11. הארגון וידא כי הטמיע אמצעים טכנולוגיים לגילוי וזיהוי אנומליה (Anomaly DeteCIon) ואיומים בהתנהגות משתמש ויעד הגנה, כך שהוא מסוגל לוודא האם הפעולה בוצעה ע"י אדם או מכונה, וכן האם מדובר בפעולה חריגה או לא. דוגמה ליישום: שימוש ב- UEBA (User and Entity Behavior Analytics).
12. הארגון וידא כי הוא מסוגל לגלות ולזהות ניצול לרעה של תווך לגיטימי. דוגמה ליישום: גילוי וזיהוי ערוץ סמוי (Covert Channel)  המבוסס על Timing.
13. הארגון וידא כי לשם גילוי וזיהוי איומים הוא מבצע קורלציה של התעבורה מול מזהים אשר הופקו ממקורות מודיעין סייבר שונים.
14. הארגון וידא כי הוא מסוגל לגלות ולזהות ניצול לרעה של פלט בערוץ צד (Side Channel).
</t>
  </si>
  <si>
    <t>1.	הארגון וידא כי תהליך יצירת הלוגים במערך הטלפוניה פעיל, וכי ניתן להשתמש בלוגים לשם ביצוע פעולות תחקור תוך שמירה על עקרון שרשרת הראיות (Chain on Custody).
2.	הארגון וידא כי התעבורה מ/אל מערך הטלפוניה עוברת דרך אמצעי אבטחה המסוגל לגלות ולזהות תקיפות שכיחות כנגד מערך זה. דוגמה ליישום: ארכיטקטורת מערך הטלפוניה כוללת שימוש ב-SBC (Session Border Control).
3.	הארגון וידא באופן רציף כי תעבורת הטלפוניה אינה משונעת באופן גלוי בתווך.
4.	הארגון וידא באופן רציף כי לא נעשה חיוב בגין שימוש חריג בשירותי הטלפוניה.
5.	הארגון וידא באופן רציף כי לא ניתן לעשות שימוש לרעה בשיטות הנדסה חברתית לטובת ביצוע פעולות אסורות במערך הטלפוניה. דוגמה ליישום: עובדי הארגון עוברים הדרכות מודעות כנגד שימוש לרעה במענה קולי (Voice Vishing).</t>
  </si>
  <si>
    <t>6.	הארגון וידא באופן רציף כי הלוגים של מערך הטלפוניה משונעים למערך ניטור מרכזי לשם אחסון ותחקור. דוגמה ליישום: הפעלת הפונקציונליות ליצירת לוגים, ושינוע ל-SIEM.
7.	הארגון וידא באופן רציף כי לא נעשה עירוב תעבורה מסוג Data, בתעבורה מסוג Voice, והיפך. דוגמה ליישום: גילוי וזיהוי ניסיונות לביצוע VLAN Hopping.
8.	הארגון וידא באופן רציף כי לא נעשה שימוש במערך הטלפוניה בפונקציונאליות בעלות רמות סיכון בינוניות ומעלה.
להלן מספר דוגמהות:
- שימוש ב"שיחה חוזרת" (Back Call).
- משיכת שיחה ע"י משתמשים.
- "פריצה" לשלוחה (אינטרקום חירום).
- "פריצה" לשיחת ועידה.
- גישה לשיחת ועידה ללא אימות מקדים.
- תכנות מתקדם בשלוחת משתמש.
- פתיחת דלת כניסה
- עקוב אחרי
9.	הארגון וידא באופן רציף כי לא מתקיים מצב של שימוש לרעה בפעילות (Session) משתמש במערך הטלפוניה. דוגמה ליישום: וידוא כי לא נעשה חיוג מאותה שלוחה למספר מספרים שונים במקביל. דוגמה אחרת: וידוא כי לא ניתן לעשות שימוש באותה שלוחה ממכשירי טלפון שונים.
10.	הארגון וידא באופן רציף כי לא נעשה שימוש לרעה בחשבונות גישה הייחודים למערך הטלפוניה. דוגמה ליישום: גילוי וזיהוי ניסיונות לפריצה לתא קולי של משתמש באמצעות ניחוש סיסמה.
11.	הארגון וידא באופן רציף כי לא נעשה שינוי לא רצוני בהגדרות התצורה של מערך הטלפוניה ביחס ל-Baseline המאושר. דוגמה ליישום: קבצי הקונפיגורציה של מכשירי הטלפון מנוטרים באמצעות FIM.</t>
  </si>
  <si>
    <t>12.	הארגון וידא באופן רציף כי הוא מגלה ומזהה קיומה של אנומליה ביצירת התקשרות מ/אל יעדים.
 להלן מספר דוגמהות:
א. שיחות בזמנים חריגים (דוגמת שעות ללא פעילות במשרד או כאשר משתמש נמצא בחופש).
ב. ניסיון ליזום שיחה באופן חוזר ונשנה
ג. שליחה/קבלה של הודעת פקס בקו טלפון אשר מטרתו לשמש לשיחות קוליות.
ד. שיחה ממקור/SMS בעל רמת מהימנות נמוכה.
ה. יזום שיחה משלוחה הממוקמת במיקום פיזי השונה מהמיקום הרשמי
ו. עלויות שיחה חריגות, דבר אשר עשוי לרמוז על גניבת שיחות.
ז. עומס חריג של שיחות (TDOS).
13.	הארגון וידא באופן רציף כי ה-Latency הממוצע בתשתית ה-VoIP עומד בדרישות העסקיות. לדוגמה: ה-Latency הממוצע לא יעלה על 120ms ,ואילו ה-Jitter הממוצע לא יעלה על כ-20ms דוגמה ליישום: שימוש במנגנון QoS.</t>
  </si>
  <si>
    <t>1.	הארגון וידא כי הוא עושה שימוש בשיטות גילוי וזיהוי מקובלות לשם וידוא כי אין מדובר בדיווח כוזב.דוגמה ליישום: ביצוע הצלבה של מידע מסנסורים שונים.
2.	הארגון וידא כי הוא עושה שימוש בשיטות גילוי וזיהוי המבוססות על שימוש בחוקים פשוטים (ללא קורלציה מתקדמת) וחתימות איומים (IOC\IOA\TTP). לדוגמה: שימוש בחתימות אנטי-וירוס עדכניות וחוקים מסוג של If x then y
3.	הארגון וידא כי הוא עושה שימוש בשיטות גילוי וזיהוי המבוססות על ביצוע קורלציה מול מודיעין איומי סייבר (CI - Cyber Intelligence) אשר מקורו מיצרן אמצעי האבטחה. דוגמה ליישום: הפעלת שירות יצרן לגילוי, זיהוי וחסימה ב-Firewall של כתובות דוא"ל ו-IP בעלות רמת אמון נמוכה/מוניטין נמוך (Low Reputation).
יכולות ממשקי שליטה ובקרה לטובת ניתוח/אנליזה.
4.	הארגון וידא כי ממשקי השליטה והבקרה בעלי הנדסת נאותה, אשר מצמצמת את האפשרות של אובדן קשר-עין מצד מפעיל מערך הניטור.
5.	הארגון וידא כי לשם גילוי וזיהוי איומים הוא עושה שימוש בתשאול (Query) מידע הקיים במערך הניטור ומאגרי מידע רלוונטיים.
6.	הארגון וידא כי רצף האירועים מוצג בהתאם ל-Timeline סדור, ותוך שימוש בהצגה חזותית למשתמש (Visualization), דוגמת Graph API.
7.	הארגון וידא כי לוחות מכוונים (Dashboards) מותאמים לקהלי יעד שונים (דוגמת הנהלה, צוות הגנה בסייבר, צוות תקשוב).
8.	הארגון וידא כי הוא מסוגל להפיק דו"חות ממערך הניטור, דוגמת:
א.	רשימת  Top 10 (צריכת פס רוחב, גישה לאתרים בעלי מוניטין נמוך, יעד הגנה בעל היסטורית אירועים קודמים גבוהה וכד')
ב.	Hit Counts
ג.	Rule Statistics
ד.	KGI/KPI/KRI</t>
  </si>
  <si>
    <t>9.	הארגון וידא כי הוא עושה שימוש בשיטות גילוי וזיהוי המבוססות על שימוש בחוקים מורכבים (הכוללים קורלציה בין משתנים). לדוגמה: If x and y, then…, וכן Search Query, Denylist, Allowlist, First Sighting/New Term, Spike, Flateline, Change.
10.	הארגון וידא כי הוא עושה שימוש בשיטות גילוי וזיהוי המבוססות על ביצוע השוואה למידע היסטורי (Historical Analysis).
11.	הארגון וידא כי הוא עושה שימוש בשיטות גילוי וזיהוי המבוססות על איתור חריגה מערכי סף (Threshold) ורף (Bar) שנקבעו מראש.
12.	הארגון וידא כי הוא עושה שימוש בשיטות גילוי וזיהוי המבוססות על איתור חריגה ממבנה פרוטוקול סטנדרטי (דוגמת סדר השדות ב-HTTP אינו בהתאם לדרישות ה-RFC).
יכולות ממשקי שליטה ובקרה לטובת ניתוח/אנליזה (מעבר לרמה הבסיסית)
13.	הארגון וידא כי מערך הניטור מסוגל לספק לצוות ההגנה בסייבר המלצות לטיוב חוקים  (Rules) וזאת על סמך המלצות ליישום מקובלות (Best Practice), דוגמת המלצות יצרני אמצעי האבטחה.
14. הארגון וידא כי הוא מגלה ומזהה אנומליה וחריג חשוד טעות (Outlier) בפעילות העסקית.</t>
  </si>
  <si>
    <t>15.	הארגון וידא כי הוא עושה שימוש בשיטות גילוי וזיהוי אנומליה (Anomaly DeteCIon) בהתנהגות רשתית (NBA - Network Behavior Analysis). דוגמה ליישום: שימוש ב-NetFlow ו- VPC ﬂow logs.
16.	הארגון וידא כי הוא עושה שימוש בשיטות גילוי וזיהוי המבוססות על גילוי וזיהוי פעילות חשודה ב"קופסת חול" (Artifact Sandboxing).
17.	הארגון וידא כי הוא עושה שימוש בשיטות גילוי וזיהוי איתור דמיון בין קבצים וזיכרון נדיף (מבנה ותוכן); איתור דוגמהות קבצים עוינות בלתי מוכרות (בדוא"ל, בקבצים, בתמונות ועוד) על סמך קבצים מוכרים. שיטות עבודה שכיחות - Static Binary and Bytecode Analysis (Code Genealogy/Software Lineage) ו- Fuzzy Hashing.
18.	הארגון וידא כי הוא עושה שימוש בשיטות גילוי וזיהוי המבוססות על ביצוע קורלציה מול מודיעין איומי סייבר (CI - Cyber Intelligence) אשר מקורו מספקי תוכן המתמחים בתחום, ואשר אינם יצרני אמצעי ההגנה בהם עושה שימוש.
19.	הארגון וידא כי הוא עושה שימוש בשיטות גילוי וזיהוי המבוססות על איתור חריגה מהגדרות תצורה (Configuration Management) מאושרות.
יכולות ממשקי שליטה ובקרה לטובת ניתוח/אנליזה.
20.	הארגון וידא כי מערך הניטור מציג עצי תקיפה" (Attack Treess) ו"עצי רשתות" (Attack Nets) הממומשים באופן אוטומטי.
21.	הארגון וידא כי מערך הניטור עושה שימוש באונטולוגית סייבר (Cyber Ontology) מקובלת ועדכנית.
22.	הארגון משלב במערך הניטור מידע שמקורו מהמימד הפיזי, והמימד הלוגי.
23.	הארגון וידא כי מערך הניטור מציג את משטח התקיפה (Attack Surface) הפנימי/החיצוני, וזאת ביחס לרף הסיכון לארגון. בכלל זה יש לוודא התייחסות ל-IOE's (Indicator of Exposures) רלוונטיים.
24.	הארגון וידא כי מערך הניטור מציג את הממצאים בהתאם למתודולוגיות מקובלות בתחום (MITRE ATT&amp;CK, The Bryant kill Chain, Diamond Model of Intrusion, SAMIITAnalysis , Cyber Kill Chain, OODA Loop, MITRE MITRE D3FEND Matrix).</t>
  </si>
  <si>
    <t xml:space="preserve">1. דוגמה לבדיקת איכות תוצר: בדיקות ללא הרס (רנטגן, US, משקל, מיקרוסקופ אופטי/אלקטרוני), בדיקות הכולל הרס (עמידה בתנאי סביבה קיצוניים דוגמת אבק חום ולחץ, חיתוך בלייזר לשם בחינה טוב יותר של מבנה המוצר)
2. יש לוודא כי התקבל אישור הממונה על הבטיחות ומנהל צוות בקרה על הפתרון שיושם.
3. יש לוודא כי הניטור כולל התייחסות ל-Set Points and Tags תוך השוואה לערכים ברכיבי הציוד השונים (דוגמת Data Historian, PLC/RTU, Actuators)
4. יש לשים את הדעת לתאימות כלי ההגנה לסביבת ה-OT הקיימת בארגון. לדוגמה: לא כל IDS מסוגל לגלות ולזהות חריגות ב-Registers/FunCIons של פרוטולי OT. דוגמה אחרת: לא כל IDS בעולם ה-OT יודע להתמודדות עם פרוטוקול OT בגרסה מסוימת.
5. פעמים רבות תהליך הייצור והבקרה עשוי לכלול רכיבים חוץ ארגוניים, וזאת כדוגמת רכיבי IoT/IIoT ויש לוודא כי ישנה התייחסות לרכיבים אלו במענה האבטחתי. 
6. יש לוודא כי הוכשרו נציגים של צוותי בקרה להתמודדות עם אירועי סייבר 
7. יש לוודא כי בוצעה אינטגרציה עם מערך הניטור IT ,אך, תוך שימוש בבידול המונע השפעה ו/או דילוג נוזקה בין הסביבות.
8. יש לוודא כי מערך הניטור (בדגש על סנסורים) מכיל עמידות לתנאי סביבה קשים באזורי הייצור והבקרה.
9. להלן דוגמה שיטות שכיחות לניטור ערוצי-צד:
Timing, Power Consumption, TEMPEST, Acoustic Cryptanalysis, Differential Fault Analysis, Distance Observation, Cold Booting, Electronic Emission (EE), Power Fingerprinting (PFP), Simple Power Analysis (SPA), Differential Power Analysis (DPA), High-Order Differential Power Analysis (HO-DPA), Correlation Power Analysis (CPA), פלט חום לסביבה.
10. יש להעדיף שימוש באיסוף ארטיפקטים, IOC/IOA/IOE באמצעות רשת OOB שאינה שקופה לסביבת העבודה, בדגש על שימוש בתשתית אופטית.
11. לזיהוי אנומליה יש לשלב שימוש במכשירי מדידה העושים שימוש בטכנולוגיה שונה, ובלתי תלויה, למדידת פרמטר נתון (דוגמת לחץ או צפיפות) במקטע זהה.
דוגמה ליישום- למדידת לחץ בצינור אוויר יעשה שימוש במכשיר מדידה המבוסס על  בוכנה אשר המשקל המופעל עליה יומר לערך לחץ. במקביל יתבצע באותו צינור שימוש במכשיר מדידה מבוסס US לבחינת ערך הלחץ.
</t>
  </si>
  <si>
    <t>1. הארגון וידא כי ברשותו מיפוי עדכני של תהליך הייצור והבקרה, לרבות מיפוי יחסי התלות בין יעדי ההגנה השונים, ופלט/קלט של כל שלב בתהליך.
2. הארגון וידא כי הוא מבקר ובודק את תהליכי הייצור והבקרה בהתאם להמלצות יצרן יעדי ההגנה.
3. הארגון וידא כי מעביר את הלוגים והממצאים השונים למערכת מרכזית לאיסוף מידע וניהול אירועי הגנה מידע וסייבר. דוגמה ליישום: העברת הלוגים והממצאים למערכת SIEM.
4. הארגון וידא כי הוא מגלה ומזהה ניסיונות להפעלת רכיבים לא פעילים בבקרים (PLC). דוגמה ליישום: ניסיון לשימוש בממשק COM כאשר הממשק אינו פעיל בשגרה יחייב תחקור.
5. הארגון וידא כי הוא מגלה ומזהה שינויים לא מבוקרים בסביבת ה-OT. דוגמה ליישום: גילוי וזיהוי שינוי לוגיקה או שדרוג קושחה.</t>
  </si>
  <si>
    <t>9. הארגון וידא באופן רציף את תקינות/מקוריות (Authenticity) מהימנות ושלמות קבצי הגדרות התצורה/הקונפיגורציה/ לוגיקה  ( לדוגמה : ladder logic ) ויעדי ההגנה ההפעלה/קושחה (Firmware) וזאת ביחס ל-Bassline, ובאופן המבודד מסביבת הייצור .
10. הארגון וידא כי לטובת זיהוי וגילוי יעדי ההגנה (דוגמת PLC\RTU) הוא מתשאל את קבצי קונפיגורציה/הגדרות תצורה/לוגיקה של התקני ה-OT, וזאת החל משלב האתחול הראשוני, ובאופן עתי עד לשלב הכיבוי הסופי.
11. הארגון וידא כי לשם בדיקת אותו פרמטר תפעולי (חום, לחץ וכד') הוא עושה שימוש בשני סנסורים או יותר, אשר נסמכים על טכנולוגיה שונה, ומקורם מיצרנים שונים. דוגמה ליישום: לשם בדיקת לחץ הארגון עושה שימוש בשתי טכנולוגיות שונות, כאשר כל סנסור מקורו מיצרן אחר.
12. הארגון וידא כי כשלים/תקלות טכניות מתרחשים בהתאם לתדירות צפויה/חזויה (Prediction), וכי כל חריגה מתוחקרת כאירוע סייבר אשר התממש, אלא אם ניתן לשלול את קיומו ברמת ודאות גבוהה מאוד.</t>
  </si>
  <si>
    <t xml:space="preserve">13. הארגון וידא כי לשם ביצוע ניטור תהליך הייצור והבקרה הוא עושה שימוש בפתרון אשר הינו בלתי-תלוי בסביבת ה-IT/OT הקיימת בארגון, כך שתוקף אשר השתלט על סביבה זו לא יוכל להשפיע על מהימנות הנתונים המתקבלים מפתרון זה. דוגמה ליישום: הארגון עושה שימוש במערכת ניטור הנמצאת מחוץ לרשת (OOB) מסוג PFP - Power Fingerprinting, תוך ביצוע קורלציה בין הממצאים של פתרון הניטור הנ"ל, לממצאים המתקבלים ממערכות תפעוליות ואבטחה.
14. הארגון וידא כי הוא משלב במערך הניטור אמצעים המבוססים על טכנולוגיה אנלוגית, ולא רק דיגיטלית.
15. הארגון וידא כי הוא עושה שימוש בסנסורים בלתי תלויים (Purdue Model Level 0) אשר בוחנים את תקינות תהליך הייצור והבקרה, ומערכת ניהול מבצעת קורלציה בין הממצאים המתקבלים מסנסורים אלו, לאלו אשר מתקבלים ממערכות תפעוליות.
16. הארגון וידא כי הוא עושה שימוש בערוץ סמוי (Covert Channel) לשם בחינת תקינות תהליך הייצור והבקרה.
הארגון וידא כי הוא עושה שימוש בערוץ צד (Side Channel) לשם בחינת תקינות תהליך הייצור והבקרה. דוגמה ליישום: הוספת "רעש" יזום לתעבורה אשר מקורה מסנסורים, ושימוש ב"רעש" לשם גילוי וזיהוי שינויים לא רצוניים בתעבורה.
17. הארגון וידא כי לשם ביצוע ניטור תהליך הייצור והבקרה הוא עושה שימוש בשתי מערכות SIS או יותר, אשר עושות שימוש בטכנולוגיה שונה, ומקורן מיצרנים שונים.
</t>
  </si>
  <si>
    <t xml:space="preserve">1.	ודאו קיום חוקי ניטור מתאימים במערך הניטור.
2.	ודאו כי לא הוגדרו Excludes לחוקי הניטור שלא לצורך.
3.	ודאו כי ארכיטקטורת הרשת מכילה אמצעי אבטחה המספקים מענה לדרישות הבקרה. לדוגמה: קיומו של Database Firewall בעל פרופיל הגנה ההולם את מתאר האיום.
4.	ודאו באופן מדגמי כי אסימוני אימות (Authentication/Access Tokens) אינם נשמרים באופן קבע ביעדי ההגנה.
5.	ודאו באופן מדגמי כי הארגון מסוגל לבצע אחזור של פעולות היסטוריות של משתמש אנושי, משתמש אפליקטיבי ומכונה.
6.	ודאו באופן מדגמי כי ביצוע פעולות חריגות ע"י משתמש רגיל/חזק, גוררות תיעדוף וכי נשלחת התרעה לגורמים הרלוונטיים.
7. ודאו כי מערך הניטור המרכזי מציג את הממצאים בהתאם ל-MITRE ATT&amp;CK ו-MITRE MITRE D3FEND Matrix בגרסתם העדכנית.
8. ודאו כי ברשות הארגון תיעוד להגדרות התצורה שהוחלו על יעדי ההגנה, לרבות יכולת השוואה של שינויים בראיה לאחור.
</t>
  </si>
  <si>
    <t>6. הארגון וידא כי ביצע ביקורות ויזואליות ברמה היומית או בתדירות גבוהה יותר לשם גילוי וזיהוי חריגות, דוגמת הוספה/הסרה של רכיב תקשוב (מודם סלולרי וכו') מיעד הגנה, גניבה פיזית של יעד הגנה, מסך מחשב "פתוח" ללא שומר מסמך פעיל.
7. הארגון וידא כי במקרה של חריגה/הפרה מהרשימה דלמטה נשלחת התרעה לגורמים הרלוונטיים לשם המשך טיפול:
א. ביצוע שינויים רוחביים (דוגמת ביצוע Delegation) בשירותי הספרייה הארגונית (Directory Services).
ב. ביצוע שינויים רוחביים (דוגמת ביצוע שינוי הרשאות למספר רב של אובייקטים או מחיקה שלהם או שינוי תוכן) בשירותי מערכת הקבצים (File System).
ג. ביצוע שינויים רוחביים (דוגמת ביצוע שינוי הרשאות למספר רב של אובייקטים או מחיקה שלהם או שינוי תוכן) במסדי הנתונים (Database). ראוי לשים לב שחלק ממסדי הנתונים אשר שכיח לראות כיום אינם רלציוניים (Relational Database), ולפיכך נדרש לוודא תאימות טכנולוגית לסביבה זו.
ד. ביצוע שינויים רוחביים בהגדרות קבצי הגדרות תצורה (Configuration Files).
ה. ביצוע פעולות תשאול (Query) בתדירות גבוהה (Threshold) ע"י משתמש אנושי/אפליקטיבי.
ו. ביצוע פעולות תשאול (Query) בתדירות גבוהה (Threshold) מיעד הגנה ספציפי.
ז. ביצוע פעולה בשם משתמש אחר (Impersonation).
ח. ניסיון לביצוע הרצה/הפעלה של אמצעים מסוג “Living off the Land” ע"י משתמש שאינו מורשה (דוגמת תוכנות/פקודות מובנות במערכת ההפעלה המאפשרות ביצוע פעולות סיסטם, אך גם עשויות לשרת תוקף פוטנציאלי).
ט. ניסיון ביצוע Login מקומי כאשר קיים מתחם ניהול (דוגמת Domain\Realm).
י. ניסיון למחיקת לוגים (Logs) או עריכתם.
יא. ניסיון לשינוי מצב האבטחה של יעד הגנה (דוגמת הסרת הקשחה או ביטול מנגנון אנטיוירוס).
יב. שינוי בערך הגדרות תצורה/פרמטרים רגישים ביעדי ההגנה, דוגמת AdminSDHolder בעת עבודה עם Active Directory.
יג. ניסיון גישה למידע/Shares/Exports ללא קיום הרשאה תקפה.
יד. ניסיון לביצוע שינויים (הוספה, הסרה, שינוי הגדרות וכד') בהתקני חומרה.
טו. ניסיון לביצוע שינויים (הוספה, הסרה, שינוי הגדרות וכד') ברכיבי תוכנה.
טז. ניסיון לביצוע שינויים (הוספה, הסרה, שינוי הגדרות וכד') בדרייבר.
יז. גישה מכתובת לוגית בעלת רמת אמון נמוכה (Trust Level)/מחוץ לכתובת לוגית מותרת. דוגמה ליישום: הפעלת מנגנון גידור גיאוגרפי (Geo Fencing\Geo Location) במערכת ה-IAM.
יח. מספר פעילויות (Sessions) חריג של משתמש. דוגמה ליישום: חשבון משתמש אשר פעיל ביותר מיעד הגנה אחד.
יט. הפעלת כלי שורת פקודה (דוגמת Cmd, Regedit, Reg, PowerShell).
כ. ניסיון של משתמש חזק להקנות לעצמו הרשאות  גבוהות שלא בהתאם לתהליך העבודה המאושר.</t>
  </si>
  <si>
    <t>8.	הארגון וידא באמצעות שימוש בגוף ביקורת הפנים כי משתמשים בעלי הרשאות חזקות (בדגש על צוות ה-IT) אינם עושים שימוש לרעה בהרשאות הקיימות ברשותם.
9.	הארגון וידא כי משתמש אנושי אינו מבצע Login ליעד ההגנה ללא החתמת שעון נוכחות מקדימה. דוגמה למימוש: ביצוע קורלציה בין מערכת הנוכחות ומערך ה-AAA הארגוני והמקומי של יעדי ההגנה.
10.	הארגון וידא כי הוא מקליט את כלל פעילות (User Session) המשתמשים ביעד ההגנה, וכי המשתמשים מודעים לקיומה של יכולת זו.
11.	הארגון וידא כי התנהגות המשתמש (User Behavior) דומה להתנהגות ההיסטורית שלו.
12.	הארגון וידא כי התנהגות המשתמש (User Behavior) דומה להתנהגות ההיסטורית של משתמשים אחרים בעלי פרופיל עבודה דומה או זהה.
12.	הארגון וידא כי התנהגות יעד ההגנה דומה להתנהגות ההיסטורית שלו.
13.	הארגון וידא כי התנהגות יעד ההגנה דומה להתנהגות ההיסטורית של יעדי הגנה אחרים בעלי פרופיל עבודה דומה או זהה.
14.	הארגון וידא כי פרופיל החומרה של יעד ההגנה זהה לפרופיל המאושר (Device Profiling).
15.	הארגון וידא כי ביצוע פקודות תשאול (Query) הנשלחות ליעד הגנה אינן מכילות פקודות שאינן מורשות, וכן כי לא נעשה שימוש בפקודות לגיטימיות לשם ביצוע שינוי רוחבי ללא אישור, וזאת ע"י שימוש באמצעי אבטחה בלתי-תלוי. 
דוגמה ליישום: בקשות לשרת מסד נתונים עוברות בחינה מקדימה ע"י DAP (Database Audit &amp; ProteCIon) וזאת לשם גילוי וזיהוי  SQL Injection או ניסיון להרצת פקודת ניהול ע"י משתמש רגיל.
דוגמה ליישום אחרת: הרצת בקשות/פקודות (דוגמת DDL\DML\DCL\TCL)  בעלות השפעה רוחבית על שרת מסד נתונים (Drop Database למשל).
16.	הארגון וידא כי פעילות משתמשים בדרגת סיכון גבוהה (דוגמת VIP's או עובדים אשר נמצאים בפני פיטורים) מנוטרת באופן פרטני, וגישה של משתמשים אלו ליעדי ההגנה אינה מאופשרת ללא קיום ניטור פעיל.
17.	הארגון וידא כי גישת משתמש ליעד הגנה לשם ביצוע פעולות ניהול ע"י מתאפשרת רק באמצעות שימוש בשרת מתווך (Jump Box).
18.	הארגון וידא כי גישה עם הרשאה גבוהה ליעד הגנה מוקנית למורשה בהתאם למימד זמן ותיחום מוגדרים (דוגמת אלו פעולות ומשאבים ניתן לעשות בהם שימוש), וזאת ללא יכולת המשתמש החזק לקבל גישה לפרטי האימות האמיתיים (דוגמת שם משתמש + סיסמה), ולאחר סיום חלון הזמן ההרשאה מוסרת אוטומטית (Just in Time Admin).
19.	הארגון וידא כי במקרה של חריגה/הפרה מהרשימה דלמטה נשלחת התרעה לגורמים הרלוונטיים לשם המשך טיפול:
א.	שימוש ב"אסימון אימות" (Authentication/Access Token) כאשר אין חשבון משתמש/מחשב קיים בשירותי הספרייה הארגונית (Directory Services)
ב.	שימוש ב"אסימון אימות" (Authentication/Access Token) פג-תוקף.
ג.	שימוש ב"אסימון ניהול הרשאות" (Authorization Token) פג-תוקף.
ד.	שימוש חוזר (Replay) ב"אסימון אימות" (Authentication/Access Token).
ה.	שימוש חוזר (Replay) ב"אסימון ניהול הרשאות" (Authorization Token).
ו.	אחסון "אסימון אימות" (Authentication/Access Token) במנוחה (At Rest/Persistent) ביעד ההגנה.
ז.	קיומו של "אסימון אימות" (Authentication/Access Token) אשר אינו עושה שימוש ביכולות קריפטוגרפיות עדכניות, המספקות מענה הולם למתאר הסיכון.
ח.	קיומו של "אסימון ניהול הרשאות" (Authorization Token) אשר אינו עושה שימוש ביכולות קריפטוגרפיות עדכניות, המספקות מענה הולם למתאר הסיכון.
ט.	"אסימון אימות" (Authentication/Access Token) אינו נמצא ביעד הגנה שאינו מורשה לכך.
י.	"אסימון אימות" (Authentication/Access Token) אינו נגיש למשתמש שאינו מורשה לכך. 
יא.	שימוש ב"אסימון אימות" (Authentication/Access Token) של משתמש אנושי כאשר יעד ההגנה שביצע אליו Login נמצא במצב של "מסך נעול" (Lock Screen).
יב.	ניסיון ביצוע Memory Dump המכיל "אסימון אימות" (Authentication/Access Token).
יג.	הפעלת כרטיס רשת פיזי/לוגי במצב Promiscuous.
יד.	שינוי במיקום הפיזי של יעד הגנה.
טו.	שינוי בפורט חיבור התקשורת של יעד הגנה.
טז.	הוספה/הסרה של תעודה דיגיטלית (Digital Signature) ליעד הגנה ממקור לא מהימן. לדוגמה: הוספת Trusted Certificate Authority שאינו מורשה.
יז.	משתמש המבצע Login ליעד הגנה ללא החתמת שעון נוכחות מקדימה. דוגמה למימוש: ביצוע קורלציה בין מערכת הנוכחות ומערך ה-AAA הארגוני והמקומי של יעדי ההגנה.
יח.	משתמש המבצע Login ליעד הגנה באופן מקומי, כאשר מעשית הוא אינו נמצא פיזית במתחם העבודה.
יט.	ביצוע Login תדיר ע"י משתמשים שונים לאותו יעד הגנה.
כ.	משתמש המבצע פעילות (דוגמת Login) בזמנים חריגים. דוגמה ליישום: גילוי וזיהוי שימוש בחשבון המשתמש בשעות לילה, סופי שבוע או חגים.
כא.	צריכת משאבים חריגה.
כב.	תקלות תפעוליות האופייניות לפעילות נוזקה. דוגמה ליישום: גילוי וזיהוי קריסה של מערכת ההפעלה/תוכנה.
כג.	שימוש בפרוטוקול או פורט תקשורת שלא נעשה בו שימוש שכיח.
כד.	שימוש לרעה בפורט תקשורת לגיטימי. דוגמה ליישום: גילוי וזיהוי ניסיון להעברת מידע בפורמט השונה מזה אשר מקובל כי נעשה בו שימוש מקובל (FTP בפורט TCP 80).
כה.	קיומו של מרחק לא סביר בין מיקום הפעילות (Session) הראשונית, לבין המיקום בו מתבצע המשך פעילות. דוגמה ליישום: שימוש בפתרון IAM בעל יכולת לבחינת "מהירות גיאוגרפית" (Geo Velocity).
כו.	גישה לאזורי זיכרון המוקצים ליישום אחר. דוגמה ליישום: גילוי וזיהוי Buffer Overflow.
כז.	שימוש בפורמט קובץ שאינו מוכר/מאושר. דוגמה ליישום: שימוש בהצפנה או ערפול תוכן בקובץ.</t>
  </si>
  <si>
    <t>20.	הארגון וידא כי ביכולתו לוודא באופן חד-ערכי האם הפעילות ביעד ההגנה מקורה מגורם אנושי או מכונה. דוגמה ליישום: שימוש במערכת לגילוי וזיהוי קצב הקלדה ובחינה האם המשתמש הינו אנושי או מכונה.
21.	הארגון וידא כי ביכולתו לגלות ולזהות האם המשתמש המבצע פעולות ביעד הגנה הינו הגורם המוסמך, או שגורם אחר הצליח לקבל גישה לחשבון המשתמש (דוגמת משתמש אשר יצא להפסקת צהרים והשאיר את עמדת העבודה פתוחה, וגורם אחר משתמש בהרשאות הקיימות לביצוע פעולות). דוגמה ליישום: שימוש במערכת לגילוי וזיהוי קצב הקלדה ובחינה האם המשתמש המקליד עונה לפרופיל של משתמש מורשה (Profiling).
22.	הארגון וידא כי ביכולתו לוודא האם צריכת המשאבים ביעד ההגנה נובעת מפעילות יישומים/אפליקציות לגיטימית או פעילות חריגה.
23.	הארגון וידא כי לפני ביצוע פעולות רגישות הושלם הליך אימות (Authentication) מוצלח, וזאת באמצעות פריט אימות שלא נעשה בו שימוש בשגרת העבודה (דוגמת טביעת אצבע השונה מזו אשר נעשה בה שימוש בעת גישה לרשת התקשוב).
24.	הארגון וידא כי ביצוע פעולות רגישות/קריטיות התבצעו בנוכחות של שני גורמים בלתי תלויים (Dual Control). דוגמה ליישום: הוספת משתמש חזק מחייבת אישור סימולטני של מנהל הגנת הסייבר ומנהל הסיסטם.
25.	הארגון וידא כי במקרה של חריגה/הפרה מהרשימה דלמטה נשלחת התרעה לגורמים הרלוונטיים לשם המשך טיפול:
א.	הפעלה/הרצה של קובץ ביעד הגנה אשר חתום דיגיטלית ע"י תעודה דיגיטלית (Digital Signature) שאינה מהימנה.
ב.	הפעלה/הרצה של שיטה לא מאושרת, ואשר מאפשרת שינוי ההתנהגות של מערכת ההפעלה, תוכנה או קוד מכונה באמצעות יירוט קריאה לשגרה או הודעה המועברת בין תוכניות. דוגמה ליישום: גילוי וזיהוי Hooks שלא נעשה בהם שימוש בשגרה בארגון.
ג.	ניצול לרעה של שיטה מאושרת בארגון לביצוע שינוי ההתנהגות של מערכת ההפעלה, תוכנה או קוד מכונה באמצעות יירוט קריאה לשגרה או הודעה המועברת בין תוכניות. דוגמה ליישום: גילוי וזיהוי Hooks אשר נוזקה מנסה לנצל לרעה.</t>
  </si>
  <si>
    <t>10.	הארגון וידא כי הוא עושה שימוש במנגנונים מקובלים לשם צימצום למינימום את רמת החשיפה של המעורבים בתהליך ה- E-Discovery לתוכן המידע. דוגמה ליישום: שימוש בפתרונות מסוג  Privacy-Enhancing Cryptography (PEC) דוגמת Zero-knowledge proof  (ZKP) או Differential privacy או MPC (Secure multi-party computation) .</t>
  </si>
  <si>
    <t xml:space="preserve">3. הארגון וידא כי ברשותו תוכנית תגובה לניהול אירועי הגנת מידע וסייבר הכוללת בין השאר התייחסות לנושאים הבאים:
א. שימוש בעקרונות מניעה ועצירה (D&amp;D – Denial and Deception) לשם הקטנת אפקט הנזק.
ב. שימוש בעקרונות "שונות והשתנות" MTD\ Diversity (Moving Target Defense) לשם הקטנת אפקט הנזק.
ג. תיאום וסנכרון (Orchestration), מיכון ואוטומציה (Automation) ואיחוד (Consolidation), וניהול Ticketing של תהליכי התגובה. דוגמה ליישום: שימוש ב-SOAR (Security Orchestration, Automation and Response).
ד. יכולת אפקטיבית לביצוע פעולות DFIR (Digital Forensics and Incident Response) על בסיס 24/7.
ה. הגברת כושר הניטור, לרבות שימוש בעקרונות הגנה שקטה (Silent Defense).
ו. קיומה של יכולת לבצע תיקון (Remediation) ליעדי ההגנה שנפגעו, וזאת תוך צמצום הצורך במעורבות יד-אדם למינימום.
ז. יכולת התמודדות אפקטיבית עם ניסיונות תוקף לעיוור מערך ההגנה.
ח. קיומם של ספרי מרשם (Playbooks) פרטניים ועדכניים לתגובה אפקטיבית לאירועי הגנת מידע וסייבר שכיחים, ולא שכיחים. </t>
  </si>
  <si>
    <t>4.	הארגון וידא כי ברשותו הסכם התקשרות מול גורם מקצוע צד-שלישי אשר בהתאם לצורך ביכולתו לספק שירותי מומחה לתגובה לאירוע וביצוע חקירה פורנזית (IR Ad-Hoc).
5. הארגון וידא כי ביצע תרגול עתי לבחינת מוכנות וכשירות מערך התגובה.
6. הארגון וידא כי ביצע באופן עתי בחינת תקינות של האמצעים הטכנולוגיים אשר משרתים את מערך התגובה. דוגמה ליישום: הפעלת כלי חקירה פורנזיים לשם הפקת ראיות, ובחינה כי הראיות עומדות בדרישות החוק והרגולציה.
7. הארגון וידא כי ביצע באופן עתי בחינת תאימות של האמצעים הטכנולוגיים אשר משרתים את מערך התגובה לסביבת הפעולה.</t>
  </si>
  <si>
    <t>8. הארגון וידא כי ברשותו רשת שיתוף מידע/תקשורת בלתי תלויה, כך שתוקף לא יקבל נגישות למידע העובר בה בעת אירוע.
9. הארגון וידא כי ברשותו צוות חוקרי סייבר פנים-ארגוני בעל הכשרה בסיסית, ובמקרה הצורך הוא מסוגל לזמן גורמי מקצוע צד-שלישי ( IR היברידי).
10. הארגון וידא כי הוא משפר את מערך התגובה על סמך ממצאים אשר הופקו מאירועי סייבר שהתרחשו בארגון, ומחוצה לו (Lesson Learned). בכלל זה יש לוודא כי בסיום אירוע מתבצעות הפעולות הבאות:
א. תחקור והפקת לקחים (בחינה וניתוח מתודולוגי של ניהול אירוע הסייבר מתחילתו ועד סופו).
ב. תיקון הממצאים.
ג. מעקב אחר יישום הלקחים והתובנות.
ד. ביצוע תרגול לבחינת כשירות בהתאם לצורך.
11. הארגון וידא כי הטמיע מנגנונים ממוכנים לתמיכה בתהליך התגובה באירועי הגנת סייבר:
א. קיומה של בקרה רציפה ומתמשכת (Continuous Monitoring). דוגמה ליישום: הטמעת מערכת SIEM עם צוות הזמין 24/7.
ב. שמירה על עדכניות ספר המרשמים (Playbook) הממוכן, ובחינת תקינותו באופן עתי.
ד. חיבור יעדי ההגנה לטובת בקרה רציפה וממושכת.
12. הארגון וידא כי הטמיע אמצעים טכנולוגיים המאפשרים איסוף, תיעוד ושימור ראיות בהתאם לעקרון שרשרת הראיות והדינים המקובלים. (ראה בקרות פרק DETECT).
13. הארגון וידא כי ברשותו צוות חוקרי סייבר פנים ארגוני (IR פנימי).
14. הארגון וידא כי הטמיע נהלי עבודה ושיטות עבודה מקובלות לצמצום היקף הנזק במקרה של אירוע, דוגמת:
א. הסרת מידע ארגוני מאתרי אינטרנט וה-Darkweb.
ב. הכנסת תשתית התקשוב "הלא בריאה" של הארגון להסגר (Quarantine), וזאת לשם המשך פעילות ארגונית, גם במחיר פגיעה מסוימת בפונקציונאליות.
ג. מניעה והונאה(Denial &amp; Deception).
ד. חסימת התקיפה.</t>
  </si>
  <si>
    <t>15.	הארגון וידא כי הטמיע מנגנונים ממוכנים לתמיכה בתהליך התגובה באירועי הגנת סייבר:
א.	שילוב כלי תומך החלטה.
ב. הקמת מערך תגובה ממוכן. דוגמה ליישום: הטמעת מערכת SOAR.
ג. ניהול זרימת המידע באופן ממוכן (Workflow)
16. הארגון וידא כי הוא מסוגל לגלות ולזהות התנהלות אנומלית בפעילות כלי החקירה, בין אם היא נובעת מתקלה טכנית, זיהום ע"י נוזקה או הטמנה.
17.	הארגון וידא כי ברשותו יכולת חקירה עצמאיות ללא תלות בגורם צד שלישי.
18. הארגון וידא כי הטמיע נהלי עבודה ושיטות עבודה מקובלות לצמצום היקף הנזק במקרה של אירוע, דוגמת:
א. החלפת אמצעי אימות ורישום.
ב. שיתוף IOC/IOA/IOE/TTP שהתגלו עם שותפים וה-CERT הלאומי.
19. הארגון וידא כי ביצע בדיקות מדגמיות לאחר סיום האירוע בטווחי זמן שונים ( 30 ,60 , 90 ו-120 ימים לדוגמה) כי אכן הסרת האיום (דוגמת נוזקה) בוצעה באופן מלא, וכי לא מתגלים סממנים להמשך פעילות.</t>
  </si>
  <si>
    <t xml:space="preserve">4. הארגון וידא כי ביכולתו לבצע ניהול ידני/לא ממוכן של יומן האירועים (לדוגמה במידה ומערכת התקשוב אינה זמינה או "מזוהמת", ולפיכך לא ניתן לנהל באמצעותה את היומן או עקב מגבלות משאבים לא ניתן לעשות שימוש במערכת ממוכנת ייעודית).
5. הארגון וידא כי ממצאי יומן האירועים עונים לעקרון שמירה על שרשרת הראיות ודרישות הדין.
6. הארגון וידא כי הגדיר את אופן רישום הפעולות המתבצעות ע"י הגורמים השונים במהלך אירועי הסייבר. 
7. הארגון וידא כי הטמיע מערכת ממוכנת לניהול אירועי סייבר. </t>
  </si>
  <si>
    <t xml:space="preserve">2. הארגון וידא כי הגדיר את ממשקי העבודה והדיווח בין צוות התגובה לבין הגורמים העסקיים על פי רמת חומרת האירוע והשפעתו על התהליכים השונים בארגון (יש להתייחס ליכולת פגיעה במוניטין, בקווים עסקיים, השפעה על לקוחות, מחירי מניה, פגיעה בשותפים עסקיים, פגיעה בחיי אדם וכד').
3. הארגון וידא כי הגדיר מראש את הגורמים, אופן ההפצה והצהרות החברה לעובדים, שותפים עסקיים, בעליי עניין ולציבור בסוגיות שונות העלולות להיווצר תוך כדי טיפול באירוע - Crisis communication cookbook, (לדוגמה בפגיעה בשירות, מוצר, דלף מידע, פגיעה בתשתית וכד').
4. הארגון וידא כי הגדיר רשימת תיוג לביצוע פעולות נדרשות המוגדרת ליישום בהתאם לסדר זמנים מוגדר, מרגע שנקבע חשד לקיומו של אירוע סייבר, וזאת עד לחזרה לשגרה. רשימת התיוג זהה לכל רמת חומרה והארגון פועל על פיה.
</t>
  </si>
  <si>
    <t>5. הארגון וידא כי ברשותו אמצעי תקשורת חלופיים במקרה של פגיעה/שיבוש אמצעי התקשורת אשר נעשה בהם שימוש בשגרה (דוגמת רשת טלפוניה קווית , סלולר ואינטרנט). דוגמה ליישום: הקמת אתר אינטרנט חלופי בחירום, וזאת לטובת פרסום עדכונים לציבור עד לשיקום אתר האינטרנט. דוגמה אחרת: שימוש בטלפון לוויני לשם יצירת קשר עם הגורמים השונים בעת קיומה של השבתת תשתית התקשרות הרגילה.
6.	הארגון וידא כי ברשותו מערכת ממוכנת התומכת בתהליך דיווח פנימי וחיצוני הכוללת מידע על זמני הדיווח הנדרשים מול שותפים עסקיים, לקוחות ובעלי עניין (לדוגמה: יומן אירועים ממוחשב, מערכת דיווח לגורמים חיצוניים בשירות ענן ציבורי).</t>
  </si>
  <si>
    <t>9.	הארגון וידא כי ברשותו אתר חלופי (DR) קר (Cold Site) אשר מאפשר התאוששות בחירום.
10.	הארגון וידא כי ברשותו העתק מודפס ועדכני של תוכנית התאוששות בחירום.
11.	הארגון וידא כי יעדי ההגנה עושים שימוש בטכנולוגיות מקובלות ועדכניות המאפשרות עמידה במדדים אשר הוגדרו. 
להלן מספר דוגמהות:
א. יתירות ברמת יעד ההגנה עצמו. דוגמה ליישום: יתירות מערך האחסון ע"י שימוש בטכנולוגיית RAID או טכנולוגיית SSD מתאימה, שימוש בשני ספקי כוח, שימוש בשני Controllers בלתי-תלויים לניהול מערך האחסון וזוג ספקי כוח, שרידות כרטיסי רשת וכבילה למערך התקשורת.
ב. יתירות ברמת השירות ע"י שימוש באשכול (Cluster) העושה שימוש בשני יעדי הגנה או יותר לשם השגת אותה תכלית.
ג. יתירות ברמת השירות של מערך האחסון ע"י שימוש בטכנולוגיית Network RAID.
ד. שרידות יעד הגנה על-ידי וידוא כי הנ"ל עומד בדרישות תקינה מקובלת לעבודה בתנאים קשים. דוגמה ליישום:  עמידה בתקן IEC standard 60529.
ה.	יתירות ספקי אינטרנט וקווי תקשורת לאינטרנט וקווים אחרים.
ו. יכולת ניוד של שירות טכנולוגי (דוגמת API ממשק תשלומים) לספק חלופי, וזאת במקרה של תקלה קריטית בספק מהותי.
12. הארגון וידא כי הוא אחת לשנה לפחות מבצע מבדק כשירות ומוכנות לעבודה באתר חלופי (DR), וזאת ע"י דילוג חלק מתהליכי ליבה לעבודה באתר החלופי למשך יום אחד לפחות.
13. הארגון וידא כי מינה ועדת היגוי לנושא המשכיות עסקית המתכנסת כל חצי שנה לפחות. דוגמה לחברים בוועדה: מנהל בכיר, מנהל המשכיות עסקית, יועץ משפטי, מנהל מערכות מידע, מנהל הגנת מידע וסייבר, דוברות</t>
  </si>
  <si>
    <t xml:space="preserve">14.	הארגון וידא כי ברשותו אתר חלופי (DR) חם (Hot Site) אשר מאפשר התאוששות בחירום.
15.	הארגון וידא כי תהליך ההמשכיות שלו עומד בדרישות תקינה מקובלות. דוגמה ליישום: עמידת הארגון בתקן ISO 22301.
16.	הארגון וידא כי האתר החלופי (DR) מאפשר שהיה ממושכת של צוותי התקשוב.
17.	הארגון וידא כי הוא אחת לשנה לפחות מבצע מבדק כשירות ומוכנות לעבודה באתר חלופי (DR), וזאת ע"י דילוג חלק מתהליכי ליבה לעבודה באתר החלופי.
</t>
  </si>
  <si>
    <t>10. הארגון וידא כי ברשותו אתר חלופי (DR Site) הממוקם במקום שונה גיאוגרפית, וזאת במרחק אווירי של 40 ק"מ כמינימום מהאתר הראשי.
11. הארגון וידא כי זיהה בטרם עת בעיות נגישות פוטנציאליות לאתר החלופי, ומוודא כי האתר החלופי נגיש במקרה של אירוע חריג.
להלן דוגמה ליישום:
א. הארגון וידא כי קיימות מספר דרכי גישה פיזיות לאתר החלופי.
ב. הארגון וידא את קיומן של חניות לרכבי העובדים ורכבי אספקה.
ג. הארגון וידא כי האתר החלופי נמצא במבנה עמיד לאסונות טבע (רעידות אדמה, סופות, שיטפונות וכד' )
ד. הארגון וידא כי  האתר החלופי  ויעדי ההגנה אינם ממוקמים באזורים גאוגרפים בעייתיים (שברים טקטוניים, אזורי הרי געש, אזורים המועדים לרעידות אדמה וכד' ).
ה. הארגון וידא כי ישנה דרך לתפעל את האתר מרחוק במידת הצורך ללא הגעה פיזית.
ו. הארגון וידא כי האתר החלופי נמצא בקרבה סבירה לשירותי חירום. לחילופין, הארגון שכר גורם המסוגל לספק שירותי חירום ברמת איכות נאותה.
ז. הארגון וידא קיומה של יתירות בממשקי תקשורת וחשמל.
12. הארגון וידא כי בסביבה שיתופית קיימת הבדלה/חציצה פיזית מלאה בין יעדי ההגנה שלו ליעדי הגנה של ארגונים אחרים.
13. הארגון וידא כי קיימת התייחסות להעברות ציוד פיזי (דוגמת יעד הגנה) לאתר החירום תוך הקפדה על SLA התומך בתהליך המשכיות עסקית, וכן על הארגון לספק מענה במקרה שהפריטים הזמינים אינם בהתאם למפרט שהוגדר במקור.
14. הארגון וידא עמידה של האתר החלופי בדרישות תקנים מקובלים בתחום דוגמת : TIA-942 רמה 2 ומעלה.</t>
  </si>
  <si>
    <t>1. הארגון וידא כי האתר החלופי (DR Site) מכיל גיבויים/העתקים של יעדי ההגנה תקשוב ואחסון, אשר תומכים בתהליך המשכיות עסקית.
2. הארגון וידא כי האתר החלופי (DR Site) תומך במשימות חיוניות ופונקציות עסקיות, וזאת תוך התייחסות למדדים מקובלים דוגמת קיבולת וזמני תגובה מצופים.
3. הארגון וידא כי האתר החלופי (DR Site) מאפשר גמישות בצריכת משאבים, וזאת תוך הגדלת קיבולת ושיפור ביצועים במקרה הצורך (לרבות גדילה/חריגה לא צפויה).
4. הארגון וידא כי האתר החלופי (DR Site) עומד בדרישות הכשירות והמוכנות ע"י ביצוע מבדקים עיתיים. דוגמה ליישום:
א. בדיקת תקינות שחזור אחת לחודש של יעדי הגנה.
ב. דילוג  לעבודה באתר החלופי (DR Site).
4. הארגון וידא כי האתר החלופי (DR Site) מתעדכן אחת ליום לפחות בנתונים חדשים מהאתר הראשי.
5. הארגון וידא כי הסכם ההתקשרות אשר ברשותו כולל "עדיפות שירות" (Priority-of-Service) ביחס לארגונים המקבלים שירות מספק השירות  ובהתאם ליעדי הארגון, תוך הקפדה על הסכמי השירות ועמידה במדדים השונים שנקבעו.
6. הארגון וידא כי מערך התקשורת לרשתות ציבוריות עומד בהיקפי הפעילות אשר הוגדרו בתוכנית ההמשכיות העסקית ושיאפשר ביצוע התאוששות מהיר ואפקטיבי. 
7. הארגון וידא כי האתר החלופי (DR Site) מכיל לפחות העתק עדכני אחד של גיבוי עדכני, כאשר העתק זה מנותק בשגרה מיעדי ההגנה.
8. הארגון וידא כי רמת האבטחה הטכנולוגית של האתר החלופי (DR Site) זהה או גבוהה מהאתר הראשי.
9. הארגון וידא כי תקיפות פעילותו של האתר החלופי (DR Site) אינה תלויה בתקינות/זמינות האתר הראשי.
10.	הארגון וידא כי האתר החלופי (DR Site) מאפשר שליחת התרעות והודעות, דוגמת SMS ודא"ל ללקוחות ועובדי הארגון.
11. הארגון וידא כי האתר החלופי (DR Site) כולל אמצעי תקשורת, דוגמת שירותי טלפוניה.
12. הארגון וידא כי בעת עבודה בסביבה שיתופית קיימת הבדלה לוגית בין יעדי ההגנה שלו ליעדי הגנה של ארגונים אחרים.
13. הארגון וידא כי לא מתקיימים יחסי תלות בין האתר הראשי, לאתר החלופי (DR Site).</t>
  </si>
  <si>
    <t>14. הארגון וידא כי הגדיר מנגנון אשר משחזר פעולות שלא הושלמו בעקבות כשל מערכת או מעבר למערכת גיבוי.  דוגמה ליישום: הארגון יתחזק מנגנון לשחזור פעולות ליעדי ההגנה מבוססות טרנזקציות.
15. הארגון וידא כי מסוגל לשחזר את המידע/יעדי ההגנה על חומרה שונה מהמקור.
16. הארגון וידא כי האתר החלופי (DR Site) מכיל תיעוד דיגיטלי ומודפס של מסמכים נדרשים, דוגמת רשימות תיוג, רשימת אנשי קשר, תרשים ארכיטקטורה, נהלי עבודה.
17. הארגון וידא כי הוא מבצע בדיקת כשירות אחת לתקופה ליעדי ההגנה/אמצעים להתאוששות בחירום.
18. הארגון וידא כי האתר החלופי (DR Site) מכיל יעדי הגנה חלופיים אשר ניתן להשמיש בעת הצורך, וזאת לשם העברת הפעילות של תהליכים עסקיים רלוונטיים מאתר זה.
19 הארגון וידא כי המידע המתקבל מהאתר הראשי נבדק באופן ממוכן לאחר הגעתו, וזאת לשם וידוא כי המידע מהימן ושלם, וכי המידע מאפשר חזרה לכשירות של התהליכים העסקיים הרלוונטיים וזאת ע"י ביצוע שחזור של יעדי ההגנה על סביבת מעבדה ובדיקת תקינות של התהליכים העסקיים.
20. הארגון וידא כי האתר החלופי (DR Site) אינו מכיל נקודת כשל בודדת (SPOF - Single Point of Failure).
21. הארגון וידא כי הוא שומר שני עותקים לכל הפחות של גיבויים באתר החלופי, ובאופן שאינו מושפע מסוגי אירועי איום שונים (לדוגמה : אסונות סביבתיים, כופרה וכד') כאשר עותק אחד לפחות מנותק באופן קבוע מהרשת הארגונית.</t>
  </si>
  <si>
    <t>22. הארגון וידא כי התקשורת בין האתר הראשי לאתר החלופי (DR Site) אינה מתבצעת על גבי תווך האינטרנט. דוגמה ליישום: שימוש ב-VPN על גבי MPLS.
23. הארגון וידא כי האתר החלופי (DR Site) מתעדכן קרוב לזמן אמת (Near on line) מהאתר הראשי, ובכך מאפשר יכולת התאוששות מהירה. 
24. הארגון וידא כי ברשותו יכולת לעבודה רציפה באתר החלופי (Hot site) במקרה של תקלה/אירוע באתר הראשי.</t>
  </si>
  <si>
    <t>4. הארגון וידא כי הוא עושה שימוש בכלי מודעות (Awareness) לשם שמירה על כשירות וערנות העובדים והספקים.
דוגמה ליישום: תליית פרסומי מודעות בצמתי מפתח בארגון. דוגמה ליישום נוספת: סקירת אירוע אשר התרחש בארגון או בארגון אחר, והצגת תובנות בהתאם.
5. הארגון מצמיד לכל עובד חדש חונך אישי המלמד אותו נושאים רלוונטיים הקשורים להמשכיות עסקית (OJT - On-the-Job Training). 
6. הארגון וידא כי עובדי הארגון עברו פעמיים לפחות בשנה מבדק כשירות, וזאת תוך שילוב אמצעי סימולציה מקובלים.</t>
  </si>
  <si>
    <t>7.	הארגון וידא כי עובדי הארגון עברו פעמיים לפחות בשנה מבדק כשירות, וזאת תוך שילוב בהתנסות מעשית בסביבת הייצור. דוגמה ליישום: העברת העובדים לעבודה באתר החלופי (DR Site) בהתאם לנוהל חירום לתקופה של שבוע כמינימום.</t>
  </si>
  <si>
    <t>הארגון וידא כי הגדיר מודל ניהול הרשאות ואימות חשבונות משתמשים (אנושיים, אפליקטיביים לרבות חשבונות מחשב) ביעדי ההגנה</t>
  </si>
  <si>
    <t>הארגון וידא כי הטמיע מנגנוני רישום ואימות זהות בהתאם לרמת האבטחה הנדרשת</t>
  </si>
  <si>
    <t>מערך האלחוט בארגוןן כולל יכולות הגנה מתאימות, וזאת תוך הגדרת נוהלי עבודה להתחברות משתמשים ויעדי הגנה לרשת האלחוטית</t>
  </si>
  <si>
    <t>הארגון וידא כי הטמיע נוהלי שימוש ודרישות תצורה בעת התחברות ליעדי ההגנה שלו עבור שימוש במכשירים ניידים</t>
  </si>
  <si>
    <t>אמצעים ושיטות להשמדה של  לוגרים (מצעי אחסון, אוגרים) דוגמת דיסק קשיח, כרטיס זיכרון או DOK, מידע דיגיטלי ורשומות פיזיות המכילים מידע רגיש/חסוי בסוף מחזור החיים (גריטה וגריסה)</t>
  </si>
  <si>
    <t>הארגון וידא כי הטמיע תהליך אנונימיזציה/התממה (Anonymization) של מידע, וזאת לשם מניעת חשיפת מידע רגיש/חסוי בפני לא מורשים, לרבות מניעת יכולת של גורמים לא מורשים לקשר בין המידע לזהות פרט (אדם ספציפי), ותוך מתן אפשרות לשימוש במידע למטרות מאושרות (דוגמת מחקר)</t>
  </si>
  <si>
    <t>שמירה על רציפות תפקודית והמשכיות עסקית בעת עבודה עם ספק ענן ציבורי</t>
  </si>
  <si>
    <t>הארגון וידא כי הטמיע בקרות הגנה למערכת מאובזרת בטיחותית SIS (Safety Instrumented System) ולמערכת הבטיחות המשרתת את סביבת ה-OT (לרבות Safety Managment System- SMS וכדומה)
(הרחבה לבקרת "אבטחת בקר")</t>
  </si>
  <si>
    <t>עקרונות מנחים בעת תכנון מרכז ניטור הגנת מידע וסייבר (CSOC - Cyber Security Operations Center) - הארגון ביצע תכנון מקדים להקמת מרכז ניטור הגנת מידע וסייבר (CSOC)</t>
  </si>
  <si>
    <t>ניתוח פעולות ודפוסי התנהגות  עבור תשתית OT (דוגמת פעולות משתמשים היוצרים רמת סיכון בינונית ומעלה)</t>
  </si>
  <si>
    <t>ניתוח פעולות ודפוסי התנהגות  עבור תשתית IT (דוגמת פעולות משתמשים היוצרים רמת סיכון בינונית ומעלה)</t>
  </si>
  <si>
    <t>1. הארגון וידא כי ברשותו תוכנית תגובה לניהול אירועי הגנת מידע וסייבר הכוללת בין השאר התייחסות לנושאים הבאים:
א. בקרת נזקים והתייחסות להשפעות הרוחביות הכרוכות באירועי הגנת מידע וסייבר (לדוגמה: אובדן חיי אדם, שיבוש/השבתה של מערכות בקרה תעשייתיות אשר עשויות לגרור פגיעה בהגנת סביבה וכד').
ב. רמות חומרה (Severity Levels) של אירועי הגנת מידע וסייבר.
ג. המשאבים הנדרשים והעלויות הכרוכות בהתמודדות וטיפול באירועי הגנת מידע וסייבר.
ד. הגדרת מדדים דוגמת MTTR\MRRI,MTTD\SLA\OLA.
ה. הגדרת טריגרים להפעת תוכנית המשכיות עסקית.
ו. עמידה ביעדי השירות במהלך האירוע.
ז. הגדרת צוות ניהול משברים, לרבות הגדרת סמכויות, תחומי אחריות רלוונטיים ותהליכי אסקלציה.
ח. נהלי עבודה רלוונטיים.
ט. בעלי עניין (Stockholders) חיצוניים/פנימיים, פרטי הקשר שלהם ורשימת תרחישים בהם נדרשת המעורבות שלהם (דוגמת חובת דיווח לרגולטור). 
י. שימוש באמצעים טכנולוגיים חלופיים במקרה של פגיעה בסודיות/מהימנות/זמינות תשתיות התקשוב הרגילות של הארגון.
יא. ממשקים פנימיים/חיצוניים לקבלת דיווח אודות אירועי הגנת מידע וסייבר.
יב. ניהול אירוע הגנת מידע וסייבר תוך התייחסות לשלבים רלוונטים:
• הכנה
• זיהוי וחקירה
• הכלה והכרעה
• השבה 
• מעבר לשגרה מפוקחת
• חזרה לשגרה רגילה
• הפקת לקחים (Lessson Learned)
יג. הגדרת המשאבים ותמיכת הנהלה הנדרשים לתחזוקה ושיפור יכולת התגובה לאירועי 
הגנת מידע וסייבר.
יד. ביצוע פעולות איסוף בהתאם לדרישות ועקרונות משפטיים והגנה על הראיות מפני חבלה (לדוגמה: עקרון שמירת שרשרת ראיות).
טו. נושאי מנהלה דוגמת אספקת מזון, מים, מקומות ישיבה וכד' לגורמים הרלוונטיים המעורבים בניהול האירוע.
טז. שיטות ואמצעים לצמצום רדיוס הפיצוץ (Blast Radius) במקרה של התרחשות אירוע הגנת מידע וסייבר.
יז. ביצוע פעולות שיקום רוחביות/ממושכות, דוגמת שיקום מוניטין של הארגון.
יח. זמינות כלי ואמצעים לטיפול באירוע הגנת מידע וסייבר, לרבות התקשרויות עם גורמי צד שלישי.
יט. ביטוח סייבר (וביטוחים אחרים רלוונטים), תנאים להפעלתו וזהות הגורם המורשה להפעילו.
כ. ניהול יומן אירועים.
כא. שרשרת הדיווח, זמני דיווח, דרכי דיווח פנימיים וחיצוניים.
כב. שמירה על כשירות ומוכנות.
כג. פנייה בעת הצורך למרכז ה-CERT של מערך הסייבר הלאומי.</t>
  </si>
  <si>
    <t>1. יש לוודא יישום מלא של בקרות ההגנה המפורטות בפרק "הגנה על יעדי ההגנה".
2. יש לוודא כי חשבון המנוי (Subscription) אינו משמש לביצוע פעולות ניהול שכיחות, וכי התחברות באמצעותו מחייבת שימוש ב-MFA וגישה מכתובות IP מוגדרות בלבד.
3. יש לוודא כי לכל גורם הגנת מידע וסייבר רלוונטי מוקצה חשבון ייעודי, אשר מאפשר בקרה על הגדרות התצורה של יעדי ההגנה. 
4. הגדרות תצורה לקויות בסביבת ענן הובילו פעמים רבות לאירועי הגנת מידע וסייבר משמעותיים.
5. חלק מספקי הענן מציעים כלים מובנים לבחינת תקינות הגדרות התצורה, המספקים שורה של המלצות לטיוב. מומלץ להיעזר בכלים אלו, גם אם הם מחייבים הרחבה של מסגרת הרישוי הקיימת.
6. יש לשים לב להיבטים ייחודים לניהול שינויים בענן, דוגמת עבודה עם Templates, Tabs והחלת חוקי גישה תוך שימוש ב-NSG ו-Security Groups.
7. יש לתת את הדעת על שימוש במנגנונים מובנים בספקי הענן הציבוריים, דוגמת:
Adaptive Application Controls (AAC)
Adaptive Network Hardening (ANH)
8. יש לוודא כי ברשות הארגון כלי סריקה הפעיל 24/7 שמטרתו לגלות, לזהות ולהסיר מידע רגיש/חסוי בקובצי הגדרות תצורה וכד', דוגמת סודות "Secrets" (דוגמת: API Management keys, Storage keys, Passwords, SSH keys, Cryptographic keys, Access tokens) ו-PII\PH.
9. יש לוודא באופן תקופתי כי ה-Root Management Group אינו מכיל הרשאות חריגות, וכי לא מתבצעים בו שינויים שאינם מבוקרים.
10. יש לוודא כי ספק הענן מספק לארגון מידע אודות שינויים, כך שניתן יהיה להעריך את מידת ההשפעה שלהם על רמת הגנת מידע וסייבר. המידע צריך לכלול:
א. הקטגוריה של השינוי.
ב. המועד המתוכנן של השינוי.
ג. תיאור טכני ופירוט המערכות של השינוי.
ד. מועד הסיום המתוכנן של השינוי.
ה. המשאבים / יעדי ההגנה המושפעים.
ו. כאשר ספק שירותי ענן מקבל שירות מגורם צד שלישי, יש לוודא כי הארגון מקבל עדכון לגבי כל שינוי שמבצע אותו גורם.
11. יש לוודא כי לא מתבצעים שינויים לא מאושרים ב-Routing Tables בסביבת הענן. שינוי לא רצוני מסוג זה עשוי לחשוף יעדי הגנה לאינטרנט ישירות, דבר אשר עשוי להביא תוך זמן קצר מאוד לידי אירוע הגנת מידע וסייבר רחב היקף.
12. יש לוודא כי הארגון עושה שימוש באמצעים מקובלים לשם וידוא כי הקוד המשרת את IoC (Infrastructure as Code) אינו זדוני.
13. יש לוודא כי הארגון הגדיר תהליך לאבטחת תהליך שימוש ב Images ואפליקציות מה-Marketplace.
14. יש לתת את הדעת כי שימוש נבון ב- Policy as Code או IaC (Infrastructure-as-Code) מאפשר ניהול תצורה מתקדם לצד שיפור רמת הגנת מידע וסייבר.</t>
  </si>
  <si>
    <t>1. יש לוודא כי חוזה ההתקשרות (בד"כ חוזה אחיד) אינו סותר דרישות חוקיות, רגולטוריות, דרישות עסקיות וצרכים עסקיים שהארגון מחויב אליהם. 
2. יש לוודא כי ההסמכה הבינלאומית שברשות ספק הענן הציבורי עדכנית, וכי התיחום עונה לדרישות הארגון. קרי, הצגת התעודה אינה מהווה תנאי מספק, ויש לוודא כי התיחום וזהות הגורם המעריך והמסמיך עונים לדרישות הארגון.
3. יש לוודא כי הספק עומד בהתחייבויותיו באמצעות משלוח שאלוני ספק, ביצוע ביקורת או לחלופין שימוש בשירותי ביקורת חיצוניים ואובייקטיביים.
4. יש לוודא כי חוזה ההתקשרות כולל התייחסות לתוצאות של אי עמידת הספק בתנאי ההסכם (סנקציות וכו').
5. יש לוודא כי חוזה ההתקשרות אינו מאפשר לספק הענן לבטל את ההסכם ללא מתן התרעה בזמן סביר.
6. יש לוודא כי החוזה מחייב את ספק הענן להנגיש את המידע הארגוני באמצעות שימוש בפרוטוקולים מקובלים, בעדיפות לפרוטוקולים פתוחים - כך שלארגון יהיה קל יותר לעבור לספק ענן חלופי במקרה של תקלה משביתה או הפרת הסכם מצד ספק הענן (No Vendor Lock).
7. יש לוודא כי גם במקרה שספק הענן לא יקבל תשלום עקב טעות ארגונית או סיבה לגיטימית אחרת, הוא לא יפסיק את השירותים ללא מתן מספר התרעות לארגון, עם זמן סביר בין התרעה להתרעה.
8. יש לוודא כי הספק מחויב להודיע לארגון על חשד / קיום אירוע סייבר תוך SLA מוגדר.
9. ככלל אצבע, מומלץ לבחון מיצוי של שירותי ההגנה שספק הענן מציע ללקוחות לפני החלטה לרכוש או לשכור מוצר/שירות מצד שלישי.
10. להלן דוגמהות לניהול תשתיות ומשאבי ענן באמצעות Cloud Deployment Manager:
הקמת סביבות שונות, פריסתן, שינוין ומחיקתן.
11. להלן דוגמה לשיקולים בבחירת ספק:
א. יש להעדיף ספק ענן הרשום כחברה במדינת ישראל.
ב. יש להעדיף כי מקום אחסון/עיבוד המידע יהיה בתחומי מדינת ישראל.
ג. עדכניות טכנולוגית.
ד. היצע של שירותי הגנה בסייבר.
12. דוגמה למודולים שכיחים שפתרון CASB עשוי להכיל:
Discovery, AAC (Advanced Access Control), DLP, UEBA, Threat ProteCIon, Encryption, KMS (Key Management Service), Logging
13. להערכת רמת ההגנה של ספק הענן ניתן להיעזר בשאלון של ארגון CSA (Cloud Security Alliance) .
14. יש להעביר לספק הענן את מטרות הגנת המידע והסייבר ולבקש לבצע ניהול סיכונים כדי להשיג אותן.
15. יש לוודא את תפקידי ואחריות מדיניות אבטחת המידע בנוגע לשירותי הענן, כפי שנכתב בהסכם עם ספק השירות. נושאים לדוגמה שיש לתת עליהם את הדעת:
א. הגנה מפני נוזקות
ב. גיבויים והמשכיות עסקית
ג. בקרות הצפנה שימוש באמצעים קריפטוגרפיים
ד. ניהול חולשות/פגיעויות
ה. ניהול אירועי אבטחת מידע ודיווח לארגון
ו. עמידה בתקנים מקובלים
ז. מבדקי אבטחת מידע
ח. ביקורת
ט. איסוף, תחזוקה והגנה על ראיות של לוגים
י. הגנה על מידע בשגרה ובעת הפסקת מערכת היחסים עם ספק השירות
יא. חלוקת האחריות בין הצדדים
יב. בקרת גישה והזדהות
יג. זהות וניהול גישה
יד. זהות ספקי המשנה (קריטי בתרחישי עבודה שונים דוגמת Nesting Cloud)
טו. אמנת שירות (SLA)</t>
  </si>
  <si>
    <t>מיפוי לתוה"ג 1.0</t>
  </si>
  <si>
    <t>1.1, 1.2, 3.2, 3.3,</t>
  </si>
  <si>
    <t xml:space="preserve">1.2, 2.1, 2.2, 3.1, 4.7, 12.3, 12.31, 17.3, 17.12, </t>
  </si>
  <si>
    <t>1.3,</t>
  </si>
  <si>
    <t>3.1, 3.3, 3.4, 4.33, 9.15, 18.20,</t>
  </si>
  <si>
    <t xml:space="preserve">4.1, 15.1, 15.6, 15.7, </t>
  </si>
  <si>
    <t>3.2, 4.1, 4.2, 4.11, 4.12, 4.13, 4.28, 4.29, 4.30, 9.2, 9.4, 9.15, 12.28, 13.7,</t>
  </si>
  <si>
    <t xml:space="preserve">4.1, 4.2, 4.9, 4.10, 4.36, 9.2, 12.28, 12.29, 13.7, </t>
  </si>
  <si>
    <t>4.2, 4.3, 4.4, 4.5, 4.6, 4.8, 4.9, 4.10, 4.14, 4.15,4.16, 4.28, 4.29, 4.30, 4.31, 4.33, 4.34, 4.37, 9.4, 9.8, 9.15, 12.5, 12.16, 12.28, 12.29, 13.2, 13.7,</t>
  </si>
  <si>
    <t xml:space="preserve">9.15, </t>
  </si>
  <si>
    <t xml:space="preserve">4.33, 6.3, 6.4, 13.3, 13.5, </t>
  </si>
  <si>
    <t>4.22, 4.23, 4.24, 12.13, 12.14,</t>
  </si>
  <si>
    <t xml:space="preserve">4.25, 4.26, 4.27, 8.7, 13.2, 13.5, 13.7, 13.8, </t>
  </si>
  <si>
    <t xml:space="preserve">4.35, </t>
  </si>
  <si>
    <t xml:space="preserve">5.3, 15.2, </t>
  </si>
  <si>
    <t>4.12, 5.4, 5.5, 11.12, 15.2, 18.7,</t>
  </si>
  <si>
    <t xml:space="preserve">15.4, 15.8, </t>
  </si>
  <si>
    <t>7.1, 12.19, 12.20, 15.8,</t>
  </si>
  <si>
    <t>5.4, 15.4, 15.8,</t>
  </si>
  <si>
    <t xml:space="preserve">11.1, 11.2, 11.3, 11.4, 11.7, </t>
  </si>
  <si>
    <t xml:space="preserve">11.1, 11.3, 11.4, 11.9, 11.10, </t>
  </si>
  <si>
    <t>11.4, 11.7,</t>
  </si>
  <si>
    <t xml:space="preserve">4.17, 4.25, 6.2, 6.4, 9.22, </t>
  </si>
  <si>
    <t>5.2, 11.6, 11.12,</t>
  </si>
  <si>
    <t>5.2, 11.6, 11.10, 11.12,</t>
  </si>
  <si>
    <t xml:space="preserve">16.1, 16.2, 16.3, 16.4, 16.5, 16.6, 17.17, </t>
  </si>
  <si>
    <t>12.21, 14.1, 14.2, 14.3, 14.4, 14.5, 14.6, 14.7, 14.8, 14.9, 14.10,</t>
  </si>
  <si>
    <t>10.1, 10.2, 10.3, 10.4, 10.5, 10.6, 10.7, 10.8, 14.10,</t>
  </si>
  <si>
    <t>3.3, 3.4, 6.5, 12.30, 14.10, 17.2,</t>
  </si>
  <si>
    <t xml:space="preserve">7.1, 7.3, 7.4, 7.5, 7.7, 7.8, 7.9, 12.18, 12.19, 12.20,13.5, </t>
  </si>
  <si>
    <t xml:space="preserve">6.1, 6.2, 6.5, 6.8, 9.13, 9.21, </t>
  </si>
  <si>
    <t>12.21, 12.22, 13.3,</t>
  </si>
  <si>
    <t xml:space="preserve">4.20, 5.6, 6.3, 6.6, 6.7,12.19, 13.3, 13.5, </t>
  </si>
  <si>
    <t>4.17, 4.25, 6.2, 6.4, 9.22, 13.3, 13.8, 14.3, 14.4, 14.5, 14.6, 14.7, 14.8, 14.9, 14.10,</t>
  </si>
  <si>
    <t xml:space="preserve">5.6, 6.5, 12.24, 15.5, </t>
  </si>
  <si>
    <t xml:space="preserve">10.6, </t>
  </si>
  <si>
    <t>17.1, 17.2, 17.3, 17.4, 17.5, 17.6, 17.7, 17.8, 17.9, 17.10, 17.11, 17.12, 17.13, 17.14, 17.15, 17.16, 17.17, 17.18, 17.19, 17.20, 17.21,</t>
  </si>
  <si>
    <t xml:space="preserve">12.1, 12.2, 12.24, 12.27, 15.2, 15.3, 18.1, 18.2, 18.3, 18.4, 18.5, 18.8, 18.9, 18.10, 18.11, 18.13, 18.14, 18.15, 18.16, 18.17, 18.18, 18.19. 18.20, </t>
  </si>
  <si>
    <t>18.3, 18.5, 18.2,</t>
  </si>
  <si>
    <t xml:space="preserve">18.13, 18.22, </t>
  </si>
  <si>
    <t xml:space="preserve">18.4, 18.5, 18.6, 18.8, 18.9, 18.11, 18.8, 18.9, 18.11,18.20, </t>
  </si>
  <si>
    <t xml:space="preserve">5.4, </t>
  </si>
  <si>
    <t xml:space="preserve">18.6, 18.13, 18.14, 18.15, 18.16, 18.,17, 18.18, 18.19, 18.21, </t>
  </si>
  <si>
    <t>18.7,</t>
  </si>
  <si>
    <t xml:space="preserve">19.1, 19.2, 19.3, 19.4, 19.5, 19.6, 19.7, 19.8, 19.9, 19.10, </t>
  </si>
  <si>
    <t xml:space="preserve">20.1, 20.2, 20.3, 20.4, </t>
  </si>
  <si>
    <t>24.10, 24.11, 24.12, 24.12, 25.4, 25.5,</t>
  </si>
  <si>
    <t xml:space="preserve">12.1, 12.2, 12.3, </t>
  </si>
  <si>
    <t xml:space="preserve">12.4, 12.5, 12.6, 12.7, 12.8, 12.9, 12.10, 12.11, 12.26, </t>
  </si>
  <si>
    <t xml:space="preserve">9.8, 12.4, 12.5, 12.6, 12.7, 12.8, 12.9, 12.10, 12.11, 12.2, 12.9, 12.23, </t>
  </si>
  <si>
    <t>12.19,</t>
  </si>
  <si>
    <t xml:space="preserve">5.2, 7.1, 9.1, 9.5, </t>
  </si>
  <si>
    <t>7.1, 7.2, 7.3, 7.4, 7.6, 9.17, 9.17, 9.18, 9.19, 9.20,</t>
  </si>
  <si>
    <t>15.1, 15.2, 15,3, 15.6, 15.7,</t>
  </si>
  <si>
    <t xml:space="preserve">15.7, 25.18, 15.19, 25.20, 25.21, 25.22, </t>
  </si>
  <si>
    <t xml:space="preserve">9.6, 9.7, </t>
  </si>
  <si>
    <t xml:space="preserve">9.5, </t>
  </si>
  <si>
    <t xml:space="preserve">9.12, 9.16, 9.17, 9.23, 9.24, </t>
  </si>
  <si>
    <t xml:space="preserve">9.21, 9.22, </t>
  </si>
  <si>
    <t xml:space="preserve">7.1, 9.9, 9.11, 9.12, 9.14, 9.16, 9.18, 10.9, </t>
  </si>
  <si>
    <t xml:space="preserve">7.1, 9.9, 9.17, </t>
  </si>
  <si>
    <t xml:space="preserve">7.1, </t>
  </si>
  <si>
    <t>4.12, 7.1,</t>
  </si>
  <si>
    <t xml:space="preserve">4.13,7.1, </t>
  </si>
  <si>
    <t xml:space="preserve">9.3, </t>
  </si>
  <si>
    <t>4.17, 4.18, 4.19, 4.20, 4.21, 4.32, 9.4, 9.8, 9.20,</t>
  </si>
  <si>
    <t>4.13,</t>
  </si>
  <si>
    <t xml:space="preserve">4.25, 4.26, 4.27, 8.7, 13.1, 13.4, 13.5, 13.10, </t>
  </si>
  <si>
    <t xml:space="preserve">7.1, 9.8, </t>
  </si>
  <si>
    <t>8.1, 8.2, 8.3, 8.4, 8.5, 8.6, 8.7, 8.8, 8.11, 9.20, 13.4, 13.6, 15.7,</t>
  </si>
  <si>
    <t xml:space="preserve">8.2, </t>
  </si>
  <si>
    <t xml:space="preserve">8.2, 8.3, 8.4, 8.5, 8.6, 8.9, 8.10, </t>
  </si>
  <si>
    <t>3.3, 3.4, 9.25, 22.1, 22.2, 22.3, 22.4, 22.5, 22.6, 22.7, 22.8, 22.9, 22.10, 22.10, 22.11, 22.12, 22.13,</t>
  </si>
  <si>
    <t xml:space="preserve">3.3, 12.30, 17.2, 17.13, 22.1, 22.3, 22.4, 22.5, </t>
  </si>
  <si>
    <t>22.6, 22.8, 22.10, 22.11, 22.12, 22.13,</t>
  </si>
  <si>
    <t xml:space="preserve">23.1, 23.3, 23.4, 23.6, </t>
  </si>
  <si>
    <t xml:space="preserve">23.1, 23.2, </t>
  </si>
  <si>
    <t>23.5,</t>
  </si>
  <si>
    <t>4.7, 5.5, 7.1, 9.10, 13.8, 21.2,</t>
  </si>
  <si>
    <t>9.10, 12.17, 13.9, 21.2, 21.3, 21.4, 21.5, 21.7,</t>
  </si>
  <si>
    <t>12.17,13.9, 21.14, 21.15, 21.16, 21.17,</t>
  </si>
  <si>
    <t>21.6, 21.7, 21.8,</t>
  </si>
  <si>
    <t>21.9,</t>
  </si>
  <si>
    <t>7.6, 7.8, 9.10, 12.8, 21.20,</t>
  </si>
  <si>
    <t>4.18, 7.7, 7.8, 12.17, 13.9, 18.8, 18.9, 21.10, 21.11, 21.12, 21.13, 21.19, 21.20,</t>
  </si>
  <si>
    <t>12.17, 21.21,</t>
  </si>
  <si>
    <t>4.18, 7.7, 7.8, 12.17, 13.9, 21.18, 21.21,</t>
  </si>
  <si>
    <t>7.2, 18.10, 24.1, 24.2, 24.3, 24.7, 24.8,</t>
  </si>
  <si>
    <t xml:space="preserve">18.10, 24.2, 24.3, </t>
  </si>
  <si>
    <t>18.10, 20.1, 20.2, 20.3, 20.4, 24.9, 24.10, 24.11, 24.12,</t>
  </si>
  <si>
    <t>24.4, 24.5,</t>
  </si>
  <si>
    <t>24.6,</t>
  </si>
  <si>
    <t xml:space="preserve">25.1, 25.2, </t>
  </si>
  <si>
    <t>18.21, 25.10, 25.11, 25.12,  25.13, 25.17,</t>
  </si>
  <si>
    <t xml:space="preserve">25.2, 25.8, 25.9, 25.10, 25.11, 25.12, 25.14, 25.15, 25.16, 25.20, 25.23, </t>
  </si>
  <si>
    <t xml:space="preserve">20.1, 20.2, 20.3, 20.4, 25.3, 25.4, 25.5,25.6, 25.7, </t>
  </si>
  <si>
    <t>1. יש לוודא כי שירותי ה-IdP (לרבות Federation) מוגנים באמצעות WAF, RASP או אמצעי אבטחה חלופי המסוגל לגלות, לזהות ולסכל תקיפות שכיחות וייעודיות.
2. אין לאפשר חשיפה ישירה של שירותי ה-IdP (לרבות Federation) לרשת ציבורית. במקרה הצורך יש לעשות שימוש בשרת מתווך (Proxy), גם אם לא נעשה שימוש ב-WAF או באמצעי הגנה אחר.
3. יש לוודא כי התעודה הדיגיטלית של שירותי ה-IdP (לרבות Federation) מחודשת זמן סביר לפני פקיעת התוקף שלה, מאחר שחריגה תוביל להשבתת פעילות עסקית.
4. יש לשמור על רמת עדכניות גבוהה של שירותי ה-IdP (לרבות AD Connect sync ו-Federation). דוגמה ליישום: עבודה עם גרסה אחרונה של המוצר, וכן החלת עדכוני אבטחה (פאצ'ים) תוך שעות ספורות מרגע פרסומם.
5. יש לוודא כי קיים מידור נאות של אובייקטים המשוכפלים לענן. דוגמה ליישום: סיסמאות משתמשים (לרבות ה-Hash שלהם) לא ישוכפלו לענן, או רק פרטי משתמשים ספציפיים ישוכפלו לענן.
6. יש לוודא כי משתמשים רגילים אינם מסוגלים להקים אובייקטיבים חדשים ב-IdP בענן. דוגמה ליישום: יש לוודא משתמשים רגילים אינם מסוגלים להוסיף אובייקט חשבון מחשב חדש ל- IdP, על אף שהדבר אפשרי כברירת מחדל ב-IdP שונים.
7. יש לתת את הדעת על כך שקישור SIEM לשירותי הענן מחייב שימוש בתצורת העבודה המומלצת הן על ידי ספק הענן והן על ידי יצרן ה-SIEM. כמו כן, העברת לוגים באמצעות Export אינה אפקטיבית בדרך כלל, מכיוון שפעמים רבות היא מחייבת ביצוע תהליך נרמול בצד הארגון הדבר מעלה את המורכבות התפעולית, ומרבית הארגונים מתקשים לבצע זאת באופן מספק.
8. כשעובדים בענן עם Active Directory Domain Services (AD DS) יש לשים לב כי קיימות שיטות עבודה שונות לקישור יעדי הגנה, דוגמת WorkPlace Join, Domain Join, וכי לכל אחת מהן יש משמעות אבטחתית.
9. פעמים רבות מימוש ה-Group Policy בענן הוא מוגבל או כלל לא קיים, ולכן יש לוודא כי ברשות הארגון אמצעי טכנולוגיה לבקרה ושליטה על יעדי ההגנה המתחברים לתשתית הענן.</t>
  </si>
  <si>
    <t>1.	הארגון וידא כי ברשותו מיפוי עדכני הכולל:
א.	פרטי חשבונות משתמשים אנושיים בעלי הרשאות רגילות, וחשבונות משתמשים בעלי הרשאות גבוהות
ב.	פרטי חשבונות אפליקטיביים (דוגמת Administrators, Domain Admins, Root, SPN's)
ג.	פרטי חשבונות מחשב (Computer Account)
ד.	פרטי חשבונות אשר הארגון מתיר להם לעשות שימוש/התחזות בחשבון של אחר (Account Impersonation)
ה.	פרטים אודות אסימוני האימות (Authentication/Access Token) בהם עושה שימוש כל נכס סייבר
ו.	פרטים אודות אסימוני ניהול הרשאות (Authorization) בהם עושה שימוש כל נכס סייבר
ז.	מיקום פיזי ולוגי של יעדי ההגנה
2.	הארגון וידא כי כלל הפעילויות של משתמשים אנושיים, אפליקטיביים ומחשב מתועדים ללוג חיצוני.
3.	הארגון וידא כי כלל הפעילויות ב"אסימון אימות" (Authentication/Access Token) וב"אסימון לניהול הרשאות" (Authorization Token)  מתועדות ללוג חיצוני.
4.	הארגון וידא כי במקרה של חריגה/הפרה מהרשימה שלמטה נשלחת התרעה לגורמים הרלוונטיים לשם המשך טיפול:
א.	שימוש בחשבון חזק לשם ביצוע פעולה האופיינית לחשבון משתמש רגיל. דוגמה ליישום: איש סיסטם יהיה בעל שני חשבונות - חשבון משתמש רגיל לעבודה שוטפת, וחשבון משתמש ייעודי לטובת ביצוע פעולות ניהוליות, ולפיכך הפעלת תוכנה האופיינית למשתמש רגיל באמצעות חשבון חזק תחייב תחקור.
ב.	חלוקת/שיתוף משאבי מחשוב בין משתמש רגיל, למשתמש חזק. דוגמה ליישום: עמדת העבודה של משתמש חזק תהיה ייעודית לו, וכי ניסיון גישה של משתמש אחר תחייב תחקור.
ג.	ביצוע שינויים בחברות בקבוצות חזקות (דוגמת Administrators Domain Admins, Enterprise Admin, Scheme Admins, Exchange Server Admin).
ד.	ניסיון ביצוע Login ע"י חשבונות משתמשים אנושיים/אפליקטיביים חזקים ליעד הגנה בעל רמת אמון נמוכה (Trust Level). לדוגמה: משתמש החבר בקבוצת Domain Admins המנסה לבצע Login לעמדת עבודה של משתמש קצה.
ה.	יצירה/הסרה של משתמש בעל הרשאות גבוהות (דוגמת Local Administrator, SPN).
ו.	ניסיון לביצוע InterActive Login עם משתמש אפליקטיבי.
ז.	ניסיון למתן או קבלת הרשאות לביצוע של פעולות רגישות/קריטיות (דוגמת  Privilege Escalation או Debug Privilege).
ח.	ניסיון לביצוע פעולות רגישות/קריטיות (דוגמת  Privilege Escalation או Debug Privilege) ע"י גורמים לא מורשים.
5. הארגון וידא כי ביכולתו לגלות ולזהות שינויים לא מורשים בהגדרות תצורה של יעדי ההגנה.</t>
  </si>
  <si>
    <t>1. יש לבדוק עם יצרן יעדי ההגנה אילו מנגנונים ניתן להפעיל על-מנת שיספקו את המענה ההגנתי.
2. יש לוודא כי אי עמידה בדרישות הבקרה מדווחת למערך הניטור.
3. יש לוודא כי כבר בשלב תכנון הרכש עולה דרישה להכללת אמצעי ההגנה החומרתיים והתוכנתיים.
4. יש לשלב שימוש בשיטות פסיביות ואקטיביות לבדיקת סטטוס יעד ההגנה וליצירת Device profiling חד-ערכי, שיישמר במערכת ה-Asset Management הארגונית תוך בדיקה רציפה כי ה-Device לא הוחלף באחר.
להלן שיטות עבודה שכיחות:
Device Discovery
Subnet Scans
Discovery Scan
Passive Profiling
Deep Packet Inspection via TAP/SPAN/Packet Broker
IP Helper/DHCP
Augmentation Methods (Active Profiling)
NMAP port scans
WMI scans
SSH scans
SNMP scans
Directory scans (e.g. LDAP)
קריאת קובצי הגדרות תצורה (System Configuration) ואיתור יעדי הגנה המופיעים בהם.
5. יש לוודא כי יעד הגנה שאינו עומד בדרישות הבקרה מועבר אוטומטית לסביבת הסגר (Quarantine), דוגמת VLAN ייעודי, וכי בסביבה זו מתבצעות פעולות תיקון (Remediation) נדרשות.</t>
  </si>
  <si>
    <t>1. יש לבצע בדיקות חוסן ליעד הגנה שמשתמש/ישתמש ב-IPv6, כדי לוודא שאינו מכיל כשלים במימוש הפרוטוקול אשר תוקף עשוי לנצל לרעה.
2. יש להעדיף רכש של יעד הגנה בעל הסמכת IPv6 Ready תקפה.
3. יש לוודא כי האפשרות לשימוש ב-ICMPv6 Echo Request חסומה ביעדי ההגנה. דוגמה ליישום: שימוש ב-Host FW.
4. יש לוודא כי הארגון עושה שימוש במערכת IPAM (IP Address Management).
5. יש לוודא כי ה-FW הארגוני מממש אמצעי מקובלים נגד IPv6 Spoofing.
6. יש לוודא כי ה-FW הארגוני חוסם קבלה של חבילות עם כותרת (Header) מסוג Type 0 Routing (סביר להניח שבאמצעי אבטחה עדכניים החסימה פעילה כברירת מחדל).
7. בעת עבודה עם SeND Protocol יש לוודא כי הוגדרו המנגנונים הבאים:
א. Cryptographically generated addresses (CGAs).
ב. Authorization Delegation Discovery.
8. יש לתת את הדעת על כך שייתכנו מקרים שבהם הארגון יעבוד בתצורה היברידית - דבר אשר ייצור כפילות בטבלאות נתונים, דוגמת Routing Tables, DHCP Scopes, DNZ Zones.
9. יש לוודא כי אמצעי האבטחה תומכים ב-DPI (Deep Packet Inspection) של תעבורת IPv6.
10. אין לבצע מרחוק את ניהול הגדרות התצורה וחוקי הגישה.
11. לשם ניהול ה-FW יש להשתמש בערוץ OOB.</t>
  </si>
  <si>
    <t>1. בעת מימוש ארכיטקטורת ההגנה, יש להתייחס הן לתעבורה היוצאת מהארגון לעולם (לרבות שירותי ענן ציבוריים) והן לתעבורה המגיעה מהעולם אל הארגון.
2. חשוב לשמור על רמת עדכניות גבוהה של יעדי ההגנה שחשופים לרשת הציבורית (דוגמת מערכת הפעלה, קושחה, אפליקציות ויישומים וכן IOA\IOC\IOE). זאת, לאור העובדה כי חולשה עלולה להיות מנוצלת על ידי מספר רב של שחקנים. דבר זה נכון גם לגבי רכיבי תקשורת שהארגון מנהל ישירות או באמצעות ספק שירותים מטעמו. ראוי לציין כי חלון הזמן בין חשיפתה של חולשה לציבור לבין תקיפת יעדי ההגנה באינטרנט יכול להיות שעות בודדות - ולכן על הארגון להיערך בהתאם.
3. יש חשיבות גבוהה להפעלה ולהגדרה של מנגנוני Anti-Spoofing בכל יעד הגנה החשוף באופן ישיר או עקיף לרשת ציבורית.
4. יש לוודא כי לא ניתן לקבל גישה לממשקי הניהול של יעדי ההגנה מהעולם, במטרה למנוע גישה ישירה אליהם של תוקף פוטנציאלי.
5. יש לוודא כי גם כאשר התעבורה מוצפנת (דוגמת שימוש ב-TLS), מערך האבטחה מסוגל לגלות, לזהות ולסכל איומים בתווך המוצפן (SSL/TLS Inspection).
6. לאחר עדכוני חתימות יש לבצע בדיקה מחודשת לגילוי וזיהוי IOA/IOC במידע היסטורי (דוגמת קבצים שהורדו מהאינטרנט והוכנסו לרשת הארגון) משבעת הימים האחרונים לכל הפחות.
7. מנגנוני הגדרת תצורת פרוקסי אוטומטיים, דוגמתProxy Auto-Configuration (PAC) files or Web Proxy Auto-Discovery (WPAD) עלולים להקל על ביצוע תקיפת סייבר נגד הארגון, ולפיכך מומלץ לנקוט צעדי הגנה מתאימים או לבטל את השימוש בהם לאלתר.
8. יש לוודא כי תשתית הגלישה מקושרת למערך הבקרה הרציפה והמתמשכת של הארגון. זאת לשם גילוי, זיהוי וסיכול איומים בזמן אמת, וכן לצורך ביצוע תחקור בדיעבד. כמו כן, יש לבצע קורלציות מתאימות לגילוי וזיהוי מאפייני גישה הנובעים מתקיפת סייבר (דוגמת Phishing), וכן לממש יכולות מקובלות לגילוי וזיהוי אנומליה.
9. יש לוודא כי מספר הממשקים החיצוניים עם נגישות ליעדי הגנה הוא מינימלי.
10. להלן רשימת דגשים להגנה על ערוץ הגלישה באינטרנט:
א. יש לוודא כי סקריפטים (דוגמת Java Script ו-Flash) שמגיעים משרת ה-Web מועברים ל- Emulator ייעודי לפני הרצתם (Rendering) בדפדפן המשתמש, וזאת לשם גילוי, זיהוי וסיכול התנהגות חשודה של הקוד עצמו. לעתים תכונה זו מכונה RBI - Remote Browser Isolation, אך יש לזכור כי המימוש בפועל עשוי להיות שונה באופן מהותי אצל יצרנים שונים.
ב. במקרה של גילוי וזיהוי איום או חשד לאיום, על מדיניות אמצעי האבטחה לכלול פעולות כגון חסימת גישה, העברה של תוצאת הרצת הסקריפט כתמונה גולמית לדפדפן המשתמש, או הסרת הקוד החשוד.
ג. יש לעשות שימוש ב-SWG (Secure Web Gateway) ,CASB או אמצעי אבטחה מקביל, הכולל לפחות מנוע אחד לגילוי, זיהוי וסיכול איומים מהסוגים הבאים:
• IOA/IOC - ניתן לבצע את הפעולה על ידי אמצעי אבטחה אחר/נוסף, באמצעות שליחת הקובץ לבדיקה באמצעות ICAP או פרוטוקול אחר. 
• גישה ל-Domain \URL \IP\Digital Certificate\Content בעלי רמת אמון/מוניטין נמוכים, לרבות Domainlike.
• אפליקציות P2P שאינן מורשות.
• אפליקציות שאינן מורשות ומנסות לקבל גישה לענן ציבורי (Public Cloud).
• גישה לא מורשית לאתרי שיתוף קבצים ודוא"ל ציבוריים.
• אנומליה במבנה ותוכן פרוטוקול, דוגמת:
- ניסיון להעברת תעבורת FTP בפורט TCP 80.
- העברת קובץ EXE במסווה של קובץ DOC "תמים" באמצעות זיוף סיומת קובץ ו-True Type.
- קיומה של פעילות גלישה חשודה (מספר פעילויות, זמני התחברות, נפחי תעבורה, הורדת קבצים בעלי נפח חריג וכדומה).
• תעבורה לא מורשית העושה שימוש בפרוטוקולים מתקדמים, דוגמתDNS Over HTTP (DoH), DNS Over TLS (DoT) ו-HTTP/2  ו-HTTP/3.
ד. יש לוודא יכולת מימוש של אמצעי אבטחה (דוגמת SWG) בתצורת Reverse 
Proxy, Transparent Proxy, Redirect\Offloading.
ה. יש לוודא כי כברירת מחדל לא ניתן לבצע גישה לאינטרנט. יש להקנות גישה לאינטרנט רק לאחר אימות המשתמש ויעד ההגנה ברמה פרטנית, וזאת בהתאם להרשאות הגישה הנגזרות מהספרייה הארגונית (Directory Service) ולקיומו של צורך עסקי ברור ומאושר.</t>
  </si>
  <si>
    <t>1. יש לזכור כי למרבית הפרוטוקולים המשרתים רשתות אלחוט יש חולשות ידועות, ולפיכך השימוש בשתי שכבות הצפנה בלתי תלויות הוא הכרחי בעת עבודה עם מידע רגיש/חסוי או תהליך קריטי. דוגמה ליישום: Domain Isolation.
2. יש להעדיף תמיד שימוש בתשתית תקשורת קווית.
3. יש לוודא כי ברשות הארגון יכולת אפקטיבית לגלות ולזהות שידורי RF, תוך הכללת הפרמטרים הבאים:
Direction of arrival (DOA), Frequency, Modulation, Received signal Strength, and time.
4. מומלץ להשתמש ביכולות האיכון של מערכת האלחוט, תוך שילוב תרשים/מפה של אתרי הארגון.
5. את מיפוי טווחי הקליטה ואיכותה ניתן לבצע באמצעים פשוטים (דוגמת SDR -Software Defined Radio) או מתקדמים יותר, כמו מכשיר לאנליזה של ספקטרום (Spectrum Analyzer). 
6. יש לוודא כי רשת האלחוט עושה שימוש בטווח כתובות IP ייעודי, שאינו משותף לרשתות התקשוב הקיימות בארגון.
7. יש לוודא כי מתקיימת הפרדה פיזית ולוגית מלאה בין רשת אלחוטית לנתונים לבין זו המשרתת טעינה אלחוטית:
א. כל התקן שתומך בטעינה אלחוטית יכלול משדר, מקלט ואנטנות ייעודיות לתקשורת נתונים, ולצדם משדר, מקלט ואנטנות ייעודיות לצורך טעינה אלחוטית.
ב. יש להשתמש בערוצי תקשורת (תדרים) שונים.
ג. יש לוודא כי אין גל נושא ה"מתלבש" על ערוץ התקשורת.
8. יש לוודא כי אורחים מקבלים הרשאת גישה קצרת טווח (מספר שעות, לדוגמה) לחיבור לרשת האלחוטית.
9. יש לוודא כי תהליך האימות מתבצע הן עבור המשתמש עצמו והן עבור יעד ההגנה.
10. יש לוודא באמצעות בדיקות חוסן כי השימוש בניוד (Roaming) אינו מהווה נקודת חולשה.
11. אין לאפשר ביצוע שינוי הגדרות תצורה/הגדרות אבטחה או ביצוע פעולות רגישות מהרשת האלחוטית.
12. יש לוודא החלת בקרות הגנה מקובלות, כמו:
א. בדיקת היגיינה טכנולוגית של יעד הגנה (Technology Hygiene) בעבודה מול רשת הארגון.
ב. אמצעי רישום, אימות ואכיפת מדיניות ארגונית.
ג. ארכיטקטורת אפס אמון.
13. יש לוודא אכיפה של דרישות הקשחה מקובלות להגדרות האלחוט ביעדי ההגנה, דוגמת ביטול מנגנון Discovery בעת עבודה עם Bluetooth, ביטול פרוטוקול WPAD, ביטול מנגנון Discovery לאיתור שרת פרוקסי ע"י הדפדפן וביטול פרוטוקול NBT.</t>
  </si>
  <si>
    <t xml:space="preserve">14. הארגון וידא כי מערך האלחוט תומך בשינוי תדרים דינמי, בין אם עקב הפרעות ברקע, חסימה או סיבה אחרת.
15. הארגון וידא כי נעשה שימוש במנגנון מקובל ועדכני להבטחת רמת המהימנות והשלמות (Integrity) של שדרי האלחוט.
16. הארגון וידא כי מתבצע תהליך אימות מלא בעת ביצוע נדידה (Roaming) בין נקודות גישה (Access Points).
17. הארגון וידא כי בחיבור יעדי הגנה לרשת הארגון באמצעות מערך האלחוט נעשה שימוש בשתי שכבות הצפנה בלתי תלויות (In Transit). דוגמה ליישום: שימוש ב-CCMP/AES ברמת מערך האלחוט, ושימוש ב-Domain Isolation based on IPsec על בסיס יכולות מובנות במערכת ההפעלה.
18. הארגון וידא כי הוא משתמש בפרוטוקולי תקשורת עדכניים בלבד במערך האלחוט.
19.הארגון וידא כי קיימת הפרדה פיזית בין רשת האלחוט המשרתת את משתמשי הארגון לרשת המשרתת אורחים (Guest).
20. הארגון וידא כי הוא צמצם את מספר ערוצי השידור שבהם הוא עושה שימוש למינימום האפשרי. דוגמה למימוש: במקרה שמערך האלחוט תומך בעבודה ב-2.4 GHz וב-5 GHz, התמיכה בעבודה ב-2.4 GHz תבוטל.
21. הארגון וידא כי הוא מחייב אימות הדדי בין מערך הניהול של מערך האלחוט ליעדי ההגנה. דוגמה ליישום: שימוש ב-EAP TLS על בסיס אימות הדדי על סמך תעודות דיגיטליות (mTLS).
22. הארגון וידא כי המיקום הפיזי (גובה, זווית וכו') של הקורנים (אנטנות המשדר) מסייע לצמצום/מניעת יציאת שדרי האלחוט מחוץ למתחם העבודה.
23. הארגון וידא כי הוא משתמש באנטנות בעלות פיזור ממוקד של השידור כלפי המשתמשים במתחם העבודה. דוגמה ליישום: שימוש ב-Directional Patch Antenna.
</t>
  </si>
  <si>
    <t>13. הארגון וידא כי מערכת ה-MFT כוללת מימוש של מודול אכיפה פנימי (Backend PEP) וחיצוני (Frontend PEP). את מודול האכיפה הקדמי יש להטמיע ב-DMZ, ולא ברשת הפנימית.
14. הארגון וידא כי המודול החיצוני (Frontend PEP) אינו מכיל קבצים כאשר המשתמש אינו מחובר.
15. הארגון וידא כי כאשר גורם שאינו הלקוח הרשמי מבקש גישה לכספת/קובץ, נדרש אישור סימולטני של שני גורמים בלתי תלויים (Dual Control).
16. הארגון וידא כי ה-PEP האחורי מבצע  דחיפה (Push) של הקבצים ל-PEP הקדמי.
17. הארגון וידא כי קבלת קבצים מה-PEP הקדמי תתבצע במשיכה (Pull) וביוזמת ה-PEP האחורי.
18. הארגון וידא כי ה-PEP הקדמי אינו מאפשר הזדהות של חשבונות משתמשים פנים ארגוניים.
19. הארגון וידא כי ה-PEP הפנימי אינו מאפשר הזדהות של חשבונות משתמשים מחוץ לארגון.
20. הארגון וידא כי ה-PEP הקדמי וה-PEP האחורי עושים שימוש באימות הדדי (Mutual Authentication).
21. הארגון וידא כי מערכת ה-MFT אינה עושה שימוש בפורטים דינמיים (Dynamic Ports).</t>
  </si>
  <si>
    <t>1. ישנה חשיבות רבה לשיתוף מנהל הסיכונים הארגוני (CRO) ומנהלי קווי העסקים בתהליך בניית פרופיל הסיכון הארגוני.
2. יש לוודא כי הנהלת הארגון אישרה בכתב את ממצאי סקר הסיכונים ותוכנית העבודה לסגירת הפערים. 
3. יש לוודא כי נושא המשרה הממונה על הגנת מידע וסייבר בארגון אינו נמצא במצב של ניגוד עניינים. 
4. יש לוודא כי חברי ההנהלה מקבלים באופן תקופתי הדרכות מקצועיות בנושא הגנת מידע וסייבר .
5. יש לוודא כי סקרי הסיכונים בארגון מתבצעים תוך הישענות על מודיעין סייבר ברמות הארגון, סקטור הפעילות והמדינה.
6. יש לבצע שימוש בכלי GRC לטובת ניהול תהליך הערכת הסיכונים. ניתן לעשות שימוש במערכת יוב"ל לשם מיפוי הסיכונים ובניית תוכנית העבודה.
7. יש לוודא כי הארגון מתייחס לסיכונים עסקיים שאינם טכנולוגיים גרידא, וזאת לצד יישום בקרות עסקיות המשלימות בקרות הגנת סייבר מקובלות. לדוגמה: ביצוע בקרה רציפה ומתמשכת לסיכונים בהתאם למדדים עסקיים, כמו סכום עסקאות .
8. יש לוודא כי ברשות הארגון BIA (Business Impact Analysis) עדכני.
9. יש לתת את הדעת לסיכונים הנובעים משרשרת האספקה של הארגון.
10. יש לוודא כי הארגון עושה שימוש במתודולוגיה מקובלת ועדכנית למיפוי הסביבה העסקית/ההקשר (Context). דוגמה ליישום: שימוש במתודולוגיית SABSA או TOGAF.
11. יש להגדיר תרחישי ניטור ייחודיים לסביבת הייצור והבקרה ולנטר אותם באמצעות מערך ניטור ארגוני.
12. יש לוודא כי הארגון עושה שימוש בגורמי צד-שלישי לשם ביצוע סקר סיכונים תקופתי - ברמת הארגון כולו, צבר יעדי הגנה בעלי פונקציונאליות עסקית משותפת, וכל יעד הגנה בפני עצמו.  תדירות מינמלית מומלצת: עד שנה לכל היותר.
13. יש לבצע סקר סיכונים לבחינת משמעויות לפני ביצוע שינוי מהותי ביעד ההגנה / סביבה ההפעלה או לאחר גילוי פגיעות משמעותית. ליעדי הגנה ברמה 3 ומעלה יש לוודא כי הסקר נערך ע"י גורם צד-שלישי.</t>
  </si>
  <si>
    <t>1. יש לוודא כי מסמכים נשמרים אך ורק במערך האחסון הארגוני, ולא ביעדי הגנה שלמשתמש יש אליהם גישה ישירה. בכלל זה, יש לוודא כי הארגון נקט פעולות מקובלות לשם צמצום החשיפה של מידע אישי ביעדי ההגנה שברשותו. דוגמה ליישום: לא יתאפשר להעתיק מידע אישי לעמדת עבודה, וזאת באמצעות אכיפה מדיניות מרכזית.
2. בעת עבודה עם DaaS/VDI/TS רצוי כי ברשות המשתמש יהיה מחשב רזה (Thin Client) מוקשח, המנוהל על ידי מערכת ניהול מרכזית, ולא מחשב רגיל.
3. יש לבצע מחיקה יזומה של מידע מיעד ההגנה בכל Log off של המשתמש, וכן באופן תקופתי.
4. השימוש ב-TS אינו מספק רמת בידול מספקת בין משתמשים, ולפיכך יש להעדיף את השימוש ב-VDI\DaaS.
5. ניתן לממש הגנה על מידע במשאבים משותפים באמצעות פתרונות הגנה על מסמכים (Document Security).  
6. לשם צמצום הסיכון בעת דלף מידע מחוץ לארגון יש לעשות שימוש ב-DRM.
7. להלן רשימה חלקית של אבני בניין לחוקים ארגוניים:
זהות השולח, תפקיד השולח, המחלקה שבה עובד השולח, האגף שבו עובד השולח, הארגון שבו עובד השולח, זהות המקבל, תפקיד המקבל, המחלקה שבה עובד המקבל, האגף שבו עובד המקבל, הארגון שבו עובד המקבל, סיווג המידע, מספר פריטי המידע, זמן ותאריך ביצוע הפעולה, תדירות ביצוע הפעולה (שעה, יום, שבוע, חודש, שלושה חודשים), הדפסת המידע, העברה של המידע לגורם אחר, העתקה של המידע לאפליקציה אחרת, העתקה של המידע למסמך חדש, קריאת המידע, עדכון המידע, עריכת המידע, מחיקת המידע, יצירת המידע.
8. במקרה של ניסיון להעברה של מידע בניגוד לנוהלי העבודה, יש להבטיח כי יתקיים התהליך הבא באופן ממוכן (Workflow Management):
א. המידע יועבר ל"סביבת הסגר" (Quarantine).
ב. מנהל ההגנה בסייבר ומנהלו הישיר של העובד יקבלו התרעה.
ג. העברת המידע ליעד תתאפשר רק לאחר קבלת אישור משלושה גורמים - מנהל הגנת המידע והסייבר, מנהלו הישיר של העובד ומנהלו של המנהל.
9. להלן דוגמהות לדרישות עבודה בעת ניוד מצע אחסון מידע עם סיווג שאינו ביטחוני:
א. הצפנה מידע.
ב. ליווי פיזי/משלוח מאובטח.
ג. אחסון פיזי בכספת בעת השינוע.
10. להלן דוגמהות לדרישות עבודה בעת ניוד מידע דיגיטלי:
א. העברת מידע בדוא"ל העושה שימוש בשתי שכבות הצפנה בלתי תלויות, כאשר המידע חתום דיגיטלית על ידי הארגון.
ב. העברת המידע בכספות תוך שימוש בשתי שכבות הצפנה בלתי תלויות.
11. להלן דוגמהות לדרישות עבודה בעת ניוד רשומות פיזיות בעלות סיווג שאינו ביטחוני: 
א. וידוא כי המסמך מכיל תיוג לרמת הסיווג שלו.
ב. וידוא כי המסמך מכיל את פרטי הנמען תוך ציון תניית פטור (Disclaimer).
ג. וידוא כי המסמך מכיל את פרטי השולח.
ד. שימוש במעטפה שאינה שקופה.
ה. שימוש במעטפה שפתיחתה באמצעים מקובלים (דוגמת אדים) תתגלה לעין.
ו. קיפול המסמך כלפי פנים כך שתוכנו לא יוצג כלפי חוץ.
ז. ליווי פיזי/משלוח מאובטח.
ח. העברת התרעה לנמען באמצעות ערוץ חלופי (OOB) כי מכתב נשלח אליו מטעם הארגון.
12. יש לוודא כי גישה ליעדי הגנה ויישומים רגישים מתבצעת אך ורק דרך שרת מתווך (Jump Box).
13. ארגונים המעוניינים לבצע מעקב אחר שימוש במסמכים מחוץ לחצרות הארגון יכולים להשתמש ב-Distributed Ledger Technology (DLT).
14. להלן סקירה של שיטות ניטור מקובלות של DLP:
זיהוי על בסיס מילות מפתח
זיהוי על בסיס מילות מפתח שהוגדרו מראש
מילים בודדות
רצף מילים
מילות מפתח (סודי, שכר, כ.אשראי וכו')
זיהוי על בסיס חתימות
השוואה בין תוכן הזורם מחוץ לארגון לתוכן שנמצא במאגר המידע של המערכת והוגדר מראש כ"רגיש/חסוי". 
שימוש בחתימות סטטיסטיות לזיהוי מסמך זהה או דומה למסמך שהוגדר מראש כרגיש
זיהוי על פי מיקום שהוגדר כרגיש בספריות ברשת
זיהוי על פי הקשר רעיוני (Context)
15. ניתן לחלק את מוצרי ה-DLP לשלוש משפחות עיקריות:
א.  Based Host - זיהוי תוכן ומניעת דלף מתחנות קצה. שימוש ב-Agent המותקן ביחידת הקצה ומנטר ערוצים שדרכם המידע יכול להיות מועבר: Disk, Printers, DOK, Email, IM, CD , Copy .Paste
ב. Network - זיהוי ומניעת דלף של תוכן העובר ברשת  באמצעות ניתוח פרוטוקולי תקשורת בערוץ היוצא מהארגון, כגון דוא"ל, גלישה, FTP ותקשורת של תוכנות מסרים מידיים.
ג. Application - זיהוי ומניעת דלף של תוכן באפליקציה, דוגמת שרת CRM\ERP.
ד. פתרונת להגנה מפני דלף אדום/שחור.
16. יש לוודא כי ברשות הארגון נוהלי עבודה עדכניים לטובת קבלה/הוצאה של מידע לגורמי צד שלישי (דוגמת לקוחות, ספקי משנה, רגולטורים), וזאת תוך התאמה לדרישות החוק, רגולציה, דרישות חוזיות וצרכים עסקיים.
17. יש לוודא כי הארגון תייג את המדיה בהתאם לרמת סיווג המידע המוכל בה, וכן ציין את אופן הטיפול במדיה בהתייחס להיבטי אבטחת מידע שלה והגבלת ההפצה שלה.</t>
  </si>
  <si>
    <t>1. יש למפות את שיטת השמדת המידע בהתאם ל-DIN 66399 (תקן ISO/IEC 21964).
2. יש להגדיר מהו ערך ה-DIN בכל רמת סיווג ולבצע פעולות בהתאם לרמה. לדוגמה:
א. DIN Standard 66399 – Film
ב. DIN Standard 66399 – Optical Media
ג. DIN Standard 66399 – Magnetic Media
ד. DIN Standard 66399 – Hard Drives
ה. DIN Standard 66399 – Electronic Data
ו. DIN Standard 66399 – Paper
3. ערך ה-DIN לפי סיווג המסמך:
א. מידע רגיש -  DIN 3 לפחות.
ב. מידע חסוי - DIN 4 לפחות.
4. יש לוודא כי הארגון הגדיר מדיניות רשמית בנושא אורך החיים לשמירה עלהמידע (Data Retention).
5. יש לוודא כי הארגון הגדיר מדיניות רשמית לנושא  אורך החיים למחיקת מידע (Data Purging).
6. בהשמדת מידע השמור בדיסק קשיח מסוג SSD יש להשתמש בדרגת DIN מחמירה יותר מהנ"ל. לדוגמה: במחיקת מידע חסוי יש לעשות שימוש ב-DIN 5 ומעלה.
7. במחיקת מידע בענן יש להצפין את המידע בצד הארגון (לא במערך ספק הענן הציבורי), ולאחר מכן למחוק אותו באמצעות השיטה המומלצת על ידי ספק הענן - ובנוסף למחוק את מפתחות ההצפנה בצד הארגון (Crypto Shredding).
8. יש לוודא כי המשתמשים גורסים את הרשומות הפיזיות בסוף יום העבודה. לחלופין, יש לוודא כי בסוף יום העבודה המשתמשים מעבירים את הרשומות ל"ארונות גריסה" נעולים ממתכת, המקובעים לקיר הבניין ומצוידים במנעול עם מפתח ייחודי. 
9. יש לוודא כי מידע רגיש/חסוי מהתקנים חיצוניים/ניידים/כרטיסי זיכרון, דוגמת כרטיסי זיכרון של מצלמות ו-DOK, מושמד בהתאם למדיניות הארגון.
10. יש לתת את הדעת כי שכיח לראות כי ליעדי הגנה ישנו כרטיס אחסון מובנה.
11. יש לוודא כי הארגון תייג את המדיה בהתאם לרמת סיווג המידע המוכל בה, וכן ציין את אופן הטיפול במדיה בהתייחס להיבטי אבטחת מידע שלה והגבלת ההפצה שלה.</t>
  </si>
  <si>
    <t>1. יש לתת את הדעת על כך שהחקיקה והרגולציה הישראלית כוללת התייחסות לנושא אבטחת שרשרת האספקה, וכי על הארגון לעמוד בדרישות הרלוונטיות.
2. יש להתגונן מפני איומים על המערכת מצד שרשרת האספקה כחלק מאסטרטגיית "הגנה לרוחב" (Defense in Breadth).
בכלל זה, הארגון ימפה ויזהה את האיומים והסיכונים הנובעים משימוש במערכת / שירות של הספק, על האספקטים הטכנולוגיים והתהליכיים שלהם, ויגלם את הסיכונים בתהליך ניהול הסיכונים והאיומים הארגוני.
מומלץ להבחין בין סוגים שונים של ספקים, כגון מעבד/מחזיק מידע, ספק תמיכה/פיתוח, או ספק שירותים בענן.
לצורך המיפוי ניתן להיעזר גם באיסוף מידע מודיעין סייבר אודות הספק כמטרה, ולהשתמש במידע זה במכלול השיקולים בעת קבלת ההחלטות לגבי ניהול הסיכון. כמו כן, יש להתחשב במנגנונים ובבקרות הקיימים בחצרות הספק ובתהליכיו, ולבחון את השפעתם על התהליך העסקי (או התליכים העסקיים) שהמערכת / השירות שהוא מציע תומכים בהם (לדוגמה: בקרות אוטומציה והקמת שרתים וירטואליים בפלטפורמת ספק בענן עלולים להשפיע על הארגון עצמו אם הסביבות לא מוקשחות ו/או ספק שירותי הענן אינו מאובטח / נמצא במדינה עוינת).
3. יש לוודא כי הארגון מונע חשיפת/הופעת מידע אודות מערך ההגנה שלו במכרזים פומביים (RFI/RFP וכו') ופרסומים רשמיים ולא רשמיים של הארגון.
4. מומלץ לעיין בהרחבה מקצועית ייעודית לניהול סיכוני סייבר משרשרת האספקה ולהסתייע במערכת יוב"ל לניהול הדרישות מהספקים. ראו פרטים בנושא באתר המערך.
5. יש לוודא כי היועץ המשפטי של הארגון משולב בתהליכים השונים מול הגורמים השונים בשרשרת האספקה.
6. יש לוודא כי הארגון אינו מתקשר עם ספקים ששולטות בהם מדינות עוינות/מדינות מיוחדות.
7. יש לוודא כי עובדי הספק, בדגש על גורמים בעלי גישה לקוד המקור ותוכן פרויקט, הם בעלי רמת מהימנות ההולמת את רמת הסיכון.
8. במידה שהארגון יצר קשר עם ספק שירות לשם פיתוח מוצר עבור הארגון עצמו, יש לוודא כי הוא הבעלים היחיד של זכויות הקניין המלאות.
9. יש לוודא כי בהסכם ההתקשרות עם הספק מוגדר SLA לסגירת פערים אבטחתיים, דוגמת חולשות שהתגלו במוצר או במוצר צד ג' שבו הוא עושה שימוש. ההסכם צריך להסדיר גם את נושא כיסוי העלויות הנלוות.
10. יש לוודא כי המוצר/השירות אשר מסופק לארגון אינו עושה שימוש במוצרים/רכיבי תוכנה/חומרה שמחזור החיים/המכירה שלהם יסתיים בעתיד הקרוב או שכבר הסתיים.
11. יש לוודא כי הספקים עומדים בדרישות מתודת שרשרת האספקה של מערך הסייבר הלאומי.
12. יש לוודא כי ברשות הארגון הצהרה של הספק כי הוא מודע לכך שאי עמידֿה בדרישות הגנת המידע והסייבר של הארגון מהווה הפרת יסודית של הסכם ההתקשרות.
13. סקר ספק יכלול, לדוגמה: בשלות הספק, מספר הטמעות מוצלחות / לקוחות, יציבות הספק, יכולת עמידה ביעדי שירות, מערך ניהול האבט"מ/ממשל תאגידי, וההמשכיות העסקית של הספק.
14. יש לוודא כי הארגון הטמיע מנגנוני הגנה ייעודיים למקרים שבהם יש חיבור לרשת הספק, כדי למזער נזק המגיע מתשתיות הספק. מנגנוני הגנה לדוגמה: הפרדת סביבות, הפרדת ממשקים, סניטציה של הפלט המגיע מיעדי ההגנה של הספק, והפרדת התקשורת באמצעות שרת מתווך (Proxy).
15. כאשר עובד של גורם חיצוני מספק לארגון שירות במישרין, יש לעגן משפטית דרישה מאותו גורם לדווח לארגון באופן מיידי במקרה של עזיבה/פיטורי אותו עובד.
16. יש לוודא כי ברשות הארגון נהלי עבודה המספקים מענה אבטחתי הולם לטובת קבלת תמיכה/שירות מרחוק ע"י ספקים/גורמי שירות חיצוניים.
17. יש לוודא כי הארגון אימץ ויישם את מתודת שרשרת האספקה העדכנית של מערך הסייבר הלאומי.</t>
  </si>
  <si>
    <t>1. יש לפנות לבקרת "תוכנית פנים ארגונית לטיפול בתהליכי רכש ואבטחת שרשרת האספקה".
2. יש לפנות לבקרת "פיתוח מאובטח (SSDLC)".
3. יש לפנות לבקרת "אבטחת קוד פתוח (Open Source)".
4. יש לוודא כי הוגדרו מדדים לבחינת רמת האבטחה של הפרויקט.
5. יש לוודא כי הארגון הקצה ארכיטקט הגנה בסייבר אשר ילווה את הפרויקט.
6. יש לתת את הדעת על כך שפרויקט פיתוח אינו מסתיים בשלב מסירת המוצר/השירות: במחזור החיים עשויים להיות שינויים, דוגמת הוספה של פונקציונלית עסקית חדשה, תיקון תקלות והחלת עדכוני אבטחה (פאצ'ים).
7. יש לוודא כי קיים בארגון נוהל פיתוח ורכש מערכות.
8. יש לוודא כי הארגון אימץ ויישם את מתודת שרשרת האספקה העדכנית של מערך הסייבר הלאומי.</t>
  </si>
  <si>
    <t>1. מטרת הבקרה היא להגדיר את גישת הארגון לגבי נושאים כגון נעילת המשרד בסוף יום העבודה, מצלמות אבטחה, כניסת אורחים ועובדים חיצוניים למתחמי החברה ולאזורים רגישים, הגנה נאותה על חדרי השרתים וחדרי הבקרה וכו'.
2. יש לוודא את יישומה של בקרה זו בשיתוף היועץ המשפטי של הארגון, תוך התייחסות לנושאים רלוונטיים, כמו מיקומי מצלמות בקרה ומהימנות עובדים.
3. יש לתת את הדעת על כך שתוקף עלול ליצור אירוע סביבתי כמיסוך לפעילות זדונית במרחב הסייבר.
4. יש לוודא כי ברשות הארגון נוהלי עבודה עדכניים, הכוללים התייחסות לנושאים שכיחים, דוגמת:
א. מניעת גישה פיזית.
ב. סיווג מתחמים בהתאם לרמת רגישות/קריטריונים.
ג. גישה למתחמים רגישים/קריטיים (דוגמת חדר שרתים וחדר תקשורת).
ד. קבלת אורחים במתחם הארגון, לרבות ליווי מבקרים במתחמי העבודה.
ה. מניעת אחסון מידע רגיש/חסוי בכלי רכב ללא השגחה.
ו. תדרוך עובדים בעת קבלה לעבודה, באופן תקופתי, ובעת סיום העבודה.
ז. הצמדה (ברמה השמית) של יעד הגנה למשתמש, ווידוא כי המשתמש מחזיר את הציוד בסיום העסקתו.
ח. תדרוך אבטחה לעובד לפני טיסה לחו"ל (עשה/אל תעשה).
ט. תדרוך אבטחה לעובד בעת עבודה עם גורמי חוץ (דוגמת ספקים או גורמי תקשורת).
י. איסור אחזקה של אמצעים מסוכנים ללא היתר ספציפי.
יא. מיפוי תקופתי של מצאי החומרה, לשם איתור מקרים של גניבה/היעלמות/חוסרים.
יב. בדיקת מהימנות למשתמשי פנים וחוץ.
יג. בדיקת מהימנות לספקים.
יד. התמודדות עם ריגול עסקי ומודיעין זר.
טו. התמודדות עם הפרות סדר.
טז. הכנסה/הוצאה של דואר וכבודה.
יז. התמודדות עם אירועים סביבתיים (דוגמת שריפה, אסון טבע או חדירת מים למתחם).
5. יש לוודא כי יעדי הגנה הכוללים נורות (דוגמת סורק) אינם ממוקמים בסמוך לחלונות מתחם העבודה.
6. יש לוודא כי ברשות הארגון אישור ממונה בטיחות לבקרות הגנה פיזית.
7. להלן דגשים להתמודדות עם ציתות/האזנה:
א. יש לבצע בדיקות תקופתיות במתחמי העבודה לגילוי וזיהוי מכשירי האזנה.
ב. יש לתדרך את העובדים שלא לשוחח על נושאים רגישים/חסויים בנוכחות בלתי מורשים.
ג. יש לתדרך את העובדים שלא לשוחח על נושאים רגישים/חסויים בסמיכות לחלונות/מרפסות או במקום אחר שממנו ניתן לפענח את תוכן השיחה באמצעות קריאת שפתיים.
8. להלן דגשים בנושא אבטחת כבילה:
א. יש לאחסן את כבלי תקשורת הנתונים והחשמל בתעלות מוגנות, אשר פתיחתן/פגיעה בשלמותן המבנית גוררת שליחת התרעה למרכז האבטחה (Tamper-Resistance &amp; Tamper-Evident).
ב. יש לוודא כי התעבורה בין קומות הבניין מוצפנת. ניתן ליישם זאת באמצעות פרוטוקול MACsec או בדרך אחרת.
9. להלן דגשים לאבטחת תהליך הכניסה/יציאה של עובדים וספקים למתחם העבודה: 
א. יש לוודא כי נעשה שימוש בשער ממוכן המאפשר מעבר של אדם אחד, וזאת לאחר השלמת תהליך אימות טכנולוגי מוצלח (דוגמת תג עובד) ובנוכחות מאבטח מוסמך.
ב. יש להעדיף שימוש בתא סינון ("ספארי" / Mantrap) בשערי הכניסה לארגון, הכולל יכולות טכנולוגיות לוודא שהאדם אינו נושא על עצמו ו/או בכבודה חומר אסור/מסוכן/כלי נשק.
ג. יש לוודא כי דלת היציאה אינה פתוחה בשגרה, וכי פתיחתה מחייבת לחיצה פיזית על כפתור.
ד. יש להעדיף שימוש בשתי דלתות כניסה/יציאה בלתי-תלויות.
ה. יש לוודא כי שערי כניסה/יציאה שאינם פעילים נסגרים פיזית ולוגית (לדוגמה: בשישי, שבת ולילות).
ו. יש לוודא פתחי הכניסה/יציאה מכוסים 24/7 על ידי מערכת מצלמות במעגל סגור.
ז. יש לוודא כי לא ניתן לפתוח את דלתות המתחם באמצעות מערך הטלפוניה.
ח. יש לבצע בדיקות תקופתיות כדי לוודא שגורם לא מורשה אינו נמצא במתחם העבודה.
10. להלן דגשים לאבטחת תהליך כניסת כלי רכב למתחם העבודה: 
א. יש לוודא כי מבוצעות בדיקות מבוססות אדם וטכנולוגיה כדי להבטיח שכלי הרכב הנכנסים לארגון אינם מכילים חומרים אסורים/מסוכנים/כלי נשק (דוגמת שיקוף רנטגן, ניטור לזיהוי חומר נפץ).
ב. יש לוודא כי עמדת הבידוק בשער הכניסה ממוגנת בעמודי נגיפה, כדי למנוע חדירה של כלי רכב לא מורשה למתחם.
ג. במתחמים שבהם נדרשת רמת אבטחה גבוהה יש לוודא כי בשער הכניסה קיימות שתי עמדות בידוק, שכל אחת מהן ממוגנת בעמודי נגיפה. 
ד. יש לוודא כי חניית כלי הרכב אינה סמוכה למתחם העבודה, כך שבמקרה של אירוע ביטחוני ייגרם נזק קטן ככל האפשר.
ה. יש לוודא כי שערי כניסה/יציאה שאינם פעילים נסגרים פיזית ולוגית (לדוגמה: בשישי, שבת ולילות).
ו. יש לוודא כי פתחי הכניסה/יציאה מכוסים 24/7 על ידי מערכת של מצלמות במעגל סגור.
ז. יש לבצע בדיקות תקופתיות כדי לוודא שכלי רכב לא מורשה אינו נמצא במתחם העבודה.
11. להלן דגשים לעבודה עם מערכת מצלמות במעגל סגור (CCTV):
א. יש לוודא כי מערכת המצלמות במעגל סגור מחוברת לרשת פיזית/לוגית ייעודית.
ב. יש לוודא כי הוחלו בקרות הגנה מתאימות למתאר הסיכון.
ג. יש להימנע ממצב שבו מערכת מצלמות במעגל סגור נגישה ישירות לאינטרנט (Ingress/Egress).
ד. יש לוודא כי איכות הצילום מאפשרת גילוי וזיהוי פנים של אדם באופן חד-ערכי.
ה. יש לוודא כי מערכת המצלמות במעגל סגור משתמשת בתשתית תקשורת קווית.
ו. יש לוודא כי מצלמות האבטחה ממוקמות כך שיש חפיפה בין שדות הצפייה, כדי שלא ייווצר "שטח מת".
ז. יש לוודא כי מצלמות האבטחה תומכות בעבודה בתנאים קשים (לילה, ערפל וכו').
ח. יש לוודא כי מצלמות האבטחה אינן מאפשרות ניצול לרעה של ערוץ סמוי (Covert Channel) לשם הזלגה של מידע/חדירה לארגון.
ט. יש לדאוג לבקרה מפצה למקרה של שיבוש בפעילות מערכת המצלמות במעגל סגור.
י. יש לוודא שילוב יכולת אנליטיקה לשם גילוי וזיהוי מצבים שבהם תוקף:
• מציג למצלמה סרטון שצולם קודם לכן, במטרה להסתיר את הנעשה בפועל.
• משיג גישה למערכת המצלמות במעגל סגור, ומזריק תוכן שמטרתו להסתיר את הנעשה בפועל.
• משתמש ב- Deepfakes.
יא. יש לוודא כי קיימת פונקציונליות מתאימה לתמיכה בתנאי הסביבה.
להלן מספר דוגמהות:
• Wide Dynamic Range (WDR)
• Infrared Illuminator
• Passive Infrared
יב. יש לוודא כי קיימות הגנות פיזיות וסביבתיות מתאימות למצלמות האבטחה.
יג. יש לוודא כי מצלמות האבטחה אינן מאחסנות בשגרה מידע באופן מקומי.
12. להלן דגשים בעת עבודה עם מערך כיבוי האש:
א. יש לפנות לבקרת "אבטחת התקני IoT".
ב. יש להעדיף פתרונות שאינם גורמים נזק לחיי אדם ולציוד.
ג. יש לוודא כי התקבלו המלצות מתאימות מיועץ בטיחות אש להיתרים ורישוי.
13. יש להתקין חיישנים העושים שימוש בטכנולוגיות בלתי תלויות לגילוי וזיהוי אסונות סביבתיים, דוגמת שריפה והצפה.
14. יש לוודא כי הארגון מאבטח ממשקים וכבילה של תקשורת נתונים, בדגש על אלו העוברים במתחמים ציבוריים (דוגמת בין קומות בבניין). דוגמה ליישום: אחסון כבילה בצינורות מתכת, כאשר פתיחה של צינור גוררת הפעלת אזעקה ושליחת התרעה.
15. יש לכתוב וליישם נהלים אשר יסייעו בהטמעת מדיניות הגנה פיזית וסביבתית והבקרות הרלוונטיות.16. יש לשמור לוגים של גישה פיזית למתקן לתקופה של חצי שנה לפחות, ובכפוף לדרישות חקיקה, רגולציה, דרישות חוזיות וצרכים עסקיים.17. יש לבקר, לתעד לאבטח ולאכוף בקרת גישה פיזית לאזור ריכוזי תקשורת / מחשוב (חדרי שרתים / ארונות תקשורת).
18. יש לנטר את הגישה הפיזית למתקן בו נמצא הנכס על מנת לגלות ולהגיב לאירועי אבטחה, ולסקור את הלוגים על בסיס תקופתי.
19. יש לנטר ולהתריע על כל גישה פיזית לנכס שלא בשעות העבודה המקובלות או בימים שאינם ימי עבודה.
20. יש להגדיר ולקיים מערך תגובה עבור גישות שאינן מורשות למתקן הארגון בעת זיהוי.
21. יש לשמור על ציוד החשמל וכבלי החשמל של המערכת מפני נזק .
22. על הארגון להיות בעל יכולת לספק חשמל לטווח קצר באופן שאינו ניתן לשיבוש על מנת לאפשר כיבוי מסודר של המערכת או העברתה לספק כח חלופי.
23. על הארגון להיות בעל יכולת לספק חשמל למשך זמן ממושך באופן שאינו ניתן לשיבוש על מנת לאפשר המשך פעילות עסקית סדירה.
24. יש ליישם ולתחזק תאורת חירום אוטומטית אשר תופעל באירוע של הפסקת או שיבוש חשמל, ותכלול יציאות חירום ונתיבי פינוי במתקן.
25. יש ליישם ולתחזק אמצעים/מערכות לזיהוי וכיבוי אש עבור מערכת המידע אשר נתמכות במקור אנרגיה עצמאי.
26. יש לשמור ולנטר רמות טמפרטורה ולחות מקובלות במתקן בו נמצא הנכס.27. יש להגן על הנכס מפני נזק כתוצאה מדליפת מים באמצעות האופציה ל-master shutoff או שסתומי בידוד.
28. יש לאשר, לנטר ולשלוט ברכיבי מערכת אשר מוכנסים ומוצאים מהמתקן.</t>
  </si>
  <si>
    <t>1. ארגונים רבים אינם מודעים לנושא ההתמודדות עם האיום הפנימי (Insider Threat) או שאינם מייחסים לו את החשיבות המתאימה. לאור זאת ראוי לציין כי האיום קיים בחלק ניכר מהארגונים ובקרב בעלי דרגות שונות, ומומלץ להתייחס אליו בהתאם. נזק שגורם מסוג זה יכול להסב לארגון עלול לעלות עשרות מונים מנזק שמקורו בתקיפת נוזקה, ולא פעם ארגונים איבדו את כושר התחרות עקב חשיפת סודות מסחריים למתחרים וגורמים אחרים.
2 דגשים בנושא ניוד עובדים/משתמשים:
א בעת ניוד עובדים/משתמשים יש לבצע הסרה מלאה של ההרשאות הישנות, ורק לאחר מכן להגדיר את ההרשאות הנדרשות לתפקיד החדש - וזאת כדי שלא יישארו הרשאות עודפות מהתפקיד הקודם. עם זאת, ארגונים רבים מתקשים למפות את ההרשאות שניתנו למשתמשים, ולפיכך אינם מסוגלים להבטיח הסרה מלאה של הרשאות קיימות. לכן, ייתכן כי עדיף לבצע מחיקה מלאה של חשבון המשתמש מכל יעדי ההגנה ולאחר מכן להגדירו מחדש.
ב יש לתת את הדעת על כך שמעבר תפקיד עשוי לחייב ביצוע בדיקות מהימנות חוזרות/נוספות.
ג לשם בדיקה פרואקטיבית של התנהגות המשתמש בארגון ומחוצה לו ניתן להשתמש ב-WEBINT (או בשיטה אחרת). לפני ביצוע של בדיקה שכזו יש לקבל אישור מהיועץ המשפטי.
3 יש לוודא כי חשבונות עם גישה נרחבת/הרשאות גבוהות זוכים לבקרה רציפה ומתמשכת ברמה הפרטנית, לרבות התייחסות למצבים שבהם גורם לא מורשה השיג חזקה על חשבונות אלו.
4 יש לוודא כי בדיקות הרקע מסתיימות לפני החתימה על חוזה ההתקשרות עם המועמד/העובד.
5 יש לוודא כי קיים תהליך מחזורי של הדרכות בנושא הגנת מידע וסייבר, בהתאם לקהלי היעד השונים. בכלל זה, יש לוודא כי תהליכי ההדרכה מסתמכים על פילוח פנימי של קבוצות עובדים לפי רמת ידע קיימת, רמת ידע נדרשת ודרישות הגנת מידע וסייבר מכל פלח.
6 יש לבצע הסרת הרשאות וחסימת גישה לחשבון משתמש לפני פיטורים/שימוע. עם זאת, יש לקבל את אישור היועץ המשפטי של הארגון לפני ביצוע השינויים בפועל.
7. יש לזכור כי משתמשים בעלי סמכות או יכולת פרסום רשמית ברשתות חברתיות ואתרים שונים נחשבים ל"משתמשים חזקים", מאחר שאם יפרסמו תוכן לא ראוי תדמית הארגון עלולה להיפגע באופן מהותי.
8. יש מקרים שבהם הארגון יידרש לבצע התאמה בין רמת המהימנות הנדרשת עבור פרופיל העיסוק לבין עומק היישום שיידרש מהעובד. לדוגמה: ייתכן שהארגון יידרש להחיל על בעל תפקיד רגיש דרישות מרמות עומק יישום מתקדמות, בעוד שעל מרבית העובדים יוחלו דרישות מעומק יישום נמוך יותר.
9. במקרה שהארגון מספק שירותים לגורמי חוץ יש לבחון בחיוב עדכון מידי שלהם במקרה של שינוי במצב ההעסקה (דוגמת עזיבה, פיטורים וכד') של עובד אשר סיפק להם שירות במישרין.
10. יש לוודא כי הנהלת הארגון פרסמה קוד אתי לעובדים, כי מתבצעות פעולות המבטיחות את המוּדעוּת אליו, וכי הציות אליו נאכף.
11. יש לוודא כי ברשות הארגון נוהל עבודה הכולל את תנאי השימוש ביעדי ההגנה. להלן דוגמה לנושאים שעל הנוהל לכסות:
א. הכנסת אורחים.
ב. שימוש ביעדי ההגנה.
ג. איסור הכנסת תוכנות/ציוד תקשוב אישי.
ד. גלישה באינטרנט בהתאם למדיניות הארגונית.
ה. איסור על שימוש ביעדי ההגנה לצרכים אישיים.
ו. הפרדה בין מידע אישי למידע הקשור לעבודה.
ז. הכשרות מקצועיות ומודעות.
ח. שימוש בדוא"ל למטרות עסקיות בלבד.
ט. חובת דיווח במקרה של אירוע או חשד לאירוע הגנת מידע וסייבר.
י. איסור על ביצוע שינויים לא מאושרים ביעדי ההגנה.
יא. חובה אישית לנקיטת צעדי הגנת מידע וסייבר מקובלים.
יב. חובה לשמור על חיסיון המידע.
יג. שימוש ברשתות חברתיות.
יד. פרסום מידע בשם הארגון באמצעי התקשורת.
טו. ממשקים ליצירת קשר במקרה של תקלות/שאלות.
12. יש להעריך את רמת רגישות התפקידים השונים בארגון ולגבש קריטריונים מתאימים לתהליכי מיון בקבלת עובדים.
13. יש להגדיר כללי התנהגות בעבודה מול מערכות המידע בארגון, כללים אלו מגדירים את תחומי האחריות וכללי השימוש הנאות במערכות המידע בארגון ובדגש על מערכות רגישות.
14. יש להגדיר נהלים והגבלות המתייחסים לשימוש ברשתות החברתיות.
15. יש להגדיר וליישם תהליך הטלת סנקציות על עובדים שלא צייתו לנהלי אבטחת מידע.
יש לבטל הרשאות גישה ולחסום חשבונות משתמש בעת סיום העסקה</t>
  </si>
  <si>
    <t>13.12</t>
  </si>
  <si>
    <t>הגנה על נכסים הדיגיטליים ברשת האינטרנט</t>
  </si>
  <si>
    <t>הארגון נקט צעדים לאבטחת הנכסים הדיגיטליים ברשת האינטרנט (Digital Brand Protection)</t>
  </si>
  <si>
    <t>1. ודאו כי ברשות הארגון מיפוי עדכני, ומהשנה האחרונה לכל היותר, של הנכסים הדיגיטליים אשר ברשותו, תוך הגדרה ברורה של גורם עסקי האחראי לנושא הסיכונים והקצאת משאבים להגנה.
2. ודאו כי ברשות הארגון מיפוי עדכני, ומהשנה האחרונה לכל היותר, של הנתיבים בין הנכסים הדיגיטליים לרשת הארגונית, וכי הארגון נקט בהתאם בפעולות הגנה מקובלות.
3. ודאו כי ברשותו של הארגון מיפוי של תרחישי תקיפה רלוונטיים.
4. ודאו כי הארגון הגדיר מדדים לגילוי, זיהוי וסיכול חריגות בהתאם לעומק היישום הרלוונטי.
5. ודאו באופן מדגמי כי הארגון מסוגל לגלות, לזהות ולסכל חריגות בהתאם לממדים אשר הוגדרו.
6. ודאו כי קיים לארגון נוהל תגובה עדכני אשר אושר ע"י ההנהלה בשנה האחרונה והכולל מקרים/תגובות רלוונטיים.
7. ודאו כי ברשות הארגון רשימת קשר של גורמים רלוונטיים אליהם יפנה לסיוע וטיפול במקרה של גילוי התחזות כאמור ותיקף אותה לפחות פעם בשנה.</t>
  </si>
  <si>
    <t>1. הארגון וידא כי ברשותו מיפוי עדכני, ומהשנה האחרונה לכל היותר, של הנכסים הדיגיטליים אשר ברשותו, תוך הגדרה ברורה של גורם עסקי האחראי לנושא הסיכונים והקצאת משאבים להגנה. על המיפוי לכלול בין השאר הכרה של כלל הכתובות של השירותים (IPv4, IPv6), מתמחים (Domain Names), אתרי אינטרנט, פרופילים ועמודים ברשתות חברתיות, אפליקציות של הארגון אשר מפורסמות בספקי שירותים צד-שלישי (דוגמת Marketplace) וגם הפניות לצדדים שלישים כמו פרסומות או שותפים עסקיים שמשורשרים לעסק.
2. הארגון וידא כי ברשותו מיפוי עדכני, ומהשנה האחרונה לכל היותר, של הנתיבים בין הנכסים הדיגיטליים לרשת הארגונית, ונקט בהתאם בפעולות הגנה מקובלות.
3. הארגון וידא כי משתמשי הארגון אינם מפרסמים באופן לא מורשה מידע בשם הארגון.
4. הארגון וידא כי הוא הגביל את מספר הפעילויות (Sessions) האפשרויות לגישה בזמן נתון ממקור לנכסים הדיגיטליים.
5. הארגון וידא כי ברשותו רשימת קשר של גורמים רלוונטיים אליהם יפנה לסיוע וטיפול במקרה של גילוי התחזות או פעולה זדונית אחרת כאמור, ויתקף אותה לפחות פעם בשנה.</t>
  </si>
  <si>
    <t>9. הארגון וידא כי הוא מסוגל לגלות, לזהות ולסכל העתקה לא מורשית של מידע קנייני  (IP) מהנכסים הדיגיטליים שלו. דוגמה ליישום: העתקת תמונה לאתר לא מורשה תזוהה ע"י שירות גילוי וזיהוי, והארגון ינקוט בצעדים להסרת התכנים הרלוונטיים.
10. הארגון וידא כי לא יהיה ניתן לנצל לרעה שירותי פרסום וקידום שבהם הארגון עושה שימוש (דוגמת Pay-Per-Click ads). דוגמה ליישום: גישה למודעות קידום אתר האינטרנט של הארגון לא תתאפשר ע"י Bots (סיכול תקיפת Click Fraud).
11. הארגון וידא כי מסוגל לגלות, לזהות ולסכל שימוש לרעה בשמות פרופילים/חשבונות של משתמשי הארגון (דוגמת C-level impersonation, phishing accounts, Account Takeover).</t>
  </si>
  <si>
    <t>12. הארגון וידא כי מסוגל לגלות, לזהות ולסכל שימוש לרעה בשם המסחרי או מידע קנייני או זכויות יוצרים (Copyright, trademark, and IP Infringement) לשם הפצת נוזקות. דוגמה ליישום: גילוי, זיהוי והסרה של אתרים או עמודי רשת חברתית העושים שימוש בשם המסחרי של הארגון, לרבות שימוש בשם מתחם דומה (Domainlike).</t>
  </si>
  <si>
    <t>הארגון אבטח את המדיות החברתיות (הרשתות החברתיות) שבהן הוא עושה שימוש
(הרחבה לבקרה הגנה על נכסים הדיגיטליים ברשת האינטרנט)</t>
  </si>
  <si>
    <t>1. יש לפנות לבקרה "הגנה על נכסים הדיגיטליים ברשת האינטרנט".
2. יש לתת את הדעת על כך שמשתמשים שאינם מורשים לכך עלולים לבצע פרסומים בשם הארגון.
3. יש לזכור כי בשעת משבר/אירוע סייבר המדיה החברתית עשויה לשמש כלי להעברת מסרים ללקוחות.
4. חלק מהמדיות החברתיות מציעות שיטות לחיזוק תהליך הרישום, כך שגורם זדוני יתקשה להשתלט על הדף. מומלץ לבחון זאת עם התמיכה של ספק השירות או בפרסומיו.
5. יש לוודא כי פרטי האימות המשמשים להתחברות לרשת החברתית (דוגמת סיסמת המשתמש) אינם נסמכים על מזהים ארגוניים.
5. אם הארגון משתמש ב-API של המדיה החברתית, יש לפנות לבקרת "אבטחת API".</t>
  </si>
  <si>
    <t xml:space="preserve">1. יש לפנות לבקרת "גריטה/גריסה".
2. שימוש בתמונת ראי (Snapshot) / נקודת שחזור (Recovery Point) אינו מהווה בדרך כלל גיבוי העומד בפני עצמו.
3. יש להגדיר את מערכי הגיבוי והאחסון כיעדי ההגנה חסויים וקריטיים.
4. יש לוודא כי ארכיטקטורת מערך האחסון מממשת עקרונות מקובלים להתמודדות עם כשל (Fail-Safe), דוגמת קיומה של יתירות מובנית (Redundancy) - בין אם ברמה מקומית ו/או רשתית (Network Redundancy).
5. יש לוודא כי בוצעה הפרדה בין סביבת האחסון והגיבוי (לרבות ציוד תקשורת נתונים תומך), וזאת בהתאם לרמות האמון הקיימות (Trust Level).
6. יש לוודא כי מערך הבקרה הרציפה והמתמשכת מנטר את מצב האבטחה בסביבת האחסון והגיבוי, לרבות ציוד תקשורת נתונים תומך (דוגמת מתגי FC, FCoE או iSCSI).
7. יש לוודא כי בעת חיבור מדיה נתיקה (דוגמת DOK) היא תהיה מוצפנת כברירת מחדל.
8. יש לוודא כי המידע המגובה מוצפן, וכי ברשות הארגון מספר העתקים של מפתח ההצפנה ששמורים בכספות מבוזרות או באמצעי אחר.
9. יש לוודא כי מדיניות חיבור ההתקנים כוללת התייחסות לדרישות בקרת גישה מקובלות, תוך בחינת זהות יעד ההגנה, זהות המשתמש, זהות ההתקן הנייד, זמן השימוש המותר/אסור, המקום הפיזי שבו ניתן לבצע את הפעולה וכדומה.
10. ניתן לממש אבטחת אחסון מדיה באמצעות תהליכים ארגוניים, כמו שימוש באמצעים פיזיים (דוגמת כספות) והצפנת המידע.
11. ניתן לתייג את המדיה (מכנית, אופטית, דיגיטלית או אחרת) באמצעות כלים כגון מדבקות על קלטות גיבוי, אריזות למשלוח דיסקים קשיחים או דיסקים אופטיים.
12. ארגונים מתקדמים אינם מאפשרים חיבור התקנים חיצוניים לרשתות ארגוניות.
13. במקרה של עבודה עם שירותי SaaS יש לוודא כי גיבויים מועברים לחצרות הארגון באופן תקופתי, וזאת תוך עיגון משפטי של תהליך זה מול הספק.
14. בעת עבודה עם שירותי ענן ציבוריים יש לתת את הדעת על כך שקיימות חבילות שירות שונות לאחסון מידע, דוגמת:
Standard Tier – מיועדת לשימוש כללי, כאשר נדרשת גישה בזמן אמת למידע.
Infrequent Access – מיועדת לשימוש כאשר תדירות הגישה למידע משתנה או בלתי ידועה.
Archive – מיועדת לגיבויים ולאחסון מידע ארכיוני, כאשר זמן האחסון המינימלי הוא 90 יום.
Long term Archive – מיועדת לאחסון מידע ארכיוני לזמן רב, כאשר זמן האחסון המינימלי הוא 180 יום.
15. חלק מפתרונות האחסון מאפשרים שינוי של פורמט אחסון אובייקטים, דבר שבמקרים מסוימים עשוי לשפר את רמת העמידות בפני WIPER, כופרה וכד'.
16. קיימות שלוש תצורות עבודה מקובלות לשמירה על אורך חיי המידע (Data Retention):
א. החלת הגבלה רכה (Soft) - לאחר אכיפה של אורך החיים המינימלי לשמירת המידע, מנהל המערכת יכול לשנות את חלון הזמן שהוגדר.
ב. החלת הגבלה קשיחה (Hard) - לאחר אכיפה של אורך החיים המינימלי לשמירת המידע, מנהל המערכת אינו יכול לשנות את חלון הזמן שהוגדר. חשוב לצורך התמודדות עם כופרה ו-Wiper.
ג. החלת הגבלה קבועה (Permanent) - לאחר כתיבה לא ניתן לשנות/למחוק את המידע. חשוב לצורך התמודדות עם כופרה ו-Wiper.
17. יש לוודא כי ברשות הארגון תהליך לניהול מחזור החיים של מידע ומצעי אחסון, לרבות התייחסות לשימוש חוזר (Reuse) במצעי אחסון.
18. יש לוודא שימוש בהעתקים לקריאה בלבד (Read Only), שאי אפשר לשנות ו/או למחוק אותם במשך תקופה מוגדרת (Data Retention).
19. יש לכתוב וליישם מדיניות הגנה על מדיה מגנטית, נתיקה, אופטית, מכנית ואחרת) לבקר ולעדכן אותה באפן שוטף אחת לתקופה.
20. יש לתייג את המדיה בהתאם לרמת סיווג המידע המוכל בה וכן לציין את אופן הטיפול במדיה בהתייחס להיבטי אבטחת מידע והגבלות ההפצה שלה.
21. יש לאחסן מדיה באופן מאובטח.
22. יש להגדיר וליישם הגבלות שימוש במדיה תוך שימוש באמצעי אבטחה.
23. יש לממש מנגנוני הצפנה להגנה על מדיה דיגיטלית במהלך העברתה מחוץ למתקני הארגון.
</t>
  </si>
  <si>
    <t>1. יש לוודא כי תוכנית ההתאוששות העסקית כוללת התייחסות למצבי קיצון, דוגמת פגיעה במערך הגיבוי, היעדר כוח אדם מקצועי בשעת משבר, תקלות במערך הגיבוי, או צורך לבצע שחזור באתר החלופי (DR) באמצעות ציוד חדש.
2. יש לוודא כי מדיניות הגיבוי עושה שימוש בפרמטרים שנגזרים מתוכנית ההמשכיות העסקית.
3. שימוש בתמונת ראי (Snapshot) או בנקודת שחזור (Recovery Point) אינו מהווה גיבוי העומד בפני עצמו.
4. יש להגדיר את מערכי הגיבוי והאחסון כיעדי ההגנה חסויים וקריטיים.
5. יש לוודא כי בוצעה הפרדה בין סביבות האחסון והגיבוי (לרבות ציוד תקשורת נתונים תומך), וזאת בהתאם לרמות האמון הקיימות (Trust Level).
6. יש לוודא כי מערך הבקרה הרציפה והמתמשכת מנטר את מצב האבטחה בסביבת האחסון והגיבוי, לרבות ציוד תקשורת נתונים תומך (דוגמת מתגי FC, FCoE או iSCSI).
7. יש לוודא כי המידע המגובה מוצפן, וכי ברשות הארגון מספיק העתקים של מפתח ההצפנה, השמורים בכספות מבוזרות או באמצעי אחר.
8. ניתן לתייג את המדיה (מכנית, אופטית, דיגיטלית או אחרת) באמצעות כלים כגון מדבקות על קלטות גיבוי, אריזות למשלוח דיסקים קשיחים או דיסקים אופטיים.
9. במקרה של עבודה עם שירותי SaaS יש לוודא כי הגיבויים מועברים באופן תקופתי לחצרות הארגון, וזאת תוך עיגון משפטי של תהליך זה מול הספק.
10. במקרה של עבודה עם שירותי PaaS\IaaS יש לוודא כי הגיבויים מועברים לסביבת ענן נפרדת ובלתי תלויה, וזאת תוך עיגון משפטי של תהליך זה מול הספק.
11. בעת עבודה עם שירותי ענן ציבוריים יש לתת את הדעת על כך שקיימות חבילות שירות שונות לאחסון מידע, דוגמת:
Standard Tier – מיועדת לשימוש כללי, כאשר נדרשת גישה בזמן אמת למידע.
Infrequent Access – מיועדת לשימוש כאשר תדירות הגישה למידע משתנה או בלתי ידועה.
Archive – מיועדת לגיבויים ולאחסון מידע ארכיוני, כאשר זמן האחסון המינימלי הוא 90 יום.
Long term Archive – מיועדת לאחסון מידע ארכיוני לזמן רב, כאשר זמן האחסון המינימלי הוא 180 יום.
12. חלק מפתרונות האחסון מאפשרים שינוי של פורמט אחסון אובייקטים, דבר שעשוי לשפר במקרים מסוימים את רמת העמידות בפני WIPER, כופרה וכדומה.
13. יש לממש מנגנון לשחזור טרנזקציות למערכות מבוססות טרנזקציות.
14. יש לממש מנגנוני הצפנה מקובלים ועדכונים להגנה על מדיה דיגיטלית במהלך העברתה מחוץ למתקני הארגון.</t>
  </si>
  <si>
    <t>1. יש חשיבות גבוהה למיפוי כל דרכי הכניסה/היציאה הלוגיות והפיזיות, הן ברמת הארגון כולו והן ברמת כל יעד הגנה.
2. יש חשיבות גבוהה למיפוי משטח התקיפה (Attack Surface) של הארגון ככלל, ושל כל יעד הגנה בפרט.
3. יש חשיבות גבוהה למיפוי וקטורי התקיפה (Attack Vectors) שתוקף פוטנציאלי עשוי להשתמש בהם, הן ברמת הארגון כולו והן ברמת כל יעד הגנה.
4. משטח החשיפה הוא פרמטר מהותי בחישוב מדרג הסיכון של הארגון ככלל, ושל כל יעד הגנה בפרט.
5. יש לוודא כי נעשה שימוש באמצעים ממוכנים לגילוי, זיהוי וניתוח חולשות, וזאת תוך שימוש במקורות מודיעין סייבר מקובלים.
6. יש לוודא כי ברשות הארגון מתודולוגיה מקובלת לדירוג חולשות. דוגמה ליישום: שימוש בתקןCVSS (Common Vulnerability Scoring System).
7. יש לוודא כי ברשות הארגון תוכנית עבודה מסודרת לסגירת פערי אבטחה שאותרו, וזאת תוך התייחסות למדדים מקובלים.
8. יש לוודא כי הפתרון לסריקת חולשות (Vulnerability Scanner) שהארגון משתמש בו אינו מסתמך על כלי תפעולי להפצת תוכנות/עדכוני אבטחה (פאצ'ים).
9. יש לזכור כי מדרג הסיכון של יעד ההגנה/הארגון צריך לכלול התייחסות לפרופיל הסיכון הארגוני (Risk Profile).
10. תוכנית להערכת אבטחת המידע וניהול החולשות תכלול מגוון נוהלי עבודה ותהליכים, המשרתים כמה מטרות: תפעול מערך זיהוי החולשות; מעקב שוטף אחר תהליכים ומנגנונים לתיקון הליקויים; וממשקים לתהליכים מקבילים (ניהול עדכוני אבטחת מידע, ניהול תצורת יעדי ההגנה, אבטחת מידע, פיתוח מאובטח וכו').
11. יש לוודא כי לצוות הסגול (Purple Team) יש כישורים מתאימים לביצוע ניסיונות חדירה מבוקרים לסוג יעדי ההגנה הנבדקים. לדוגמה: תקיפות חומרה (בחינת רמת ההגנה על UEFI) או תקיפות OT עשויות לדרוש רמת מומחיות גבוהה מהרגיל.
12. במסגרת ניסיונות החדירה המבוקרים מומלץ לבחון את רמת המוכנות והכשירות של מערך הבקרה הרציפה והמתמשכת.
13. במסגרת ניסיונות החדירה המבוקרים ושאר הבדיקות לאיתור חולשות, מומלץ לוודא כי הגדרות התצורה של יעדי ההגנה הן נכונות.
14. יש לוודא כי ניסיונות החדירה המבוקרים ושאר הבדיקות לאיתור חולשות כוללים התייחסות לראיית יריב חיצוני ופנימי בכל מנעד הרשאות אפשרי (דוגמת משתמש אנונימי, משתמש רגיל, משתמש חזק וכדומה).
15. יש לוודא כי ברשות הארגון תהליך ארגוני לקבלת דיווח על פגיעויות ממקורות חיצוניים, לרבות מודיעין סייבר, לקוחות, "עוברי אורח" ועוד.
16. נוהל - יש לכתוב תכנית לניהול פגיעיות וחשיפות אבטחת מידע הכוללת את תהליך ההערכה ותיקון הליקויים שנתגלו.
17. יש לבצע מבדקי חדירות למערכות על בסיס תקופתי.
18. יש למנות גורם עצמאי/בלתי-תלוי לביצוע מבדקי החדירות.
19. על הארגון להפעיל קבוצה עצמאית לביצוע מבדקי חדירה, ולהפעיל תרגילי Team Red על מנת לדמות ניסיונות של תוקפים לסכן את הנכס.
20. יש לבצע סריקת פגיעויות באופן שוטף ובהתאם לתהליך ניהול הפגיעויות הארגוני, באמצעות כלי יעודי למטרה זו על מערכות המידע של הארגון (פנימיות וחיצוניות).
21. יש לוודא כי כלי סריקת הפגיעויות מעודכן באופן שוטף ומכיל את הפגיעויות החדשות אשר מתגלות ומדווחות.
22. על הארגון לתקף את החולשות והפגיעויות שזוהו על ידי המערכת האוטומטית באמצעות תהליך פנימי אשר כולל סקירה של הימצאות החולשות והפגיעויות שזוהו במערכות נוספות.
23. יש לבצע סריקות עם משתמש מערכת (Credentialed Scan) בכלי סריקת הפגיעויות.
24. יש לוודא כי קיים כלי אוטומטי המשווה בין תוצאות סריקת הפגיעויות בעבר לתוצאות נוכחיות לטובת בקרה וניתוח מגמות.
25. יש לוודא כי קיימת התאמה בין תוצאות כלי ניהול פגיעויות שונים אשר מוטמעים בארגון לצורך קבלת תמונת מצב שלמה על מגוון הפגיעויות במערכת.
26. יש להטמיע מנגנון אוטומטי לניהול מרוכז של תהליך תיקון הליקויים.
27. יש לבקר את תהליך תיקון הפגיעויות ולהחיל יעדים ברי מדידה לתיקון הפגיעויות לפי רמת חומרתן.</t>
  </si>
  <si>
    <t>1. ניתן לממש בקרה זו באמצעות התקנה של אמצעי לסריקת חולשות (Vulnerability Scanner) וקביעת תדירות הסריקה - אחת ליום, מספר שבועות, חודש או מספר חודשים (ניתן להגדיר תדירות  שונה לכל סביבה).
2. יש לוודא כי האמצעי לסריקת חולשות משתמש בחתימות המעודכנות ליום הבדיקה.
3. יש לוודא כי ההגדרות ביעדי ההגנה אינן מאפשרות להם למשוך עדכונים ישירות מהאינטרנט, אלא רק משרת העדכונים הארגוני.
4. תדירות ביצוע הבדיקות והטמעת עדכוני האבטחה היא המינימלית המומלצת. על הארגון להחליט אם לאמץ גישה מחמירה יותר בהתאם לניהול הסיכונים שלו.
5. ניתן לממש מעקב ממוכן אחר מצב החולשות הן על ידי אמצעי לסריקת חולשות והן באמצעות התממשקות למערכות צד ג' (כדוגמת GRC).
6. יש לזכור כי לעתים התקנת עדכון אבטחה אינה מספקת, ויש להחיל שינויים בהגדרות התצורה כדי להפעיל את יכולות האבטחה.
7. מרבית אמצעי סריקת החולשות הקיימים בשוק תומכים במצב סריקה Credentialed Scan.
8. יש לוודא כי לארגון יש יכולת מעקב ממוכנת אחר תהליך זרימת המידע (Workflow), לרבות שליחת התרעות ודו"חות וניהול תהליכי אסקלציה בהתאם ל-SLA\OLA, ללא צורך במעורבות אנושית.
9. דוגמה להגדרת יעדי SLA\OLA: חשיפות קריטיות יתוקנו בתוך מספר שעות/ימים, חשיפות ברמה גבוהה תוך שבוע, חשיפות ברמה בינונית תוך חודש עד שלושה חודשים וכו'.
10. יש לוודא כי בעקבות קבלת מידע מודיעיני רלוונטי מתבצעים: הליך לתיקוף רמת הסיכון של יעדי ההגנה/המשתמשים; התקנת עדכוני אבטחה; ותיקוף הצלחת ההתקנה, כך שהחולשה לא ניתנת לניצול.
11. שימוש בפאצ'ים וירטואליים (Virtual Patch's) אינו מחליף הטמעה של עדכוני אבטחה בהתאם לתדירות המומלצת.
12. יש לוודא כי יעדי הגנה עם רכיבי EOL\EOS מוגדרים כיעדי הגנה בסיכון גבוהה.
13. יש להעדיף שימוש באמצעים טכנולוגיים התומכים בפרוטוקולים פתוחים ומקובלים, דוגמת SCAP.
14. יש לוודא כי הארגון הגדיר מדיניות בנושא ניהול חשיפות, הכוללת: זיהוי פגיעויות וחשיפות והערכתן; תיקון החשיפות והפגיעויות; אחריות לביצוע המשימות; ומעקב שוטף.
15. יש לוודא כי הארגון כתב תיק נוהלי עבודה ותוכנית ליישום ותפעול מערך ניהול הפגיעויות. יש לשים דגש על הטמעת מערכות לזיהוי, הפעלת כלים וסוקרים, והפעלת ספקי משנה ועובדים לטיפול בממצאים.
16. יש לוודא כי תוכנית הערכת אבטחת המידע וניהול הפגיעויות כוללת מגוון נוהלי עבודה ותהליכים שנועדו לתפעול מערך זיהוי הפגיעויות, מעקב שוטף אחר תהליכים ומנגנונים לתיקון הליקויים, וממשקים לתהליכים מקבילים (ניהול עדכוני הגנת מידע וסייבר, ניהול תצורת יעדי ההגנה, פיתוח מאובטח וכו').
17. יש לוודא כי הארגן ניהל מעקב אוטומטי אחר מצב הפגיעויות שזוהו לאורך תקופה. זאת, כדי לזהות יעדי הגנה שמציגים סיכון חריג, או לחלופין יעדי הגנה שיישום הבקרות בהם אינו מספק.
18. יש לוודא כי כל כלי סריקת הפגיעויות ו/או כלי הניטור מחוברים למערך מרכזי, כדי לקבל תמונת מצב אחידה של מצב הפגיעויות והבקרות.
19. יש לבצע סריקת פגיעויות באופן שוטף ובהתאם לתהליך ניהול הפגיעויות הארגוני, באמצעות כלי יעודי למטרה זו על מערכות המידע של הארגון (פנימיות וחיצוניות).
20. על הארגון לתקף את החולשות והפגיעויות שזוהו על ידי המערכת האוטומטית באמצעות תהליך פנימי אשר כולל סקירה של הימצאות החולשות והפגיעויות שזוהו במערכות נוספות.
21. יש לוודא כי קיים כלי אוטומטי המשווה בין תוצאות סריקת הפגיעויות בעבר לתוצאות נוכחיות לטובת בקרה וניתוח מגמות.
22. יש לוודא כי קיימת התאמה בין תוצאות כלי ניהול פגיעויות שונים אשר מוטמעים בארגון לצורך קבלת תמונת מצב שלמה על מגוון הפגיעויות במערכת.
23. יש להטמיע מנגנון אוטומטי לניהול מרוכז של תהליך תיקון הליקויים.
24. יש לבקר את תהליך תיקון הפגיעויות ולהחיל יעדים ברי מדידה לתיקון הפגיעויות לפי רמת חומרתן.</t>
  </si>
  <si>
    <t>1. יש לפנות לבקרת הניטור העוסקת בציד איומים (Threat Hunting).
2. יש לפנות לבקרת "ניהול הגדרות תצורה".
3. יש לפנות לבקרה "הקשחה".
4. יש להגדיר סדרה של פעולות תקופתיות, שמטרתן גילוי וזיהוי של חולשות לפני שתוקף פוטנציאלי יוכל לנצלן, וזאת לצד בחינת האפקטיביות מערך האבטחה.
5. יש להשתמש בפתרונות ממוכנים המאפשרים לבחון ב"זמן אמת" את הגדרות התצורה של אמצעי האבטחה ביחס להמלצות יישום (Best Practices) מקובלות. דבר זה מאפשר טיוב של מערך האבטחה, וסגירת חולשות/הגדרות תצורה לקויות לפני שתוקף יוכל לנצלן לרעה. ראוי לציין כי פעמים רבות פתרונות שכאלו זמינים בסביבת ענן ציבורי, אם כי לעתים הם מחייבים רכישת רישוי מתאים.
6. הטמעת עדכוני אבטחה ושימוש מושכל במודיעין הגנה בסייבר הם אבני דרך חיוניות לשם הצלחת תהליך הגנה פרואקטיבי בסייבר.
7. יש לוודא כי ברשות הארגון מיפוי עדכני של סממני החשיפה (IOE - Indicator of Exposures) ונוהלי עבודה למניעה ולתמודדות.
8. הארגון יגדיר תכנית בנושא הגנת סייבר פרואקטיבית ויעדכן אותה תקופתית.
9. הארגון יאסוף מידע עדכני לגבי איומי סייבר ודרכי התמודדות מולם.
10. הארגון יאסוף מידע הנוגע לנוכחותו הדיגיטלית (פעילות עסקית, מידע אודות לקוחות, מידע לגבי משתמשים פנימיים).
11. הארגון יפרוט את המידע לגבי איומי הסייבר לבקרות יישומיות או לטובת טיוב בקרות קיימות.
12. הארגון יטמיע בקרות המבוססות על ניתוח דפוסי התנהגות (מערכת ומשתמש) בסביבות רגישות.</t>
  </si>
  <si>
    <t>1. יש לוודא כי ברשות הארגון מסמכים תומכים, דוגמת:
א. מתודולוגיה לביצוע בקרה רציפה ומתמשכת (Continues Monitoring).
דוגמה ליישום:
i. NIST 800-137 Information Security Continuous Monitoring (ISCM) for Federal Information Systems and Organizations
ii. מודל ייצוג פעילות תוקף במרחב הסייבר, דוגמת MITRE ATT&amp;CK.
iii. שימוש במתודולוגיות MITRE CAR ו-DeTT&amp;CT לשם שיפור יכולות ומוכנות הצוות הסגול (Purple Team).
ב. נוהלי עבודה ב-SIEM\CSOC - Cyber Security Operations Center.
ג. נוהלי תגובה בהתאם ל-Playbooks מוגדרים, וקווים מנחים להתמודדות עם אירועים שאינם מוכרים.
ד. תיעוד אירועים תוך שמירה על עקרונות מקובלים, דוגמת עיקרון שמירת שרשרת הראיות (Chain of Custody).
ה. התמודדות עם הסחות מצד תוקף.
ו. רשימת חוקים והתרעות.
ז. ביצוע אינטגרציה עם תהליכי ניטור משיקים, דוגמת NOC -  Digital Experience Monitoring (DEM).
ח. ביצוע בחינה תקופתית של מנגנוני רישום הלוגים, והתאמתם ליעדי ההגנה בארגון.
ט. נוהלי עבודה מול "אורגן".
י. קיומם של מנגנונים אוטומטיים, אוטומטיים-למחצה וידניים לבדיקת תקינות תהליך האיסוף של לוגים והתרעות מיעדי ההגנה.
2. יש לוודא כי מערך הבקרה הרציפה והמתמשכת כולל התייחסות לסביבות השונות, דוגמת:
א. סביבה מקומית (On-Promises).
ב. סביבת ענן מקומית/ציבורית/היברידית וכדומה.
ג. סביבת MSSP/MDR.
ד. סביבת OT.
ה. סביבת מערכות אבטחה פיזית וסביבתית (מצלמות אבטחה, כיבוי אש וכדומה).
3. יש לוודא כי הלוגים נשלחים מיעדי ההגנה כ-Raw Data למערך הבקרה הרציפה והמתמשכת, ובמערך זה מתבצעת עבודת הניתוח/אנליזה. קרי, לא ניתן להסתמך על התרעות מיעד ההגנה/מערכת האבטחה בלבד, ויש לבצע פעולות אבטחה נוספות במערך זה.
4. יש לתת את הדעת על שילוב מערך הבקרה הרציפה והמתמשכת באבטחה הפיזית והסביבתית. לדוגמה: הגעת צוות אבטחה למתחם עבודה שבו התקיים אירוע סייבר (דוגמת חיבור DOK לא מורשה ליעד הגנה), בידוד האזור והרחקה (בעת הצורך) ואיתור חשודים פוטנציאלים.
5. יש לזכור כי לשם השגת תמונת מצב מלאה, מערך הבקרה הרציפה והמתמשכת נדרש לשלב "ראייה חיצונית" לתהליך. דוגמה ליישום: בחינת תקינות הניתוב של פרוטוקול ה-BGP באינטרנט.
6. יש להעדיף שימוש בפורמטי עבודה פתוחים, דוגמת Snort (Network Traffic), YARA (Files),  Sigma (logs).
7. יש להטמיע אמצעי ניטור ספציפיים על פעילות משתמשים אשר מהווים רמת סיכון גבוהה (למשל, משתמשים בעלי רמת הרשאות גבוהה).</t>
  </si>
  <si>
    <t>1. יש לפנות לבקרת אבטחת PNT.
2. ניהול לוגים:
א.  יש לתת את הדעת כי העדר אחידות ברצף האירועים בלוגים עשוי להצביע על ביצוע פעולות טשטוש עקבות מצד תוקף אשר פעל בארגון.
ב. יש לוודא כי יעדי ההגנה מסונכרנים מול מקור זמן מוסמך, וזאת על-מנת לוודא כי בעת ביצוע תשאול ניתן יהיה לקבל רצף אירועים אחיד בין יעדי ההגנה השונים.
ג. יש לוודא כי פעולות ניהול לוגים, דוגמת מחיקת לוג, שינוי תוכן של לוג או שינוי הגדרת אורך חיי לוג (Retention Time) מתועד ללוג חיצוני, ושולח התרעה מתאימה לצוות האבטחה.
ד. יש לוודא כי במקרה של כשל/תקלה בכתיבה ללוג (מכל סיבה שהיא), נשלחת התרעה מתאימה לצוות האבטחה. 
ה. יש לתת את הדעת לכך ששכיח כי הגדרות ברירת מחדל של הלוגים אינן מספקות, ולפיכך יש לעיין בהמלצות יצרני יעדי ההגנה על מנת לבצע טיוב בהתאם לצורך.
ו. יש לוודא כי הלוגים אינם מכילים מידע רגיש/חסוי, דוגמת מספר כרטיס אשראי.
ז. יש לוודא כי במקרה של נתק של יעד ההגנה ממערך הבקרה הרציף והמתמשך, יעד ההגנה אוגר זמנית את הלוגים ושולח אותם לאחר חידוש הקשר. כמו כן, יש לוודא שגם ללא קבלת הלוגים מיעד ההגנה עצמו, יש ברשות הארגון סקירה עדכנית של מצב האבטחה (Security Posture) של יעד ההגנה עצמו.
ח. במקרה של חשד לתקיפה, יש לעלות את עומק התיעוד ב-Log לרמה המקסימלית הקיימת (לפני Debug).
ט. יש לתת את הדעת שרשימות הבקרה/יומן הפעילות (לוג) הבסיסי ביעדי ההגנה השונות אינם מכילים בהכרח את כל המידע הנדרש לטובת תחקור אירוע. לטובת קבלת מידע חיוני זה, על הארגון להגדיר את הפעולות/מידע הרצוי לשמירה בקבצי ה -Log .
י. יש להעדיף שימוש בפורמט לוגים פתוח דוגמת CEF (Common Event Format).
3. ככלל, יש להעדיף איסוף ארטיפקטים (דוגמת IOC/IOA/IOE ולוגים) באמצעות רשת OOB שאינה משרתת את הסביבה התפעולית, וזאת מתן עדיפות לשימוש בתשתית אופטית.
4. יש לבצע מיפוי מקדים של דרישות אחסון הארטיפקטים (וזאת בהתאם לזמן שמירה צפוי), וזאת תוך התחשבות בגדילה טבעית וחריגה.יש לבצע בחינה עיתית של עדכניות מיפוי זה.
5. יש לוודא כי איסוף ארטיפקטים מתבצע גם כאשר התעבורה המשונעת בתווך הינה מוצפנת (SSL/TLS Decryption).
6. יש לוודא שילוב של סנסורים שונים לטובת איסוף ארטיפקטים, וזאת תוך התייחסות לתצורות שכיחות, דוגמת: Sensor-less, Passive Sensor and Active Sensor.
7. יש לוודא כי בעת קריסה של יעד הגנה (מכל סיבה שהיא) נאסף  Memory Dump + Metadata לשם תחקור ובדיקה.
8. שכיח כי איסוף ארטיפקטים משירותי ענן ציבוריים מחייב גישה ב-API ו/או העברה של הלוגים למערך הבקרה הרציפה והמתמשכת של הארגון.
9. להלן דוגמה לשיטות איסוף שכיחות לארטיפקטים העוסקים בביצועי מערכת ובחינת מאפייני שימוש לאורך זמן: SNMP pulling, streaming telemetry, API retrieval, synthetic transaCIons, endpoint agents .
10. להלן סקירה לדוגמה של שיטות איסוף ארטיפקטים RF Signals: 
RF Signal Analyzer Recording Systems (לרבות פעילות משדרים במתחמי עבודה, רשתות אלחוט של הארגון, ממשקי קליטת GNSS וכו').
11. להלן סקירה לדוגמה לשיטות שכיחות לאיסוף ארטיפקטים הנובעים משינוי תצורה בהתקן מחשוב: Screen scraping, NETCONF/yang, API, SNMP traps, syslog.
12. להלן סקירה לדוגמה לשיטות שכיחות לאיסוף ארטיפקטים מסוג Metadata אודות "שיחות" בין יעדי הגנה ברשת: Network Behavior Analysis (NBA)/NetFlow and its variants, sFlow, IPFIX, VPC flow logs.
13. להלן סקירה לדוגמה לשיטות שכיחות לאיסוף ארטיפקטים מסוג "הקלטת תעבורה" ממערך תקשורת נתונים: Port Mirror, TAP, NPB (Network Packet Broker).
14. יש לוודא כי ברשות הארגון תרשימי רשת/ארכיטקטורה ומסמכים עדכניים דוגמת Physical Inventory, Bill-of-Material, Engineering Drawing, FAT/SAT Reports, Vendor Datasheet/Specification ..
15. להלן סקירה לדוגמה לשיטות שכיחות לאיסוף ארטיפקטים מערוצי-צד (Side-Channels):
PFP - Power Fingerprinting, Power Consumption, TEMPEST/EMSEC, Acoustic Cryptanalysis, Differential Fault Analysis, Distance Observation, Cold Booting, Electronic Emission (EE), Power Fingerprinting (PFP), Simple Power Analysis (SPA), Differential Power Analysis (DPA), High-Order Differential Power Analysis (HO-DPA), Correlation Power Analysis (CPA), Quantum State, Heating
16. יש לקבוע אירועים  אותם המערכת  תתעד (כלומר תרשום  אודותיהם לוגים) לתעד  כיצד רשומות בקרה  אלה מתאימות לתחקור  אירועים ותקריות  אבטחה וכן להגדיר את  פרק הזמן שיש לשמור  נתונים אלה. בנוסף יש להגדיר באילו  מערכות יש להפעיל  auditing ( שרתים,  רכיבי תקשורת,  אפליקציות, מסדי  נתונים וכו').
17. יש לבחון באופן תקופתי את הגדרת האירועים המתועדים ואת אפקטיביות מערך הרישום.
18. יש להפעיל מנגנון המייצר רשומות בקרה אודות אירועים במערכות הארגון. יש לרשום, לכל הפחות, אירועים ממערכות המכילות מידע רגיש/חסוי של לקוחות, מערכות קריטיות לתפקוד הארגון ומערכות ליבה (שרתים, רכיבי תקשורת, אפליקציות, מסדי נתונים וכו').
19. ארגון יגדיר מידע נוסף אשר נדרש כחיוני לרישום בלוג המתקבל מהמערכות הארגוניות, לרבות מזהה ייחודי של הפעולה, פקודות ושאילתות שבוצעו.
20. מנגנוני הרישום יכללו, לכל הפחות, מידע אודות אופי הפעולה  שבוצעה, חתימת זמן,  מקור ויעד הפעולה, מזהה משתמש, מזהה תהליך, כשלון/הצלחה, שם קובץ ותהליך מערכת מעורב.</t>
  </si>
  <si>
    <t>1.	ניתן לעשות שימוש ב-CSOC - Cyber Security Operations Center המבוסס על ניהול פנימי או CSOC - Cyber Security Operations Center במיקור-חוץ. לכל חלופה ישנם יתרונות וחסרונות, ומומלץ לבחון את תצורת העבודה אשר תשרת את צורכי הגנת המידע והסייבר של הארגון באופן מיטבי. 
2.	במקרה של שימוש ב-CSOC - Cyber Security Operations Center במיקור חוץ יש :
א.	למנות גורם מקצועי מטעם הארגון אשר יבחן באופן רציף את רמת האפקטיביות והעדכניות של שיטות העבודה וטכנולוגיות האבטחה ביחס לפרופיל הסיכונים של הארגון. ראוי לציין כי גורם זה צריך להיות בעל השכלה ורקע מקצועי ההולמים את צורכי התפקיד, לרבות יכולת לבצע הערכה אובייקטיבית וחתירה להשתפרות תמידית.
ב.	אחת לשנה לפחות יש לבחון את היצע ואיכות השירותים מול חלופות הקיימות בשוק.
ג.	לוודא כי מידע רגיש/חסוי אינו עובר על תווך ציבורי. דוגמה ליישום: שימוש ב-MPLS ו-VPN בין הצדדים.
3.	יש לוודא כי הארגון עושה שימוש במתודולוגיה מקובלת ועדכנית לבחינת רמת האפקטיביות של ה-CSOC - Cyber Security Operations Center, דוגמת: DeTTECT ו-MITRE D3FEND Matrix.
4.	ניתן לעשות שימוש ב-SIEM המותקן מקומית (On-Premises) או SIEM מרוחק או SIEM במודל SaaS. לכל חלופה ישנם יתרונות וחסרונות, ומומלץ לבחון את תצורת העבודה אשר תשרת את צורכי הגנת המידע והסייבר של הארגון באופן מיטבי. .
5.	להלן דוגמה לחבילות עבודה שכיחות בעת קבלת שירותים בתצורת מיקור חוץ:
א.	ניטור בלבד.
ב.	ניטור והדרכה.
ג.	הגעת צוות IR לאתר.
ד.	הגעת צוות ניהול משברים לאתר.
ה.	תחזוקה/תפעול מערך האבטחה של הלקוח (MSSP).
ו.	ביצוע ביקורות, סקרים וניסיונות חדירה מבוקרים באופן עתי ולפי הצורך.
ז.	שירותי מודיעין סייבר.
ח. צייד איומים (Threat Hunting).
6. הארגון יוודא כי שטח האחסון המוקצה לרשומות הלוג ולמערך הניטור עונה לצרכיו לאורך זמן כפי שהוגדר.
7. יש להקצות שטח אחסון מספק עבור רשומות הבקרה.
8. יש לבצע תכנון מקדים של דרישות אחסון הנתונים וכן לבצע תכנון קיבולת תקופתי.</t>
  </si>
  <si>
    <t>1.	יש לתת את הדעת כי לשם לשם ביצוע ניטור אפקטיבי נדרשת הכרה טובה של התהליכים העסקיים, ומיפוי מקדים של סימנים מחשידים ואירועים חריגים אשר עשויים להעיד על פעילות תוקף.
2.	הגנה על ארטיפקטים הינה חיונית הן למניעת פגיעה בפרטיות המשתמשים, והן על-מנת לאפשר שימוש בהם לצרכי הגנת מידע וסייבר וצרכים משפטיים.
3.	יש להגדיר לכל ארטיפקט אורך חיים  (Retention Policy) מינימלי, וזאת תוך מענה לדרישות החוק, רגולציה דרישות חוזיות וצרכים עסקיים. דוגמה ליישום: תקנות הגנת הפרטיות (אבטחת מידע) מחייבות שמירה של לוג אבטחה לתקופה מינימלית, וזאת בהתאם לסוג מאגר המידע הקיים בארגון.
4.	תוקף בעל מוטיבציה (דוגמת מתחרה עסקי המפעיל גורם פנימי) עשוי להשקיע מאמצים רבים בטשטוש עקבות, ולפיכך על מערך האבטחה לספק מענה הולם בנושא.
5.	יש לוודא כי ברשות הארגון מערכת טכנולוגית לשמירה על הארטפיקטים אשר הופקו. דוגמה ליישום: מערכת SIEM.
6.	יש לוודא כי הגישה לארטיפקטים מנוטרת 24/7, וכי במקרה של ניסיון גישה לא מורשה נשלחת התרעה לצוות האבטחה.
7.	יש לתת את הדעת לנושא ביצוע בדיקות מהימנות בתדירות גבוהה, תוך התייחסות מעמיקה יותר, לגורמים בעלי גישה לגיטימית לארטיפקטים. בדגש על בעלי גישה לצבר מידע.
8.	יש לבצע קורלציה בין המידע המופק מיעד ההגנה, לבין זה אשר מאוחסן במערך במערכת ה-SIEM או פתרון מקביל. דוגמה ליישום: ביצוע קורלציה בערך ה-Hash או בדיקת תקינות החתימה הדיגיטלית.
9. יש להקצות שטח אחסון מספק עבור רשומות הבקרה, וזאת תוך ביצוע תכנון מקדים של דרישות אחסון הנתונים, וכן ביצוע תכנון קיבולת תקופתי.
10. יש לוודא כי ניתן לאחזר בהצלחה רשומות בקרה שנשמרו לטווח ארוך, וזאת ע"י ביצוע בדיקות אופורטיביות עיתיות דוגמת שחזור של רשומה אקראית.
11. יש להגדיר את הארטיפקטים כמידע חסוי.
12. יש להגן על רשומות הבקרה מפני גישה בלתי מורשית, שינוי או מחיקה.
13. יש לגבות את רשומות הבקרה על בסיס תקופתי ולשמרו בנפרד ממערך הניטור עצמו.
14. יש לגבות את רשומות הבקרה על בסיס תקופתי ולשמרו בנפרד ממערך הניטור עצמו.יש להשתמש במנגנונים קריפטוגרפים על מנת להגן על שלמות רשומות וכלי הבקרה.
15. יש לוודא שניתן לאחזר רשומות בקרה ופורנזיקה, ותוצאות אנליטיקה, שנשמרו לטווח ארוך.
16. יש להקצות שטח אחסון מספק עבור רשומות הבקרה.
17. יש לבצע תכנון מקדים של דרישות אחסון הנתונים וכן לבצע תכנון קיבולת תקופתי.</t>
  </si>
  <si>
    <t>1. יש לוודא כי ההתרעות מגיעות ללא שיהוי לגורמים הרלוונטיים מטעם הארגון.
2. יש לוודא כי מרבית פעולות הניטור מתבצעות ללא מעורבות יד-אדם.
3. יש לוודא קיומם של תהליכי אסקלציה.
4.יש לוודא כי במקרה שיעד הגנה אינו שולח מידע באופן רציף למערך הניטור (דוגמת נתק של מעל דקה אחת), מתבצע מידית הליך תחקור ובדיקה.
5.	יש לוודא כי יעדי הגנה חדשים מוספים למערך הניטור לפני תחילת פעילות, ואילו יעדי הגנה אשר הוצאו משימוש מוסרים ממערך הניטור.
6. יש לוודא כי תוקף לא יכול לנצל את מנגנון שליחת ההתרעות לשם יצירת "הצפה" (Flooding).
7. יש לוודא כי מנגנון שליחת ההתרעות אינו שולח מידע רגיש/חסוי מחוץ לארגון (דוגמת שליחת הודעת דוא"ל או מסרון לכתובת פרטית תוך ציון מידע טכני פרטני).
8. יש לוודא את קיומו של תהליך סדור ל Lesson Learned והטמעת המסקנות בתהליכי העבודה הרלוונטים.
9. יש לוודא כי אמצעי האבטחה של הארגון כוללים מנגנון Watchdog מובנה ופעיל, אשר לא ניתן לביטול/חסימה.
10. יש לייצר מנגנון של  קבלת התראה במידה של הפסקת כתיבת נתונים ללוגים/ייצור לוגים.
11. יש לייצר מנגנון של  קבלת התראה במידה של נטרול פעילות אמצעי אבטחה (דוגמת AV Agent).</t>
  </si>
  <si>
    <t>1. יש לפנות לבקרת FW.
2. יש לפנות לבקרת מניעה והתמודדות עם דלף מידע.
3. יש לפנות לבקרת מניעה והונאה.
4. יש לתת את הדעת לשימוש לרעה בפרוטוקולים לגיטימיים/קיומם של ערוצים סמויים (Covert Channels).
5. יש לתת את הדעת לתאימות ציוד תקשורת הנתונים לביצוע הגנה שקטה (Silence Defense), דוגמת העדר יצירת עומס חריג במקרה של הפעלת NetFlow\IPFIX.
6. יש לוודא כי הארגון מסוגל לגלות ולזהות פעילות אופיינית ל-Shadow IT, דוגמת פעילות מול שירותי קבצים בענן או שירות ענן אחר.
7. יש לוודא כי אמצעי האבטחה תומכים ב-DPI (Deep Packet Inspection), וזאת תוך תאימות לסביבה הארגונית.
8. יש לוודא כי אמצעי האבטחה מגלים ומזהים איומים בתעבורה מוצפנת.
9. יש לוודא ביצוע אינטגרציה מול מערך הניטור המרכזי.
10. יש לוודא כי ברשות הארגון מיפוי עדכני של מצב האבטחה (Security Posture) וזאת תוך נקודת מבט פנים ארגונית, וחוץ ארגונית.
11. יש לוודא כי הארגון מבצע הקלטה של התעבורה לתקופה מינימלית, כך שניתן יהיה להשתמש במידע שהופק לשם תחקור ובדיקה.
12. יש לוודא ביצוע הצלבה בין מידע המופק מיעדי ההגנה IT/OT, למידע אשר מופק מיעדי ההגנה אבטחה פיזית – דוגמת Physical Access Control Systems (PACS).
13. להלן דוגמהות לממשקים לניטור:
א. קו תקשורת נתונים פנים ארגוני.
ב. קו תקשורת נתונים לאינטרנט.
ג. קו תקשורת נתונים לקישור בין אתרים שונים של הארגון.
ד. קו תקשורת בין הארגון לספק ענן ציבורי.
ה. קו תקשורת למערך הטלפוניה בספק שירות.
ו. קו תקשורת מסורתי (Legacy) דוגמת ISDN, PSTN, SDH, Frame Relay.
ז. מעבר מ-VLAN אחד לאחר
ח. East-West Traffic
14. יש לוודא כי Sampling Rate שונה של אמצעי האבטחה אינו יוצר פער אבטחתי הניתן לניצול לרעה ע"י תוקף.
15. יש לוודא תאימות לפרוטוקולים בהם 
19הארגון עושה שימוש. דוגמה שכיחה לכך הינה תאימות לסביבת OT העושה שימוש בפרוקוטולים מעולם ה-ICS.
16. יש לגלות, לזהות ולסכל ניסיונות גישה לא מורשים לאינטרנט. 
להלן מספר דוגמהות: 
א. ניסיון גישה של מחשב לאינטרנט כאשר המשתמש אינו במצב Login פעיל.
ב. פעילות בשעות חריגות.
ג. גישה לאתרי אינטרנט שאינם מקובלים/בעלי רמת אמון נמוכה.
17. יש לוודא כי פלט הקלטת התעבורה אינו מכיל סממנים המעידים על פעילות תוקף (IOA\IOC\TTP).
18. בשוק קיימים כלים המאפשרים גילוי וזיהוי נוזקות בתעבורה מוצפנת גם ללא זמינות מפתח ההצפנה. נפוץ כי כלים אלו עושים שילוב בין מודיעין סייבר לבחינת דפוסי תקשורת (דוגמת TCP Sequences).
19. יש לוודא כי לטובת ניטור מערך תקשורת הנתונים הארגון עושה שימוש במערכת NCCM (Network Configuration And Change Management ) או NSM (Network and Security Manager) או אמצעי חלופי.
20. יש לנטר תעבורת תקשורת יוצאת ונכנסת לזיהוי פעילות בלתי שגרתית או בלתי מורשים.</t>
  </si>
  <si>
    <t>1. בעת עבודה עם מודלים סטטיסטיים, דוגמת למידת מכונה (Machine Learning) יש לוודא כי ערך התוצאה "חיובית שגויה" (False Positive) וערך "תוצאה שלילית שגויה" (False Negative) הולמות את פרופיל הסיכון (Risk Profile)/הצרכים הארגוניים.
2. יש לוודא כי מערך הניטור מספק יכולות לניתוח תוצרי מודיעין מעולמות שכיחים, דוגמת OSINT, HUMINT, SIGINT, IMINT.
3. יש לפנות לתיעוד יצרני יעדי ההגנה על-מנת לבחון את ה-Events שיש לנטר לשם גילוי וזיהוי איומים.
4. יש לוודא כי במסגרת תהליכי הניטור מתבצע הליך לבחינת היפותזות תוך אישושן או הפרכתן. 
5. יש לוודא כי תהליכי הניתוח והאנליזה כוללים התייחסות לערכי מדידה השונים באופן חיצוני מערכים אחרים (Outlier).
6. יש לוודא קיומו של הליך תגובה סדור לאירועים מוכרים, והליך תגובה מותאם לאירועים שאינם מוכרים.
7. יש לעשות שימוש ב-TIP (Threat Intelligence Platforms) לשם היתוך מודיעין, ושימוש בו לטובת ביצוע פעולות הגנה בסייבר.
8. ארגונים בעלי משאבים מוגבלים עשויים להפיק ערך מוסף בעת שימוש בשירותי SIEM במודל SaaS. 
9. מומלץ לעשות שימוש במתודולוגיית (Cyber Analytics Repository) MITRE CAR.
10. להלן דוגמה למימוש התרעות:
א. מיפוי Event ID בלוג להתרעה.
ב. מיפוי חוק קורלציה (Correlation Rule) להתרעה.
ג. מיפוי היוריסטיקה להתרעה.
ד. מיפוי מערך סף, רף או טווח נתונים להתרעה.
ה. מיפוי IOA\IOC\IOE\TTP להתרעה.
11. יש לוודא כי מערך הניטור עושה שימוש בממצאים ממערך האבטחה פיזי-סביבתי, דוגמת פלט צילום מתחמים רגישים או פלט סנסורים למדידת תנאי סביבה. 
12. להלן דוגמה לאיתור שונות בקבצים ביעדי ההגנה השונים:
א. ביצוע השוואה בין מיפוי קבצים וה-Hash/Fuzzy Hashing שלהם ביחס לקיים ב- Golden Image הארגוני.
ב. בדיקת גנאלוגיה לקוד ביחס לנתונים הקיימים ב"בריכת סייבר" (Cyber Pool).
13. להלן דוגמה לשינויים לא מורשים בחומרת יעדי ההגנה שעל מערך האבטחה לגלות ולזהות אותם:
א. הוספה/הסרה של רכיב חומרה.
ב. עדכון/החלפת קושחה.
ג. שינוי הגדרות תצורה של BIOS\UEFI.
14. להלן דוגמה לשינויים לא מורשים בתוכנת יעדי ההגנה שעל מערך האבטחה לגלות ולזהות אותם:
א. הוספה/הסרה של רכיב תוכנה.
ב. שדרוג גרסה.
ג. שינוי הגדרות תצורה של מערכת ההפעלה.
ד. שינוי הגדרות תצורה של אמצעי האבטחה.
ה. שינוי הגדרות תצורה של אפליקציות.
ו. יצירת קיצור דרך חדש או קישור לוגי אחר.
ז. סממנים אודות שינוי הגדרות תצורה אשר עשויים להקל על תוקף לקבל נגישות מקומית/מרחוק ליעדי ההגנה.
ח. סממנים אודות שינוי הגדרות תצורה אשר עשויים להקשות על איתור קיום השינויים.
ט. סממנים אודות שינוי הגדרות תצורה אשר עשויים להקשות על ביצוע פעולות חקירה/תגובה.
15. להלן דוגמה לפעילות חריגה של משתמשים אנושיים ואפליקציה שעל מערך האבטחה לגלות ולזהות אותם:
א. סממנים אודות קיומם של חשבונות חדשים אשר הוקמו ללא הרשאה.
ב. סממנים אודות הסרה לא מורשית של חשבונות לגיטימיים.
ג. סממנים אודות נעילה או חסימה לא מורשית של חשבונות לגיטימיים.
ד. סממנים אודות פעולות אימות החוזרות על עצמן בתדירות גבוהה (one to one, one to many etc.). או פעולות אימות נכשלות ללא סיבה ממשית.
ה. גילוי וזיהוי סממנים אודות פעולות אימות אשר מתבצעות ביעדי הגנה אשר אין סבירות גבוהה לפעילות מסוג זה (חלון זמן בו אין פעילות במשרד וכד'). 
ו. פעילות כאשר חשבון המשתמש אינו במצב Login.
ז. פעילות חשבון משתמש (אנושי, אפליקטיבי לרבות חשבון מחשב) בשעות חריגות.
ח. פעילות בחשבון המשתמש, כאשר המשתמש לא החתים כרטיס נוכחות.
16. להלן דוגמה לפעילות חריגה של אפליקציות שעל מערך האבטחה לגלות ולזהות אותם:
א. הפעלת/הרצת אפליקציה בעלת רמת אמון נמוכה.
ב. היקף גישה חריג למידע ע"י אפליקציה.
ג. גישה למערכת קבצים שלא לצורך.
ד. ביצוע חיפוש חריג (דוגמת שימוש מילות מפתח חריגות או ניסיון למעקף מערכת ניהול הרשאות ע"י ניסיון לקבלת גישה למידע אשר המשתמש אינו מורשה לו בשגרה).
ה.סממנים אודות הפעלת/הרצת אפליקציה מרחוק על יעד ההגנה.
ו. סממנים אודות תהליכים (Process) זדוניים או תהליכים שאינם קיימים במרבית יעדי ההגנה האחרים.
17. להלן דוגמה לפעילות חריגה אשר עשויה להעיד על קיום נוזקה, וכי על מערך האבטחה לגלות ולזהות אותם:
א. צריכת משאבים חריגה.
ב. תקלות משתמש לא מוסברות.
ג. תזוזה לא רצונית של העכבר ו/או המקלדת.
ד. טעינת ספריות קוד זדוניות אשר נטענו עקב טעות (דוגמת DLL's זדוניים הנטענים בזמן הפעלת אפליקציה לגיטימית).
ה. נוזקות אשר הופעלו עקב טעות (דוגמת משתמש לחץ על איקון אשר התחזה לתוכנת לגיטימית).
ה. לחיצה על קישור בעל רמת אמון נמוכה.
ו. פתיחת/הרצת קובץ או צרופה של דוא"ל בעלת רמת אמון נמוכה.
ז. סממנים בהתאם ל-MITRE ATT&amp;CK ו-MITRE CAR ו-MITRE D3FEND Matrix.
ח. שינוי הגדרות תצורה.
ט. פעילות חריגה של אפליקציות בהתאם לעיל.
י. שינוי Last Modified Date, Creation Date, or Last Accessed Date ביחס לתאריך אמת. 
יא. הוספה/הסרה של רשומה ב-DNS Cache או CAM Table
יב. מספר חריג של Network Connections.
יג. שימוש ב-TCP/IP Ports חריגים. 
יד. סממנים אודות סיום פעולה זדונית ב- Event Logs.
טו. סממנים אודות הרצה של מספר רב של קבצים בזמן קצר.
טז. סממנים אודות גלישת חוצץ (Buffer Overflow) או ניסיון כתיבה/קריאה באזור זיכרון השמור לאפליקציה אחרת.
יז. גישה למספר רב של יעדי הגנה שונים בטווח זמן קצר.
יח. גישה ליעדי הגנה אשר לא התבצעה אליהם גישה בשלושת החודשים האחרונים.
יט. גישה לאתר אינטרנט בעל רמת אמון נמוכה.
כ. התקשרות לאינטרנט תוך שימוש בהצפנה שאין לארגון מפתח לפענוחה.
18. יש להגדיר פעילויות רגישות אותן הארגון  מעוניין לנטר.
19. יש לסקור ולנתח תקופתית את רשומות הבקרה ולדווח את הממצאים לבעלי תפקידים מתאימים שהוגדרו.
20. ארגון יישם מנגנוני גילוי וחקירה אוטומטיים לזיהוי אירועים החשודים כאירועי סייבר ואיסוף ראיות, מתוך רשומות הניטור ומידע פורנזי.
21. מערכת הניטור תרכז רשומות בקרה ופורנזיקה ממקורות מידע שונים ותפעיל מנגנונים אנליטיים על מנת להשיג תמונת מצב ארגונית שלמה.
22. יש לנטר תעבורת תקשורת יוצאת ונכנסת לזיהוי פעילות בלתי שגרתית או בלתי מורשית.
23. יש ליישם מנגנונים המזהים ומתריעים בזמן אמת בפני נסיונות התקפה.</t>
  </si>
  <si>
    <t>1. יש לפנות לבקרת מנגנוני התרעה בזמן אמת - הארגון וידא כי הטמיע מנגנונים המתריעים בזמן אמת בפני ניסיונות התקפה.
2. יש לפנות לבקרת מניעה ועצירה (D&amp;D – Denial and Deception).
3. יש לפנות לבקרת "שונות והשתנות" MTD\ Diversity (Moving Target Defense). 
4. יש לפנות לבקרת מוכנות וכשירות הארגון להתמודדות עם אירועי הגנת מידע וסייבר.
5. יש לפנות לבקרת הכשרה/ריענון ומבדק כשירות של הגורמים המעורבים בטיפול באירועי הגנת מידע וסייבר
6. יש לוודא שילוב של המנב"ט (מנהל הביטחון) במסגרת תהליכי ה-Respond השונים.
7. במקרה של קיום ביטוח קיים (דוגמת ביטוח סייבר), יש להתייעץ עם סוכן חברת הביטוח לשם קבלת הנחיות ספציפיות.
8. יש לוודא כי במקרה של אירוע סייבר מתבצע תהליך של התקנה מאפס של יעד ההגנה , וזאת ע"י שימוש בתוכנות ממקור מהימן. קרי, אין להסתמך על שחזור יעד ההגנה, בסייג לנתונים הגולמיים (דוגמת קבצי משתמשים) שיש צורך לבצע תהליכי זיכוי להסרת נוזקות, ככל שקיימות.
9. לא ניתן, באמצעים סבירים, לוודא כי נכס סייבר שהותקף הינו נקי מאחיזת תוקף. לאור זאת, הדרך היחידה להתמודדות עם מקרה שבו נכס סייבר נפגע הינה התקנה מאפס ע"י מדיות מקור,
ולאחר מכן שחזור המידע הגולמי וזיכויו ע"י מערך הלבנה (אשר כולל 32 מנועי AV, Sandbox, בדיקת גיאונולוגיה של קוד וכד'). כל דרך אחרת, דוגמת שחזור מגיבוי אינה מבטיחה הסרה מלאה של אחיזת תוקף
כפועל יוצא שהדבר לא נעשה עד כה, התוקף בד"כ מוריד פרופיל לתקופה מסוימת, ולאחר מכן חוזר לפעילות. יצוין כי במקרים מסוימים יעלה הצורך לגרוט את חומרת יעד ההגנה, וזאת לאור העובדה כי התוקף עשוי לבצע הטמנה ברמת חומרה, דוגמת החלפת קושחה קיימת, בקושחה מטופלת.
10. יש לוודא כי ברשות הארגון יכולת לבצע תיקון (Remediation) ליעדי ההגנה שנפגעו, וזאת תוך צמצום הצורך במעורבות יד-אדם למינימום.
11. יש לוודא כי התוכנית לטיפול באירועי הגנת מידע וסייבר כוללת התייחסות לבעלי העניין (Stockholders) הרלוונטים, לרבות הגדרה מתי נדרש לקבל את אישורם/התייחסותם ותהליכי אסקלציה.
12. יש לוודא כי התוכנית לטיפול באירועי הגנת מידע וסייבר כוללת התייחסות לשיתוף מידע רלוונטי עם בעלי העניין (Stockholders) בארגון ומחוצה לו.
13. יש לכתוב וליישם מדיניות תגובה לאירועים, לבקר ולעדכן אותה תקופתית.
14. יש לפתח תכנית לטיפולי באירועי הגנת מידע וסייבר.
15. יש לפתח יכולת לטיפול באירועי סייבר ואבטחת מידע אשר כוללת הכנה, זיהוי וניתוח, בלימה והתאוששות.</t>
  </si>
  <si>
    <t>1. יש להחיל את דרישות בקרה זו על גורמים בשרשרת האספקה, דוגמת ספק שירותי IR.
2. לימוד עצמאי אינו מהווה חלופה לשעות לימוד בפועל במסגרת הכשרה סדורה.
3. יש לשלב תרחישים עדכניים אשר הופקו בין השאר ממודיעין סייבר. 
4. יש ליישם מנגנונים אוטומטיים על מנת לספק סביבת הדרכות מעמיקה ומציאותית יותר.
5. יש לבדוק את יכולת התגובה לאירועים על בסיס תקופתי תוך שימוש במבדקים שיגדיר הארגון, ובכלל זאת באמצעות סימולציה של אירוע אמת, על מנת לקבוע אפקטיביות. יש לתעד את תוצאות הבדיקה התקופתית.
6. יש לשמור תיעוד אודות תהליכי ההכשרה/מבדקי הכשירות של המשתמשים, וזאת לתקופה מינימלית של שבע שנים מיום סיום ההעסקה.</t>
  </si>
  <si>
    <t>1. יש לפנות לבקרת ממשקי עבודה ודיווח.
2. ישנה חשיבות לשמירה על עקרון שרשרת הראיות בניהול היומן.
3. ממצאי יומן האירועים מהווים אמצעי אפקטיבי לביצוע תחקור, וביצוע תרגול בדיעבד.
4. ישנה חשיבות לוודא כי בוצע מינוי גורם מחליף לפונקציה הארגונית האמונה על נושא רישום יומן האירועים.
5. ישנה חשיבות לוודא כי חבר הנהלה מאשר את תקינות הרישום ביומן האירועים באופן עתי, וכן לאחר אירוע סייבר.
6. ישנה חשיבות לוודא כי במקום מושבה על של הפונקציה האמונה על יומן האירועים יהיו שעונים פיזיים המציגים את השעה והתאריך ביחס לכל אתר של הארגון.
7. ישנה חשיבות לוודא כי ברשות הפונקציה הארגונית רשימה של אנשי קשר, וכן אמצעי התקשרות חלופיים במקרה של פגיעה/שיבוש אמצעי התקשורת הרגילים של הארגון.
8. ישנה חשיבות לוודא כי לא ניתן למחוק או לשנות מידע היסטורי ביומן האירועים, גם אם הוא נכתב עקב טעות.
9. יש להטמיע מנגנונים ממוחשבים לתמיכה בתהליך הטיפול באירועים.
10. יש לתעד אירועי הגנת מידע וסייבר, את תהליכי הטיפול באירוע לרבות איסוף מידע, פעולות שבוצעו ומסקנות.</t>
  </si>
  <si>
    <t>1. יש לפנות לבקרת "מניעת דלף מידע (DLP)".
2. יש לפנות לבקרת "השחרה".
3. יש לפנות לבקרת "הלבנה".
4. יש לפנות למשפחת הבקרות העוסקת ב"בקרת גישה".
5. שירותי הענן הם חיצוניים לארגון, כאשר ההתקשרות אליהם מתבצעת בדרך כלל באמצעות  האינטרנט.
6. יש לוודא כי קיימות שיטות חלופיות למתן שירות ללקוחות הארגון במקרים של נתק משירותי הענן. 
7. יש לשים לב לכך שממשקי הניהול בענן מאפשרים גישה באמצעות Web, Cmd, API ועוד, ולפיכך יש לספק מענה הגנתי לכל תצורת עבודה.
8. לשירותי הענן מספר סוגי ממשקים, ובהם ממשק משתמש, ממשק ניהול ותחזוקה וממשק אפליקטיבי. היות שממשקים אלו חשופים לאינטרנט ולרשתות הציבוריות יש להגדיר מנגנוני בקרת גישה חזקים, אשר מתאימים לאיומים הרלוונטיים לאופי הממשק, לרמת החשיפה הטכנולוגית ולמתאר האיומים.
9. יש לוודא כי בתוכנית להמשכיות העסקית התייחס הארגון למצבים שבהם אין לו גישה לשירותי ענן ציבוריים.
10. יש לתת את הדעת על כך שהשימוש בממשק MPLS אינו כולל הצפנת תעבורה, ולפיכך יש להשתמש בפתרון משלים, דוגמת IPSEC VPN.
11. יש לוודא כי הארגון עושה שימוש במערכת Cloud Native Application Protection Platform (CNAPP) הכוללת מודולי הגנה רלוונטיים (דוגמת CSPM, CWPP, KSPM,CIEM).
12.יש לתת את הדעת כי Misconfiguration מהווה מחולל שכיח לאירועי דלף מידע. 
13. יש לוודא כי הוחלו תהליכי הלבנה/השחרה מקובלים בעת עבודה עם ענן ציבורי. 
14. יש לוודא יישום מלא של בקרות הגנה על מידע, כגון סיווג מידע (Retention Policy) או זיהוי ואימות משתמשים אנושיים ואפליקטיביים. 
15. להלן דוגמהות ליישום מנגנוני בקרת גישה לממשקי הענן:
א. שימוש ב-MFA.
ב. הגבלת גישה בהתאם לכתובות IP ספציפיות.
ג. הגדרת סוגי הפרוטוקולים והממשקים הפעילים.
15. ככלל, מומלץ לשמור במצב מנותק ומקומי (Offline) לפחות העתק גיבוי עדכני אחד המכיל את המידע המאוחסן בענן.
16. יש לוודא כי לארגון יש יכולת נראות (Visibility) ב"זמן אמת", שתאפשר לו להבין איזה מידע מועבר בתווך, לאיזו אפליקציה (לרבות אפליקציית צד שלישי)/שירות, מהו סיווגו, ומהי מידת הסיכון שהארגון נמצא בו. ניתן לממש זאת באמצעות  CASB\CSPM.
17. יש לתת את הדעת על כך שיכולות הגנה מתקדמות מחייבות בדרך כלל שימוש בגרסת רישוי מתאימה, אשר פעמים רבות היא כי אינה ברירת המחדל.
18. בסביבה מרובת עננים מומלץ לעשות שימוש בפתרון Multicloud Management Platform (MCMP).
19. יש לתת את הדעת על כך שחלק מספקי הענן אינם מצפינים את המטאדאטה (Metadate) כברירת מחדל, דבר אשר עשוי ליצור חשיפה לארגון.
20. יש לבקש מספק שירות הענן מידע אודות אמצעי האבטחה שמשמשים אותו להגנה על רשומות דיגיטליות/פיזיות.
21. על לקוח שירותי הענן להגדיר בקרת גישה לכל שירות בנפרד.
22. על ספק שירותי הענן לספק כלים לבקרת גישה שיתאימו לצורכי הלקוח.
23. על ספק שירותי הענן לספק לארגון נתונים על אופן הגיבוי. הנתונים שיסופקו יכללו את הפרטים הבאים:
א. תכולת ומועדי הגיבוי.
ב. צורת הגיבוי, לרבות פורמט והצפנה במידה שהדבר רלוונטי.
ג. משך הזמן שבו הנתונים נשמרים (Data Retention).
ד. הפעולות הנדרשות לשחזור וכמה זמן הן יימשכו.
ה. המיקום הפיזי/לוגי של הגיבוי.
ו. על ספק שירותי הענן לספק גישה מאובטחת לגיבויים.
24. יש לקבל מהספק נתונים אודות חולשות טכניות שעלולות להשפיע על השירות. לאחר קבלת הנתונים יש לקבוע בצורה ברורה כיצד לנהל את אותן חולשות.
25. יש לוודא כי הארגון עושה שימוש ב-MITRE Security Stack העדכני לשם בחינת רמת ההגנה אשר ניתן להשיג באמצעות שימוש במנגנוני האבטחה המובנים בתשתית הספק.
26. יש לוודא כי המדיניות כוללת התייחסות לשימוש באפליקציות אשר מקורם מה-Marketplace של ספק הענן, לרבות בחינת השלכות אפשריות על תהליכי ה-Data Governance.
27. יש לוודא כי בשגרה מתקיימת חסימה של מממשקים סיריאליים במכונות וירטואליות ענן.
28. יש לוודא כי בשגרה לא ניתן לגשת ל- Instance Metadata.
29. יש לוודא כי לא ניתן לעשות שימוש בפרוטוקול Legacy לניהול/גישה ל-Instance metadata.
30. יש לוודא באופן עתי כי לא ניתן לגשת ל-Instance metadata מרחוק (דוגמת דרך שרת פרוקסי המותקן על המכונה וירטואלית והמאפשר למשתמשים מהאינטרנט לגשת לתכנים).
31. יש לוודא באופן עתי כי לא נעשה שימוש ב-Cross Account שלא לצורך, וכי הרשאות הגישה במקרה שישנו צורך עסקי עונים לעקרון מתן הרשאות נמוכות (Least Privilege).
32. יש לוודא באופן עתי כי ההרשאות הלגיטימיות ברמת ה-Root Tenant קיימות.</t>
  </si>
  <si>
    <t xml:space="preserve">1. יש לוודא כי תדירות עדכון מדיניות המשכיות עסקית הינה שנה לכל היותר, כאשר בארגוני SMB ומעלה, מומלץ לבחון עדכון של התוכנית בתדירות גבוהה יותר.
2. יש לוודא כי ועדת ההיגוי להמשכיות עסקית כוללת את החברים הבאים: מנכ"ל או משנה למנכ"ל המשמש כיו"ר, מנהל קווי העסקים, מנהל הגנת מידע וסייבר, יועץ משפטי, מבקר הארגון, מנהל מערכות המידע (CIO), חבר דירקטוריון, מנהל תפעול, ממונה בטיחות, וגורמים רלוונטיים אשר יוזמנו בהתאם לצורך. במקרה של העדר ועדת היגוי מסוג זה בארגון, יש לוודא מיסוד של ועדת ההיגוי. 
3. יש לוודא כי ועדת ההיגוי להמשכיות עסקית מתכנסת לפחות אחד לרבעון.
4. יש לוודא כי ברשות הארגון צוות ניהול משברים ו-IR, אשר זמין ומסוגל לספק מענה אפקטיבי בהתאם למדדים מקובלים.
5. יש לוודא כי ברשות הארגון נוהל עבודה תומך, המתעדכן בהתאם לצורך, וזאת בדרישות מינימלית של אחת לשנה.
6. יש לוודא כי המדיניות/נוהל העבודה כוללים התייחסות לתרחישים שאינם סייבר באופן מובהק, דוגמת אפידמיה או אירוע אחר המחייבים מעבר לתצורת עבודה מהבית של מרבית המשתמשים.
7. במסגרת סקירת התהליכים העסקיים יש צורך להתייחס ליחסי התלות בין:
א. יעדי הגנה לתהליכים עסקיים, וההיפך.
ב. יעדי הגנה לתהליכים חוצי-ארגון, וההיפך.
ג. ספקים רלוונטיים בשרשרת האספקה.
לדוגמה: מערך האחסון עשוי לשרת שורה של תהליכים ארגוניים, כאשר אי זמינותו/תקינותו להשפיע באופן מהותי על יכולת הארגון לעמוד ביעדים העסקיים.
8. יש לוודא כי במסגרת ה-BIA הוגדרו מדדים מקובלים לכל שירות עסקי ויעדי הגנה המשרתים אותו, דוגמת RPO, RTO, WRT, MTD\MTDP.
9. לשם בחינת כשירות ומוכנות הארגון יש לעבור לעבודה מלאה באתר החלופי (DR) בתקופה של שבוע לפחות, וזאת תוך ניתוק הקישור הלוגי והפיזי לאתר המקור.
10. יש לוודא כי תוכנית המשכיות עסקית כוללת התייחסות למצבי קיצון, דוגמת מצב שבו מרבית או כל עובדי הארגון נאלצים לעבוד מרחוק.
11. יש לוודא כי הארגון עיגן משפטית עמידה של הספק בממדים הנדרשים לשם עמידה בדרישות המשכיות עסקית, וכי באופן עתי נבחנת מוכנות וכשירות הספקים לעמידה במדדים אשר הוגדרו.
12. יש לוודא כי הארגון נעזר בתקנים מקובלים ועדכניים בעת כתיבת מסמך המשכיות עסקיות ותיקופו העתית, דוגמת תקן ISO 22301.
13. יש לוודא כי תוכנית ההמשכיות עסקית כוללת התייחסות להפקת לקחים לאחר אירוע.
14. יש לוודא כי תוכנית ההמשכיות עסקית משולבת בתוכנית לטיפול באירוע הגנת מידע וסייבר.
15. יש לוודא כי מדיניות ארגונית ואסטרטגיה להמשכיות עסקית בהיבטי הגנת מידע וסייבר כוללת התייחסות לבעלי העניין (Stockholders) הרלוונטים, לרבות הגדרה מתי נדרש לקבל את אישורם/התייחסותם ותהליכי אסקלציה.
16. יש לדרוש מספקי השירות, הרלוונטיים לתרחישי החירום, תכנית המשכיות עסקית הנבדקת באופן תקופתי.
</t>
  </si>
  <si>
    <t>1.	יש לפנות לפרק בקרות הגנה פיזית וסביבתית.
2.	יש לוודא כי עובדי הספק עוברים באופן עתי בדיקת מהימנות.
3.	יש לתת את הדעת כי שימוש בכלוב עם סורגי רשת אינו מספק רמת הגנה נאותה מפני גישה לא מורשית (דוגמת חיבור DOK לשרת ע"י מוט הנשלט מתא סמוך).
4.	למרות שהשימוש בשירותי ענן ציבוריים עשוי להיות חלופה לאתר חלופי (DR), עשויים להיות מקרים בהם תידרש נגישות פיזית לשם ביצוע פעולות תפעול שונות.
5.	יש לתת את הדעת כי בעת שימוש בשירותי ענן ציבוריים, ישנה חשיבות גבוהה לשמירה על רמת זמינות גבוהה של ממשקי הניהול והעברת נתונים.
6.	יש להתייחס למצבים בהם נדרש לאפשר נגישות פיזית לגורמי מיקור חוץ לאתר החלופי (DR Site).
7. יש לזהות בעיות נגישות פוטנציאליות לאתר האחסון החלופי במקרה של אסון אזורי, ולנקוט בפעולות מנע מתאימות. בנוסף, יש לוודא כי קיימות מספר דרכי גישה, כי אתר הגיבוי נמצא במבנה עמיד לרעידות אדמה ואסונות טבע רלוונטיים, וכי ישנה דרך לתפעל את האתר מרחוק במידת הצורך מבלי צורך להגיע פיזית לאתר.
8. יש לוודא קיומה של אבטחה נאותה לחדרי השרתים וארונות התקשורת, והעברת חיווים למערך האבטחה של הארגון במקרה של חריגה. ככלל, מומלץ לעשות שימוש בסנסורים שונים למטרה זו. דוגמה ליישום: מערכת מצלמות במעגל סגור, סנסור דלת כניסה וסנסור אינפרה אדום לגילוי וזיהי תזוזה.
9. יש לזהות באופן עתי בעיות נגישות פוטנציאליות לאתר האחסון החלופי במקרה של אסון אזורי, ולנקוט בפעולות מנע מתאימות.</t>
  </si>
  <si>
    <t>1. יש לשים לב שהשימוש ב"תמונת מצב" (Snapshot) אינו מהווה גיבוי, וזאת עקב יחסי התלות עם ב"תמונות מצב" (Snapshots) אחרים/קודמים וה-Hypervisor עצמו.
2. יש לוודא כי כל/מרבית המדדים אשר הוגדרו בתוכנית המשכיות עסקית ניתנים למדידה בעת שגרה וחירום ע"י אמצעים טכנולוגיים, וזאת על-מנת שניתן יהיה לוודא כי מקבלי ההחלטות יקבלו תמונת מצב עדכנית וריאלית.
3. יש לוודא כי בעת החלפת מערך גיבוי, ניתן יהיה לשחזר מידע היסטורי וזאת בהתאם למדדים אשר הוגדרו ב-BIA.
4. יש לוודא כי האתר החלופי (DR Site) עומד במדדים אשר הוגדרו במקור בתוכנית התאוששות עסקית.
5. בעת עבודה עם גורמי מיקור חוץ, יש לוודא כי הם מסוגלים לעמוד בדרישות הארגון, דוגמת מתן שירות ליעדי הגנה הנמצאים באתר החלופי (DR Site).
6. יש לוודא כי נעשה שימוש במערכת טכנולוגית לשם בחינה רציפה של תקינות תהליך המשכיות העסקית, כך שבמקרה של תקלה, ניתן יהיה לאתרה לפני שתשפיע על הפעילות העסקית של הארגון. דוגמה ליישום: שימוש במערכת לשם שחזור יעדי ההגנה באופן אוטומטי, ובחינת תקינות התהליכיים העסקיים ע"י כלי Digital Experience Monitoring (DEM) או אמצעי אחר.
7. הארגון וידא כי עיגן משפטית קיומם של סעיפי "עדיפות שירות" (priority-of-service) בהתאם ליעדי ההתאוששות של הארגון. ניתן לוודא כי בהסכמי השירות (SLA) אל מול ספק אתר הגיבוי זמני התגובה של אנשי הסיסטם והזמן לטיפול בתקלות לא פוגעים ב-RTO של השירות, כמו כן לדרוש עדיפות מהספק בהתאוששות של שירותים קריטיים.
8. יש לשמור עותק גיבוי של מידע קריטי באתר נפרד מהאתר הראשי.
9. יש להשתמש בכלים אוטומטיים כדי לבדוק באופן מעמיק ואפקטיבי את תכנית ההמשכיות.
10. יש לבצע שחזור מלא של המערכת למצב מוכר כחלק מבדיקת תכנית ההמשכיות.
11. יש ליצור גיבוי לרשתות תקשורת ולוודא קיום שירותי תקשורת חלופיים על מנת להקטין את התלות בתשתית יחידה  (Single Point Of Failure).
12. יש לוודא יתירות שירותים ותשתיות קריטיות.
13. יש לבצע תכנון קיבולת הנחוצה לפעילות למקרה אסון (לדוגמא כח עיבוד, תקשורת, שירותי תמיכה, הזנת חשמל).</t>
  </si>
  <si>
    <t>1. יש לוודא כי ספקים מהותיים נוטלים חלק בהדרכות ותרגולות בנושא המשכיות עסקית.
2. יש להבהיר במסגרת הדרכות למשתמשים כי היכולת להמשיך בפעילות עסקית בעת קיומו של אירוע הגנת מידע וסייבר, לא פחות חשובה מאשר ביצוע פעולות הגנה (PROTECT).
3. יש לוודא כי ההדרכות מותאמות לקהלי היעד, וזאת תוך גזירת קהלי היעד מה-BIA הארגוני.
4. יש לוודא כל לכל הפחות אחת לשנה מתבצע הליך הכשרה ומבדק כשירות.
5. יש לבצע תרגול של תכנית ההמשכיות העסקית באמצעות סימולציה של הפעלת התכנית, באופן תקופתי.
6. יש לבדוק את תכנית ההמשכיות על בסיס תקופתי ולתקן פערים שהתגלו.
7. יש לבדוק את תכנית ההמשכיות באתר החלופי, על מנת שצוות ההמשכיות יכיר את מתקן ומשאבי האתר החלופי וכדי להעריך את יכולת האתר החלופי לתמוך בפעילויות הדורשות המשכיות.</t>
  </si>
  <si>
    <t xml:space="preserve">4. הארגון וידא כי ברשותו נוהלי עבודה עדכניים העוסקים בהגנה על רשת התקשוב, וכוללים התייחסות לנושאים מקובלים, כגון:
א. אוטומציה של מרבית פעולות ההגנה, תוך צמצום מעורבות אנושית לאפס.
ב. התמודדות מיטבית עם איומים מסוג Zero-Day.
ג. התמודדות מיטבית עם הטמנות חומרה/תוכנה.
ד. התמודדות עם תרחישי תקיפה ייחודים, דוגמת לוחמה אלקטרונית (EW - Electronic Warfare) ו-CRF (Cyber RF).
ה. הטמעת תפיסה וארכיטקטורה של תשתית בלתי ניתנת לשינוי (Immutable Infrastructure). דפוס זה הוא מימוש ארכיטקטוני שבו המערכת ותשתית היישומים לא בנויים לביצוע שינויים בשל האופן שבו הם עוצבו במקור. במקום זאת, כאשר נדרשים שינויים - התשתית עצמה מוחלפת. תשתיות בלתי ניתנות לשינוי משמשות בדרך כלל ארגונים הנוקטים גישה של DevOps ניהול ענן IaaS או PaaS. עם זאת, ניתן להשתמש בארכיטקטורה זו בכל סביבה שתומכת ב"תשתית כקוד" (IoC) וב-Blue-Green Deployment.
ו. הטמעת תפיסה וארכיטקטורה התומכת בעקרונות "הנדסת כאוס" (Chaos Engineering) ו"הנדסה מוכוונת איומים" (CIE -Cyber-Informed Engineering).
ז. הטמעת תפיסה וארכיטקטורה התומכת בעקרונות Cyber Mimic Defense (CMD).
</t>
  </si>
  <si>
    <t xml:space="preserve">3. הארגון וידא כי ברשותו נוהלי עבודה עדכניים העוסקים בהגנה על רשת התקשוב, וכוללים התייחסות לנושאים מקובלים, כגון:
א. שימוש בשיטות הונאה והסטה.
ב. שימוש באמצעי אבטחה המספקים מענה ל-TTP's בהתאם ל-MITRE ATT&amp;CK העדכני.
ג. שימוש באמצעי אבטחה ייעודיים להתמודדות עם איום פנימי.
ג. שימוש באמצעי אבטחה ייעודיים להתמודדות עם איומים בשרשרת האספקה.
ד. מימוש מודל אפס אמון (Zero-Trust).
ה. שימוש באמצעי אבטחה לשם יצירת Micro Segmentation.
ו. בדיקת מוכנות בסייבר (Cyber Readiness).
ז. קיומה של יכולת אפקטיבית להגדלת קיבולת משאבים באופן אלסטי.
ח. צמצום משטח התקיפה באופן רציף.
י. ניטור ומדידה באופן רציף.
יא. התמודדות עם איומים מסוג Zero-Day.
יב. הטמעת תפיסה וארכיטקטורה התומכת בעקרונות שונות והשתנות.
</t>
  </si>
  <si>
    <t xml:space="preserve">1. הארגון וידא כי ברשותו נוהלי עבודה עדכניים העוסקים בהגנה על רשת התקשוב, וכוללים התייחסות לנושאים מקובלים, כגון:
א. אימות משתמשים על בסיס MFA.
ב. בקרת גישה לוגית ופיזית.
ג. מיפוי משתמשים והרשאות.
ד. הפרדה פונקציונלית בין יעדי ההגנה.
ה. ארכיטקטורת רשת התקשוב.
ו. שימוש באמצעי אבטחה להתמודדות עם תקיפות שכיחות על מבואות הרשת הציבורית (דוגמת DDoS, פישינג ונוזקות בתווך דוא"ל, גלישה ומדיות נתיקות).
ז. שימוש באמצעי אבטחה לשם שליטה על תעבורת הרשת היוצאת מהארגון ונכנסת אליו.
ח. סריקות תקופתיות לגילוי וזיהוי נוזקות.
ט. שגרות הגנה.
י. הטמעת עדכוני אבטחה (פאצ'ים) ביעדי ההגנה.
יא. גיבויים והתאוששות בחירום.
יב. שימוש בסימונים/תשתית תקשורת שונה (דוגמת מחברי רשת שונים) לשם מניעת חיבור יעדי הגנה לא מורשים עקב טעות אנוש לרשת ה-IT/OT.
יג. הגנה לעומק (DiD - Defense-in Depth).
יד. אבטחת מחזור החיים של המידע בארגון, לרבות קבלה/שליחה של מידע לגורמי צד שלישי.
טו. אבטחת מחזור החיים של יעדי ההגנה, לרבות קבלה/שליחה של יעדי הגנה לגורמי צד שלישי.
יז. אבטחת מחזור החיים של מדיות (מגנטית, נתיקה, אופטית, מכנית, אלקטרונית ואחרת), לרבות קבלה/שליחה של מדיה לגורמי צד שלישי.
יח. אבטחת  טלפוניה, לרבות VoIP.
יט. אבטחת התקני IoT.
כ. טלפונים ניידים (סלולריים)
כא. אבטחת ציוד היקפי.
כב. תגובה לאירועים חריגים. 
כג. מדיניות הגנת מידע וסייבר.
כד. טיפול בחולשות/פגיעויות.
כה. קריפטוגרפיה.
כו. ניהול מחזור החיים של יעדי ההגנה בארגון.
</t>
  </si>
  <si>
    <t>2. הארגון וידא כי ברשותו נוהלי עבודה עדכניים העוסקים בהגנה על רשת התקשוב, וכוללים התייחסות לנושאים מקובלים, כגון:
א. שליטה ובקרה על צומתי תקשורת מרכזיים.
ב. שימוש במספר אמצעי הגנה לשם השגת רמת ההגנה המצופה, כך שכשל באמצעי הגנה אחד לא יאפשר לתוקף להשיג את מטרתו.
ג. הקשחת יעדי ההגנה בהתאם לעקרונות מקובלים.
ד. התחברות מרחוק.
ה. מניעת חיבור יעד הגנה לא מורשה לרשת.
ו. גלישה בטוחה.
ז. יתירות, שרידות ותכנון משאבים תוך התחשבות בגדילה עתידית (Capacity Management).
ח. ניהול חוקה באמצעי האבטחה (דוגמת FW).
ט. צמצום משטח התקיפה באופן תקופתי (דוגמת ביצוע סריקה תקופתית לאיתור חולשות וסגירת הפערים בהתאם).
י. ניהול מחזור החיים של המשתמשים וההרשאות בארגון.
יא. ניטור ומדידה באופן תקופתי.
יב. התמודדות עם דלף מידע.
יג. התמודדות עם ניסיון לחיבור התקנים נתיקים לא מורשים.
יד. תהליכים ארגוניים תומכים (דוגמת ניהול שינויים).
טו. הגנה על פעילות (Session) משתמשים, לרבות אימות מקדים לפני יצירת פעילות מול יעד ההגנה (NLA -  Network Level Authentication).
טז. התמודדות מיטבית עם איומים מסוג 1-Day.
יז. שימוש באמצעים ייחודים להגנה על תשתיות תקשוב מסוג IPT, OT וכדומה.</t>
  </si>
  <si>
    <t xml:space="preserve">הארגון וידא כי הטמיע מתודולוגיה לסיווג (Classification) המידע, רשומה דיגיטלית, רשומה פיזית ומדיה (שאינו ביטחוני) ונוהלי עבודה לתיוג מידע (Labeling) </t>
  </si>
  <si>
    <t xml:space="preserve">סיווג ותיוג מידע, רשומה דיגיטלית, רשומה פיזית ומדיה (Labeling and Classification)
</t>
  </si>
  <si>
    <t>6. הארגון וידא כי גישה לנכסים דיגיטליים אינה אפשרית מיעד הגנה/נכס סייבר אשר אינו אופייני למשתמש אנושי. להלן דוגמהות לפעילות שאינה אופיינית למשתמש אנושי:
א. התמיכה ב-Cookies מבוטלת.
ב. התמיכה ב- Java Scriptsמבוטלת.
ג. User-Agent אינו קיים או חריג מהמקובל.
ד. Referer HTTP request header אינו קיים או חריג מהמקובל.
ה. קצב ביצוע הפעולות (דוגמת הקלדות מקלדת או הזזת עכבר) בזמן נתון מהיר נמוך/גבוה מהמקובל.
7. הארגון וידא כי ברשותו יכולת לגלות, לזהות ולסכל פגיעה זדונית בדירוג של הנכסים הדיגיטליים של הארגון במנועי החיפוש הרלוונטיים.
8. הארגון וידא כי תכנים המונגשים מטעמו בנכסים הדיגיטליים זוכים לסימון חד-ערכי להוכחת מקוריותם (Authenticity). 
דוגמהות ליישום: 
א. הוספת סימן מים (Watermark) – רמה הגנה נמוכה.
ב. חתימה דיגיטלית (Digital Signature) – רמת הגנת טובה.</t>
  </si>
  <si>
    <t>1. יש לקבל אישור מהיועץ המשפטי של הארגון לפני ביצוע פעולות שעשויות להשפיע על המרחב הציבורי, דוגמת שימוש בדיסאינפורמציה (Disinformation)/מבצעי תודעה.
2. יש לגבש תפיסת הפעלה לשימוש במניעה והונאה, לרבות שילוב תהליכי תגובה רלוונטיים דוגמת חסימה (Blocking) או בידוד (Isolation)/העברה לסביבת הסגר (Quarantine).
3. יש לוודא כי נעשה שימוש במלכודת דבש (Honeypot) פיזית לשם התמודדות עם תקיפות במישור הפיזי והסביבתי. להלן מספר דוגמהות:
א. התקנת PLC דמה.
ב. התקנת מתג תקשורת בארון שאינו נעול הרמטית.
ג. השארת מחשב נייד עם איכון פעיל (דוגמת GNSS/סלולר) במקום נגיש.
4. יש לתת את הדעת על כך שגם תוקף יכול להשתמש בעקרונות הונאה והסטה.
5. ניתן להשתמש ב-MT6D (Moving Target IPv6 Defense) או בשיטה אחרת על מנת לבצע שינוי ארכיטקטורה דינמי, תוך השארת המזהים (דוגמת כתובת IP) הישנים ברשת. את המזהים הישנים יש להפנות למלכודת דבש, או אמצעי אחר, כך שניתן יהיה לגלות ולזהות פעילות תוקף וללמוד את דרך פעולותו במקרה הצורך.
6. יש להקים פרופילים פיקטיביים ברשתות חברתיות, לשם גילוי וזיהוי ניסיונות התחברות של גורמים לא רצויים.
7. יש להשתמש בקווי תקשורת פיקטיביים, לשם גילוי וזיהוי ניסיונות התחברות של גורמים לא רצויים.
8. ניתן לשלב יכולות מניעה והונאה עם בקרות כגון MTD ובקרת גישה (דוגמת NAC). כך, יעד הגנה חשוד (דוגמת עמדת קצה של משתמש) יוכל לעבור לסביבת Decoy אשר תדמה את סביבת האמת, ותאפשר לתחקר את פעילות יעד ההגנה לאורך זמן ולזהות פעילות זדונית, דוגמת קיומה של נוזקה.
9. ניתן להשתמש באסימוני דבש (Honeytokens) בתצורות שונות. לדוגמה: העברת תעבורה פיקטיבית ברשת ובחינה אם מתבצע ניסיון יירוט/תשאול; שמירת מידע פיקטיבי בזיכרון נדיף (RAM) - דוגמת פרטי אימות; או הטמנת קבצים ו-Shares בעלי שמות ותכנים שיהוו נכסים אטרקטיביים.
10. ניתן להשתמש בהצפנת דבש (Honey Encryption) כדי לפגוע ביכולת התוקף להפיק מידע ערכי (דוגמת מסד נתונים המכיל סיסמאות משתמשים).
11. יש להשתמש ב-MITRE Engage לטיוב מערך האבטחה.</t>
  </si>
  <si>
    <t xml:space="preserve">1. ודאו באמצעות צוות סגול את אפקטיביות מערך המניעה וההונאה.
2. ודאו כי הפריסה של אמצעי המניעה וההונאה היא אופטימלית, כך שתעלה הסבירות לגילוי וזיהוי תוקף.
3. ודאו כי אמצעי המניעה וההונאה שומרים על מידע בהתאם לעיקרון השמירה על שרשרת הראיות (Chain of Custody).
4. ודאו כי מערך הניטור מגלה ומזהה ניסיונות גישה לא מורשים למערך המניעה וההונאה, דוגמת ניסיון לביצוע Dump לסיסמאות או ניסיונות גישה באופן מקומי/מרחוק.
5. ודאו כי הארגון יכול לראות את כל ה-Process Tree והארטיפקטים שברשותו, ומסוגל להבחין בחריגות, דוגמת הרצת Process במספר קטן של עמדות קצה או הרצת ארטיפקטים במספר קטן של עמדות קצה.
6. ודאו כי תוקפים במרחב הסייבר אינם יכולים לזהות או לעקוף את הפתרונות שבהם מתשמש הארגון. ניתן להיעזר במודיעין סייבר או בשיטה אחרת.
7. ודאו כי לארגון יכולת תגובה הכוללת העברה של יעד ההגנה/המשתמש החשוד לסביבת תחקור באופן "שקוף".
8. ודאו כי בסביבת ה-OT נעשה שימוש ב-Honeypots הנגישות פיזית לתוקף פוטנציאלי, ולא רק במלכודות לוגיות.
9. ודאו כי ברשות הארגון תפיסה עדכנית לשימוש בעקרונות מניעה והונאה.
10. ודאו כי הארגון יישם את דרישות מתודולוגיית MITRE Engage.
</t>
  </si>
  <si>
    <t>13. הארגון וידא כי הוא שתל אסימוני דבש (Honeytokens) באופן גלוי (Clear Text) בזיכרון הנדיף (RAM) של יעדי ההגנה. דוגמה ליישום: הזרקת אסימון אימות פיקטיבי לזיכרון הנדיף.
14. הארגון וידא כי הוא שתל אסימוני דבש באופן מוצפן (Encrypted) בזיכרון הנדיף (RAM) של יעדי ההגנה. דוגמה ליישום: הזרקת אסימון אימות פיקטיבי לזיכרון הנדיף.
15. הארגון וידא כי יעדי ההגנה מדמים מצב שבו רמת ההקשחה נמוכה מאשר בפועל.
16. הארגון וידא כי יעדי ההגנה מציגים מצג שווא אודות קיומם/היעדרם של אמצעי אבטחה וארטיפקטים שנוזקות/פוגענים מקובלים מנסים לגלות ולזהות. 
17. הארגון וידא כי שתל אסימוני דבש פיקטיביים במאפייני תקשורת הנתונים. דוגמהות ליישום:
א. Routing Table Entries.
ב. DNS Names.
ג. ARP Entries.
ד. Network Flow.
ה. העתקת קבצים בין יעדי הגנה שונים בארגון ובחינה אם המידע מיורט/משתנה.
18. הארגון וידא כי הוא מסתיר את פרטי הארטיפקטים/האובייקטים האמיתיים של סביבת הפעולה, ומספק בהתאם לצורך מידע פיקטיבי ל-Processes בעלי רמת אמון נמוכה. דוגמv ליישום: ה-LSASS PROCESS הקיים במערכת ההפעלה יוסתר משאר ה-PROCESSES שאינם מטעם יצרן מערכת ההפעלה, ובמקרה של תשאול יומצא מידע פיקטיבי לגורם המתשאל.
19. הארגון וידא כי הוא הטמיע את מתודולוגיית MITRE Engage העדכנית באופן מלא.</t>
  </si>
  <si>
    <t>1. הארגון וידא כי הגדיר מתודולוגיה לסיווג מידע שאינו ביטחוני, הכוללת התייחסות לפרמטרים מקובלים, דוגמת:
א. דרישות חוקיות ורגולטוריות, דרישות חוזיות וצרכים עסקיים.
ב. סיווג המידע, רשומה דיגיטלית, רשומה פיזית ומדיה (Media\Data Classification) מתבסס על שלוש הרמות הבאות:
i. פומבי – אין פוטנציאל נזק.
ii. רגיש (רמת רגישות בינונית ופוטנציאל נזק מועט עד בינוני לארגון או נזק ישיר או עקיף לפרט) + מאפיין בהתאם לסקטור הפעולה של הארגון (דוגמת עסקי, פנימי, רפואי וכו')
iii. חסוי (רמת רגישות בינונית ופוטנציאל נזק גבוה לארגון ולקוחותיו או לצרכנים התלויים בו, או נזק ישיר או עקיף לקבוצה גדולה של פרטים או פגיעה בגוף או נפש) + מאפיין בהתאם לסקטור הפעולה של הארגון (דוגמת עסקי, פנימי, רפואי וכו')
ג. שיטה לתיוג הסיווג (Label) וסימון (Marking) על גבי המידע, רשומה דיגיטלית, רשומה פיזית ומדיה. דוגמהות ליישום: בגלופה (Template) הארגונית ישולב שדה עם סיווג בתפריט נפתח (Drop Menu) או בצבע שונה, ו/או Visual marking, header, footer, watermark. במדיה פיזית מדבקה עם כיתוב בלתי מחיק או בר-קוד.
ד. אורך חיים מינימלי לשמירה על המידע, רשומה דיגיטלית, רשומה פיזית ומדיה (Data Retention) / תאריך פג-תוקף המידע, רשומה דיגיטלית, רשומה פיזית ומדיה (Expiration Time).
ה. המיקום הפיזי/הלוגי המותר לאחסון המידע, רשומה דיגיטלית, רשומה פיזית ומדיה בהתאם לסיווג.
ו. הרשאות גישה ושימוש נדרשות בהתאם לעקרונות מקובלים, דוגמת הצורך לדעת (Need to Know). 
ז. נקיטת פעולות מקובלות לצמצום המידע המאוחסן למינימום הנדרש.
2. הארגון וידא כי הטיל את האחריות לסיווג המידע, רשומה דיגיטלית, רשומה פיזית ומדיה על גורם עסקי רלוונטי (בד"כ זהו הגורם היוצר את התוכן), בכפוף לקריטריונים ותבחינים ארגוניים.
3. הארגון וידא כי יישם תהליך ניהול הרשאות גישה/מידור בהתאם לרמות הסיווג שנקבעו.
4. הארגון וידא כי הגדיר תהליך סדור להורדת סיווג של הסיווג המידע, רשומה דיגיטלית, רשומה פיזית ומדיה, וזאת כאשר הורדת סיווג מחייבת אישור פורמלי של הגורם העסקי ומנהלו הישיר.
5. הארגון מינה גורם האחראי על מתן היתרים חריגים להוצאת המידע, רשומה דיגיטלית, רשומה  פיזית (דוגמת מידע בהיקף חריג או ברמת סיווג מסוימת).
6. הארגון וידא כי יישם תהליך לאישור העברת המידע, רשומה דיגיטלית, רשומה פיזית ומדיה לידי גורמים חיצוניים/פנימיים, וזאת בהתאם לפרמטרים מקובלים, דוגמת סיווג, היקף המידע ומטרת העברתו. 
7. הארגון וידא כי מתבצעת בדיקה מדגמית ידנית מדי חודש במטרה לוודא את תקינות ניהול מחזור החיים של המידע, רשומה דיגיטלית, רשומה פיזית ומדיה (דוגמת יצירת מסמך חדש בסיווג נכון, ותהליך הורדת סיווג בהתאם לנוהל העבודה).
8. הארגון וידא כי הוא בודק את אפקטיביות בקרות ההגנה, לרבות המידור, אחת לשנה לפחות.
9. הארגון וידא כי הוא נקט אמצעים מקובלים למניעת הטיה (Bias) בעת הזנת מידע ושימוש בו.
10. הארגון וידא כי הוא ביצע בדיקה עיתית לבחינת תקינות התיוג (Label) של המידע, רשומה דיגיטלית, רשומה פיזית ומדיה. במקרה של חריגה, יש לוודא קיומו של תהליך תחקור ותיקון למניעת הישנות האירוע.</t>
  </si>
  <si>
    <t xml:space="preserve">1. ודאו כי ברשות הארגון פרוטוקול ישיבת הנהלה מהשנה האחרונה, הכולל אישור של המדיניות ונוהלי העבודה לסיווג מידע.
2. ודאו כי מתבצע: 
א. יישום נוהלי עבודה לתיוג מידע על ידי העובדים.
ב. אפיון סוגי המידע הקיימים בארגון.
ג. המשגת רמות הרגישות (נמוך, בינוני וגבוה).
ד. הוצאה/הכנסה של מידע לארגון ביחס לרמת הסיווג ורגישות יעד ההגנה/ארגון היעד.
ה. אפיון סוגי מדיות הקיימות בארגון.
3. ודאו באופן מדגמי כי הטיפול בכל אחד מסיווגי המידע מבוצע כראוי.
4. ודאו כי נעשה שימוש באמצעים טכנולוגיים לצורך ביקורת על הסיווגים הנבחרים, ואימות של התאמתם למדיניות הארגון ותוכן המסמכים.
5. ודאו באופן מדגמי כי דרישות האבטחה מוחלות בפועל, וכי תהליך הורדה או העלאה של סיווג מתבצע באופן שלא ניתן לעקיפה על ידי אדם או מכונה.
6. ודאו באופן מדגמי כי מערך הניטור מסוגל לגלות בזמן אמת ובדיעבד ניסיונות להורדת סיווג שלא בהתאם לתהליך הארגוני המאושר.
7. ודאו באופן מדגמי כי יעדי ההגנה מאחסנים מידע בהתאם לרמת הסיווג המותרת. 
8. ודאו באופן מדגמי עדכניות של תיוג המידע, רשומה דיגיטלית, רשומת פיזית ומדיה.
9. ודאו באופן מדגמי כי לכל מידע, רשומה דיגיטלית, רשומת פיזית ומדיה מוצמד מספר גרסה יחודי המתעדכן בהתאם לשינויים בתכולה. 
</t>
  </si>
  <si>
    <t>11. הארגון וידא כי תהליך מחיקת מידע שפג תוקפו/היסטורי (Data Retention) מתבצע באופן ידני בשילוב כלי תומך החלטה ממוכן.
12. הארגון וידא כי הוא בודק את אפקטיביות בקרות ההגנה, לרבות המידור, אחת לחצי שנה לפחות.
13. הארגון וידא כי לכל מידע, רשומה דיגיטלית, רשומת פיזית ומדיה מוצמד מספר גרסה יחודי המתעדכן בהתאם לשינויים בתכולה.</t>
  </si>
  <si>
    <t>14. הארגון וידא כי משתמש היוצר מסמך חדש מקבל הצעה לסיווגו באמצעות מערכת מרכזית תומכת החלטה (דוגמת כלי מבוסס NLP או פתרונות Document Security), וכי המשתמש מוסמך לשנות את ההמלצה בהתאם לסיווגים הארגוניים הרשמיים ולתבחינים והקריטריונים הארגוניים.
15. הארגון וידע כי יצירה של מסמך חדש אפשרית רק במקום הלוגי שהוגדר. דוגמה ליישום: מניעת אפשרות של משתמש לשמור קבצים בעמדת העבודה, ואכיפה המוודאת כי תוכנת כתיבת המסמכים שומרת את הקבצים בנתיב שהוגדר כברירת מחדל. 
16. הארגון וידא כי התיוג (Label) הוא חלק מובנה במסמך (לרבות קבצים לא מובנים, דוגמת txt), ונשמר לכל אורך חייו ללא קשר למיקומו הפיזי/הלוגי. יש לוודא גם כי לא ניתן להסיר/לשנות את התיוג ללא השלמת תהליך ארגוני מאושר בהצלחה.
17. הארגון וידא כי תהליך מחיקת מידע שפג תוקפו/היסטורי (Data Retention) מתבצע באופן ידני בשילוב כלי תומך החלטה ממוכן, וכי המחיקה מחייבת אישור של שני מורשים בלתי תלויים (Two Controls).
18. הארגון וידא כי גם אם יש למשתמש הרשאות גישה מלאות למידע, הוא לא יוכל לבצע מחיקה של מידע בתקופה שהוגדרה לשימורו (Data Retention).
19. הארגון וידא כי הטמיע תהליכי בקרה ידניים המשלבים טכנולוגיה וגורם מוסמך.
20. הארגון וידא כי הוא בודק את אפקטיביות בקרות ההגנה, לרבות המידור, אחת לרבעון לפחות.</t>
  </si>
  <si>
    <t>21. הארגון וידא כי משתמש היוצר מסמך חדש מקבל הצעה לסיווגו באמצעות מערכת מרכזית תומכת החלטה (דוגמת כלי מבוסס NLP), וכי המשתמש אינו מוסמך להחליט על סיווג נמוך יותר ללא קבלת אישור ממנהלו הישיר.
22. הארגון וידא כי הטמיע תהליך עבודה ממוכן המבוסס על ניהול זרימת עבודה (Workflow) לביצוע תהליכים תומכים, דוגמת חריגה מהמלצות המערכת המרכזית תומכת ההחלטה לסיווג מסמך חדש, או הסרה/שינוי סיווג של המסמך.
23. הארגון וידא כי הטמיע תהליכי בקרה טכנולוגיים לאיתור טעויות בסיווג. דוגמה ליישום: שימוש באמצעי ממוכן שבוחן מדי לילה את המסמכים ברשת הארגון, מזהה את ההקשר (Context) ומילות המפתח ביחס לקריטריונים ותבחינים ארגוניים, ומספק המלצות לטיוב.
24. הארגון וידא כי גם אם יש למשתמש הרשאות ניהול מלאות ברשת הארגון (דוגמת Administrator/Root), הוא לא יוכל לבצע מחיקה או שינוי של מידע בתקופה אשר הוגדרה לשימורו (Data Retention).</t>
  </si>
  <si>
    <t>1. יש לוודא כי מדיניות הארגון לסיווג המידע, רשומה דיגיטלית, רשומה פיזית ומדיה כוללת: רמות סיווג למידע שאינו ביטחוני; קריטריונים ותבחינים לקביעת רמת הסיווג; שיטות עבודה לביצוע הסיווג; ודרכי בקרה לווידוא עדכניות והתאמת הסיווג של המסמך לדרישות החוק, הרגולציה, דרישות חוזיות וצרכים עסקיים.
2. יש לפנות לבקרת "מניעת דלף מידע".
3. יש לפנות לבקרת "הלבנה".
4. יש לפנות לבקרת "השחרה".
5. לשם מימוש הסיווג נהוג להשתמש ב-DRM או באמצעי ממוכן אחר.
6. יש לוודא כי הארגון מינה ממונה מאגרי מידע בהתאם לדרישות החוק והרגולציה.
7. יש לוודא כי הארגון מממש עקרונות מקובלים, דוגמת מתן גישה בהתאם לצורך לדעת (Need to Know), הגבלת הרשאות גישה והגבלת הרשאות שימוש.
8. לשם מיפוי וסיווג נכון של מסמכים אפשר להשתמש בכלים ממוכנים תומכי החלטה, למשל כאלה העושים שימוש ב-NLP (Natural Language Processing).
9. יש לוודא כי הארגון הגדיר מדיניות לגבי מידע היוצא ממנו ונכנס אליו.
10. יש לוודא כי הארגון תייג את המדיה בהתאם לרמת סיווג המידע המוכל בה, וכן ציין את אופן הטיפול במדיה בהתייחס להיבטי אבטחת מידע שלה והגבלת ההפצה שלה.
11. יש לוודא כי הארגון תייג את המדיה בהתאם לרמת סיווג המידע המוכל בה, וכן ציין את אופן הטיפול במדיה בהתייחס להיבטי אבטחת מידע שלה והגבלת ההפצה שלה.</t>
  </si>
  <si>
    <t>2. הארגון וידא כי הוא הטמיע תהליכי עבודה להגנה על המידע המאוחסן במשאבים ארגוניים, תוך החלת הדרישות הבאות:
א. הארגון וידא כי חסם את האפשרות לבצע שיתוף קבצים באינטרנט באמצעות ממשקי שיתוף קבצים ו-P2P מקובלים. דוגמה ליישום: שימוש ב-CASB או בפתרון מקביל.
3. הארגון וידא כי הפעיל יכולות הגנה מפני דלף מידע בנתיבים קריטיים, לרבות:
א. הארגון וידא כי הגביל העברת מידע בהתאם לDenylist של מילות מפתח, רמת סיווג/תגיות, מילון מושגים וכו'. בכלל זה, יש לוודא תמיכה בשפות שונות (כולל Unicode ו-ANSI לגרסאותיהם השונות).
ב. הארגון וידא כי הגביל העברת מידע בהתאם לערך ה-Hash + Fuzzy Hash של כל תוכן המסמך שאסור להוציאו.
ג.  הארגון וידא כי הגביל העברת מידע בהתאם לערך ה-Hash + Fuzzy Hash של תוכן הנגזר ממסמך שאסור להוציאו.
ד.  הארגון וידא כי הגביל העברת מידע בהתאם ל-Metadate של הקובץ.
ה. הארגון וידא כי הגביל העברת מידע בהתאם לזהות הנמענים.
ו.  הארגון וידא כי הטמיע תהליך שבו המשתמש מקבל התרעה ונדרש לאשרה לפני כל שליחת הודעת דוא"ל המכיל מידע רגיש/חסוי (מלל/צרופה) לגורם חיצוני.</t>
  </si>
  <si>
    <t xml:space="preserve">6. הארגון וידא כי ההנהלה אישרה אחת לשנה את המדיניות הארגונית ונוהלי העבודה לשימוש בענן, וזאת תוך התייחסות לנושאים מקובלים:
א. פרופיל הסיכונים (Risk Profile) בעת עבודה עם ספק הענן.
ב. שיקולים לבחירה במודל פריסה (דוגמת Native, Hybrid).
ג. שיקולים לבחירה במודל שירות (דוגמת SaaS, PaaS, IaaS, Colocation).
ד. שיקולים לבחירה בספק ענן מסוים.
ה. שיקולים להחלפת ספק קיים.
ו. שיקולים לחזרה לעבודה מקומית (On-Premise).
ז. שיקולים להעברת יעד הגנה/תהליך עסקי/מידע לספק ענן.
ח. חלוקת האחריות בין ספק הענן לבין הארגון (Shared Responsibility) בנושא הגנת מידע וסייבר. במקרה שספק ה-SaaS\PaaS מאחסן את התשתית שלו בספק ענן אחר, יש לנתח את משמעויות הדבר, לרבות חלוקת האחריות המשותפת (Shared Responsibility Model) בין שלושת הגורמים בתהליך.
ט. קיומו של בידול לוגי בין דיירים (Tenants) החולקים משאבים משותפים.
י. קיומו של בידול פיזי בין דיירים (Tenants).
יא. עמידה בדרישות חוקיות, רגולטוריות, חוזיות ועסקיות בנושא הגנת מידע וסייבר (דוגמת איסור להעביר מידע רגיש/אישי לאתר מסוים בחו"ל).
יב. יעדי הגנה/תהליכים המותרים לשימוש בענן.
יג. רמות שירות מצופות (SLA) מספק הענן.
יד. ניהול תצורה (System Configurations).
טו. גיבויים והמשכיות עסקית.
טז. הפרדת סביבות (פיתוח, בדיקות, קדם-ייצור וייצור).
יז. שיטות ואמצעים להבטחת עמידת ספק הענן בדרישות הארגון.
יח. בקרות הגנה נדרשות ליישום.
יט. יכולת הארגון לקבל תמונה עדכנית של מצב האבטחה (Security Posture).
כ. התמודדות עם אירועי הגנת מידע וסייבר.
כא. סוגי ממשקים המותרים לשימוש לצורך הקישור בין ספק הענן לארגון.
כב. ניהול מפתחות קריפטוגרפיים בסביבת ענן, ושיקולים בעת עבודה ב-BYOK ו-HOYK וכד'.
כג. הצפנת המידע במנוחה (At Rest), בשינוע (In Transit) ובעת תהליך (In Processing), תוך וידוא כי יש בידול במימוש בין לקוח אחד לאחר, ובין אפליקציה של הארגון לאפליקציה אחרת שלו.
</t>
  </si>
  <si>
    <t xml:space="preserve">1. הארגון וידא כי ספק הענן עומד בהסמכות מקובלות בעולם הגנת המידע והסייבר, והפרטיות.
2. הארגון וידא כי הוא ביצע הטמעה בסביבת הענן בהתאם להמלצות מסמכי ה-Architecture Reference של ספק הענן.
3. הארגון וידא כי סיווג את ספק הענן כ"ספק מהותי" או "ספק לא מהותי" (שירותים שאינם קריטיים/רגישים). עבודה עם "ספק מהותי" תחייב אישור של הדירקטוריון. עבודה עם "ספק לא מהותי" תחייב אישור של ההנהלה לכל הפחות.
4. הארגון וידא כי הגדיר ויישם  מנגנוני בקרת גישה מתאימים לממשקי  הגישה לשירותי הענן,  בהתאם לאיומים ולחשיפות הרלוונטיים לכל ממשק.
5. הארגון וידא כי קיים מנגנון ניטור אבטחת מידע במטרה  לזהות אירועים סייבר בשירותי הענן.
</t>
  </si>
  <si>
    <t>7. הארגון וידא כי ההנהלה אישרה אחת לשנה את המדיניות הארגונית ואת נוהלי העבודה לשימוש בענן, וזאת תוך התייחסות לנושאים מקובלים:
א. העברת יעדי הגנה/תהליכים עסקיים קריטיים רלוונטיים לעבודה עם מספר ספקי ענן במקביל (Multicloud), כך שתקלה/כשל/אירוע הגנת מידע וסייבר באחד מהם לא ישפיעו באופן מהותי על הפעילות העסקית.
8. הארגון וידא כי מודל ההרשאות, ההיררכיה וניהול המשאבים (Resources) תואם באופן מלא להמלצות ספק הענן.</t>
  </si>
  <si>
    <t xml:space="preserve">5. הארגון וידא כי הוא מקבל באופן תקופתי דו"חות ביקורת מספק הענן, שחוברו באופן עצמאי או על ידי צד ג' בלתי תלוי. על הדו"חות לסקור את התהליכים התפעוליים והעסקיים שמתקיימים במסגרת ההסכם עם הספק, בדגש על:
א. אפקטיביות בקרות ההגנה.
ב. סקירת אירועי הגנת מידע וסייבר שהתרחשו.
ג.  מפת הדרכים (Roadmap) לשיפור יכולות הגנת המידע והסייבר.
6. הארגון וידא כי ספק שירותי הענן מיישם תהליכים של פיתוח מאובטח ומשלב  בדיקות אבטחת מידע בשלבי פיתוח ותחזוקה.
7. הארגון וידא כי ספק שירותי הענן מיישם  מנגנוני ניטור אבטחת מידע ומדווח לארגון על  אירועים חריגים.
</t>
  </si>
  <si>
    <t>8. הארגון וידא כי הוא נעזר במתווך לשירותי ענן (CASB - Cloud Access Security Broker) וברכיב ניטור מרכזי בענן (CSPM - Cloud Security Posture Management) לשם וידוא רציף כי ספק הענן עומד בהתחייבויות, וכי קיימת יכולת לבצע פעולות תיקון (Remediation) במקרה של חריגה.</t>
  </si>
  <si>
    <t>9. הארגון וידא כי הסכם ההתקשרות עם ספק שירותי הענן כולל התייחסות להיבטים הבאים (בנוסף לרמה הבסיסית):
א. קיומו של בידול פיזי בין דיירים (Tenants) החולקים משאבים קריטיים. דוגמה ליישום: הארגון יכול לבקש הקצאה של Hypervisors ייעודיים עבורו, כך שפעולות העיבוד יתבצעו ללא שיתוף זיכרון נדיף (RAM) בין דיירים (Tenants) שונים. הדבר מקטין את האפשרות לתקיפות סייבר כמו ערוץ-צד (Side-Channel) או Virtual Machine Escape.
ב. קיומו של נציג תמיכה אישי שאינו יושב במדינה עוינת למדינת ישראל.
ג.  קיומו של תהליך אסקלציה מהיר.
10. הארגון וידא כי לצורך פעילות מול ספק הענן הוא עשה שימוש בתשתית תקשורת יעודיית, שאינה חשופה לאינטרנט.</t>
  </si>
  <si>
    <t>1. הארגון וידא כי מחיקת מידע ביוזמת ספק הענן תתבצע רק לאחר קבלת אישור כתוב מהלקוח, ולא באופן חד-צדדי על ידי הספק.
2. הארגון וידא כי ספק הענן שומר את המידע בפורמט הניתן ליצוא/יבוא (Cloud Portability) בנוחות ובקלות, וכי הארגון מתרגל באופן תקופתי יצוא/יבוא של המידע שברשותו.
3. הארגון וידא כי ספק הענן נדרש לשמור את המידע לתקופה סבירה מסיום ההתקשרות עמו (למשל, שלושה חודשים), כך שהארגון יוכל לעשות בו שימוש בעת הצורך.
4. הארגון וידא כי המידע מאוחסן ומעובד במתחמים פיזיים המורשים לכך, וזאת בהתאם לדרישות החוקיות, הרגולטוריות, החוזיות והעסקיות. 
5. הארגון ביצע מחיקה יזומה של המידע בסיום ההתקשרות, תוך שימוש באמצעים שמציע ספק הענן והעומדים בדרישות בקרת הגריטה/הגריסה.
6. הארגון וידא כי הוא מחיל מדיניות מרכזית לגבי ספק שירותי הענן, אשר קובעת את המיקום הפיזי/לוגי של יעדי ההגנה (לרבות המידע) ומאפייניהם.  
7. הארגון וידא כי קיימת הפרדה לוגית בשירות הענן למערכות, רשתות ועוד, כך שיתקיימו התנאים הבאים:
א. יש הפרדה מלאה בין לקוחות שונים על אותו שירות ענן.
ב. יש הפרדה מלאה בין משאבים המוקצים ללקוחות על ידי ספק הענן.
8. הארגון וידא כי הוא עשה שימוש ב-Tag-Based Access Control (TBAC) לשם הגנה מיטבית על-יעדי ההגנה והמידע.
9. הארגון וידא כי בדק באופן עתי כי לא מועברים לשירותי הענן נתונים אשר על פי דרישות החקיקה, הרגולציה, דרישות חוזיות וצרכים עסקיים של הארגון אסור להעבירם.</t>
  </si>
  <si>
    <t>10. הארגון וידא כי ביכולתו לבצע חזרה לאחור (Rollback) לנקודת זמן ספציפית של גרסת מידע, וזאת ללא צורך בשימוש בגיבוי ובהתאם למדדים מקובלים.
11. הארגון וידא כי גם אם גורם לא מורשה קיבל שליטה מלאה על ה-Subscription Account\Tenant, אותו גורם לא יוכל לפגוע בזמינות, מהימנות, שלמות וסודיות המידע המאוחסן בגיבוי.
12. הארגון וידא כי גם אם גורם לא מורשה קיבל שליטה מלאה על ה-Cross-account access, אותו גורם לא יוכל לפגוע בזמינות, מהימנות, שלמות וסודיות המידע המאוחסן בגיבוי.</t>
  </si>
  <si>
    <t>13. הארגון וידא כי במקרה הצורך מסוגל ספק הענן להמציא לו, במסגרת זמן מוגדרת (SLA), העתק של המידע הארגוני בהתקן אחסון חומרתי מתאים אשר מאפשר עבודה מקומית (On-Promises) או העתקה לספק ענן אחר.
14. הארגון ביצע מחיקה יזומה של המידע (בדגש על סיום ההתקשרות) בתהליך דו-שלבי:
א.  תחילה מוצפן המידע באמצעות אלגוריתמים קריפטוגרפיים עדכניים ומקובלים, כאשר מפתחות ההצפנה ותהליך העיבוד מתבצעים בצד הארגון בלבד (Crypto Shredding).
ב. לאחר מכן מתבצע תהליך המחיקה על ידי שימוש באמצעים שמציע ספק הענן והעומדים בדרישות בקרת הגריטה/הגריסה, לרבות השמדת המפתחות.
15. הארגון וידא כי תהליך העתקה/שעתוק של מידע בין Subscription Accounts/אתרים אשר ברשותו אינו מתבצע על תווך האינטרנט, וזאת תוך שמירה על סודיות, זמינות, מהימנות ושלמות המידע.
16. הארגון וידא כי הוא עשה שימוש במנגנון טכנולוגי המאפשר פיצול של המידע המאוחסן בין שרתי אחסון שונים, וזאת במטרה להקשות על תוקף בהשגת המידע בשלמותו. דוגמה ליישום: שימוש במנגנון Secure-Split-Merge (SSM)</t>
  </si>
  <si>
    <t>17. הארגון וידא כי תהליך העתקה/שעתוק מידע בין ספקי ענן שונים אינו מתבצע על תווך האינטרנט, וזאת תוך שמירה על סודיות, זמינות, מהימנות ושלמות המידע.
18. הארגון וידא כי תשתית ספק הענן מממשת עקרונות Confidential Computing מקובלים, כך שכל Process זוכה להפרדה לוגית מלאה באמצעות שימוש בהצפנה סטנדרטית ועדכנית.</t>
  </si>
  <si>
    <t>1. ודאו כי תוכנית המשכיות העסקית של הארגון כוללת מענה למצב שבו אין יכולת גישה לשרותי הענן.
2. ודאו כי ברשות ספק הענן תוכנית המשכיות עסקית, וכי המדדים של התוכנית עונים לדרישות הארגון.
3. ודאו כי מחזור החיים של ניהול המידע אצל ספק הענן עונה לדרישות הארגון.
4. ודאו כי ספק הענן מספק לארגון כלים לשליטה ובקרה על המידע (Data Governance).
5. ודאו כי הארגון עושה שימוש בפתרון DRM להגנה על מידע.
6. ודאו כי המידע בענן מוצפן בכל מחזור החיים (אחסון, שינוע ועיבוד).
7. ודאו כי תשתית ספק הענן מממשת עקרונות מקובלים ל-Confidential Computing.
8. ודאו כי הארגון עושה שימוש בכלי שו"ב של ספק הענן לבחינת מצב האבטחה.
9. ודאו כי ברשות הארגון שירות הבודק באופן רציף כי מידע רגיש/חסוי לא דלף ממנו לאינטרנט/Dark web.
10. ודאו כי ברשות הארגון מפה המציגה את המידע הארגוני לפי המיקום הפיזי והלוגי שלו, ומתעדכנת בזמן אמת תוך ביצוע חיתוכים בהתאם לצורך (סיווג מידע, זהות המשתמש היוצר וכו').
11. ודאו כי ממשקי הניהול (API, Web וכו') של סביבת הענן מממשים עקרונות הגנה מקובלים. 
12. ודאו באופן מדגמי כי סביבת הענן אינה חשופה לאיומים אופייניים לסביבה מסוג זו, כמו Golden SAML.
13. יש לתת את הדעת על ההשלכות החוקיות, הרגולוטוריות, החוזיות והצרכים הנגזרים מהעברת מידע לחו"ל.
14. ודאו כי לספק השירות יש תהליך סדור להפרדת לקוחות מקבילים ובידוד שירותים.
15. ודאו כי לספק השירות יש תהליך סדור לפיקוח על גישה של משתמשים שלו למידע של לקוחות.
16. ודאו כי מערך הניטור המרכזי מציג את הממצאים בהתאם ל-MITRE ATT&amp;CK בגרסתה העדכנית.
17.  ודאו כי הארגון עושה שימוש במערכת Cloud Native Application Protection Platform (CNAPP) הכוללת מודולי הגנה רלוונטיים (דוגמת CSPM, CWPP, KSPM,CIEM).
18. ודאו באופן מדגמי יישום אפקטיבי של Tag-Based Access Control (TBAC).
19. ודאו באופן חד-ערכי כי לא הועבר לענן מידע שחל איסור להעבירו.</t>
  </si>
  <si>
    <t>1. הארגון וידא כי הוא סיווג את רשתות התקשוב בהתאם לרמת האמון (Trust Level), תוך התייחסות לפרמטרים מקובלים, דוגמת:
א. רמת ההגנה הקיימת.
ב. סוג המידע, היקפו וסיווגו.
ג. היקף הפריסה הלוגית והפיזית של כל רשת.
ד. רמת המהימנות של העובדים/המשתמשים בכל רשת, ומספרם.
ה. רמת הקריטיות של הרשת ביחס לתהליכים עסקיים נתמכים.
2. הארגון וידא כי יישם בכל רשת בעלת רמת אמון שונה אמצעי לוגי לאכיפת גישה, או אמצעי סינון תעבורה, בהתאם לרשימת בקרת גישה (ACL – Access Control List). ראו בקרת "Firewall" להרחבה בנושא.
3. הארגון וידא כי הוא הגביל את מספר ערוצי התקשורת החיצוניים ליעד ההגנה למינימום הנדרש.
4. הארגון וידא כי הוא ניתב את התקשורת מתוך הארגון לרשתות חיצוניות דרך שרתי פרוקסי מאומתים ומנוהלים.
5. הארגון וידא כי הוא יישם בכל רשת בעלת רמת אמון שונה אמצעי לוגי לאכיפת וסינון תוכן ותעבורה, המספק מענה לאיומים הרלוונטיים.
6. הארגון וידא כי הוא החיל גישה בהתאם לעיקרון מתן הרשאות גישה נמוכות (least Privilege Access Principle).
7. הארגון וידא כי הגביל למינימום את מספר ערוצי התקשורת בין רשתות בעלות רמות אמון שונות.</t>
  </si>
  <si>
    <t xml:space="preserve">8. הארגון וידא כי לא ניתן יהיה לבצע הדלפה של מידע בעת העברתו מרשת בעלת רמת אמון גבוהה לרשת בעלת רמת אמון נמוכה יותר.
9. הארגון וידא כי מידע המועבר מרשת בעלת רמת אמון נמוכה לרשת בעלת רמת אמון גבוהה יותר אינו מכיל נוזקות. </t>
  </si>
  <si>
    <t>10.  הארגון וידא כי הוא יישם בכל רשת בעלת רמת אמון שונה שני אמצעים לוגיים/אמצעי סינון תעבורה בלתי תלויים לאכיפת גישה, בהתאם לרשימת בקרת גישה (ACL – Access Control List). דוגמה ליישום: Firewall של יצרנים שונים.
11. הארגון וידא כי הוא יישם אמצעי לסינון תוכן (ראו בקרות "הלבנה" ו"השחרה") לשם גילוי, זיהוי וסיכול נוזקות. יש לוודא כי בעת עבודה עם קבצים בעלי מבנה קבוע (דוגמת JSON\XML) מתבצעת בדיקת תוכן מול Allowlist. דוגמה ליישום: שימוש במערכת הלבנה עם XML Firewall.</t>
  </si>
  <si>
    <t>12. הארגון וידא כי הוא משתמש באמצעי אבטחה להעברת מידע באופן חד-כיווני, המיישם נתק גלווני מלא, לצורך תקשורת בין רשתות בעלות רמות אמון שונות. ראו הרחבה תחת "דגשים".
13. הארגון וידא כי הוא חתם דיגיטלית על כל מסר יוצא, כדי לוודא את שלמותו ומהימנותו, ולמנוע אפשרות להתכחשות (Non-Repudiation).</t>
  </si>
  <si>
    <t>1. ודאו כי הארכיטקטורה של הממשק עומדת בדרישות מקובלות.
2. ודאו כי הממשק עומד בדרישות ההגנה של בקרות רלוונטיות, דוגמת בקרות "הלבנה" ו"השחרה".
3. ודאו באמצעות צוות אדום כי לא ניתן לבצע מעקף של הממשק הקיים באמצעות חיבור רשתי עקיף או בדרך אחרת.
4. ודאו כי בעת העברת נוזקה בממשק, היא נחסמת - ומועברת התרעה לצוות ההגנה.
5. ודאו מימוש של מסנני תעבורה ותוכן, המספקים מענה לאיומים הרלוונטיים.
6.  ודאו כי מספר הממשקים בין רשת בעלת רמת אמון אחת לרשת בעלת רמת אמון שונה הוא נמוך ככל הניתן.
7.ודאו מימוש של יתירות בממשק, כך שכשל או אירוע סייבר לא יגרמו להשבתה שלו.
8. ודאו כי חוקת הגישה הקיימת אינה מקנה גישה חריגה/לא מורשית.
9. ודאו כי הארגון הגביל למינימום את מספר ערוצי התקשורת בין רשתות בעלות רמות אמון שונות.</t>
  </si>
  <si>
    <t xml:space="preserve">1. הארגון וידא כי מתבצעת סקירה תקופתית, שמטרתה לזהות הוראות מכוח החוק, הרגולציה, הדרישות החוזיות והצרכים העסקיים, אשר עוסקות בנושא חובות הארגון בהגנת מידע וסייבר.
2. הארגון וידא כי יש ברשותו מיפוי עדכני של החובות החלות עליו בהתאם לדרישות החוק, הרגולציה, הדרישות החוזיות והצרכים העסקיים, לרבות היבטי פרטיות. זאת בהתאם לתפקידו: גוף השולט בנתונים (Controller), אשר אמון על אופי הנתונים הנאספים ומטרתם; גוף שאחראי לעיבוד הנתונים (Processor); או היותו בעל תפקיד דואלי.
3. הארגון וידא כי ברשותו מיפוי עדכני של זכויות הקניין רוחני (Intellectual Property) של המידע ויעדי ההגנה אשר ברשותו, תוך התייחסות לחובות נגזרות. 
4. הארגון וידא כי סקר באופן את תהליכי המידע השונים תקופתית וזאת לצורך וידוא לעמידה בתקני אבטחה, מדיניות וכל דרישת אבטחת מידע.
</t>
  </si>
  <si>
    <t xml:space="preserve">8. הארגון וידא כי קיים מנגנון/תהליך ארגוני סדור לקבלת עדכונים ב"דחיפה" (Push) להוראות חדשות מכח החוק, הרגולציה, הדרישות החוזיות והצרכים העסקיים, אשר עוסקות בחובות הארגון בהגנת מידע וסייבר. לדוגמה: שכירת גורם חיצוני מתמחה אשר מספק עדכונים שוטפים.
9. הארגון וידא כי בעלי תפקיד רלוונטיים מקבלים סקירה תקופתית בנושאים רלוונטיים ומבצעים התאמות של מערכות ותהליכים ארגוניים בהתאם.
</t>
  </si>
  <si>
    <r>
      <t>5. הארגון וידא כי הוגדרה פונקציה ארגונית אשר אמונה על ביצוע בקרה זו כחלק מתפקידיה בארגון.
6. הארגון וידא כי בוצע ניתוח של חובותיו בנושאי הגנת מידע וסייבר, שנגזרו מהמיפוי לעיל.
7. מיפוי הדרישות והתקנות המחייבות את הארגון מאושר על ידי הגורם המשפטי המלווה את הארגון.</t>
    </r>
    <r>
      <rPr>
        <sz val="12"/>
        <color rgb="FF0070C0"/>
        <rFont val="Arial"/>
      </rPr>
      <t xml:space="preserve">
</t>
    </r>
    <r>
      <rPr>
        <sz val="12"/>
        <color theme="1"/>
        <rFont val="Arial"/>
      </rPr>
      <t xml:space="preserve">
</t>
    </r>
  </si>
  <si>
    <t>10. הארגון וידא כי הגורם האמון על הנושא מטעמו משתתף בקבוצות עבודה מקומיות ובינלאומיות העוסקות בהתפתחויות בעולם התקינה והרגולציה בסייבר.
11. הארגון וידא כי הוגדרה פונקציה ארגונית אשר אמונה על ביצוע בקרה זו</t>
  </si>
  <si>
    <t>1. ודאו כי ברשות הארגון מיפוי עדכני לשנה האחרונה, הכולל את הדרישות החוקיות, הרגולטוריות והחוזיות והצרכים העסקיים אליהם הארגון כפוף.
2. ודאו כי קיים בעל תפקיד האחראי לנושא המיפוי, וכי נושא זה מהווה חלק מכתב המינוי שלו.
3. ודאו כי קיים אישור כתוב מגורמי מקצוע (דוגמת יועץ משפטי וחשב חברה) לתקינות מיפוי הדרישות המוטלות על הארגון.
4. ודאו באופן מדגמי את יישום הדרישות במסמכי הארגון השונים (דוגמת מסמך מדיניות, נוהלי עבודה, הסכמי התקשרות עם שרשרת האספקה) ושגרת העבודה.
4. ודאו כי הארגון מקבל באופן רציף עדכונים על דרישות חוק ורגולציה חדשות, בין אם באמצעות שימוש בגורם צד-שלישי או גורם אחר.
5. ודאו באופן מדגמי כי לא קיים פער בין הדרישות בפועל לבין אלו שהארגון מיפה.
6. ודאו באופן מדגמי כי לא קיים פער בין הדרישות בפועל לבין אלו שהארגון יישם.
7. ודאו כי ברשות הארגון סקירה עדכנית של ההקשר העסקי (Context) בו הוא פועל, הכוללת התייחסות לאסטרטגיה הארגונית, לסביבה העסקית ולהשפעתה על הגנת המידע והסייבר.
8. ודאו כי ברשות הארגון רשימה עדכנית של בעלי עניין (Stockholders) פנימיים/חיצוניים אשר מושפעים או עשויים להיות מושפעים.
9. ודאו כי ברשות הארגון ממצאי סקר מהשנה האחרונה אשר בחן את רמת עמידת הארגון בדרישות החוק, הרגולציה, דרישות חוזיות וצרכים עסקיים.</t>
  </si>
  <si>
    <t>1. הארגון וידא כי סביבת ה-OT אינה יכולה לקבל גישה ישירה לרשתות ציבוריות, ולהפך - גם במקרים שבהם יש טעות/כשל בהגדרות התצורה (System Configuration) של מערך התקשוב.
2. הארגון וידא כי הוא הטמיע עדכוני אבטחה (פאצ'ים) בסביבת ה-OT ומערך האבטחה, וזאת בהתאם לתדירות המומלצת על ידי היצרן. יצוין כי פעמים רבות יש בציוד OT מספר קושחות (Firmware), ולכן יש להקפיד כי עדכוני האבטחה מוחלים על כולן.
3. הארגון וידא כי לא ניתן לחבר יעד הגנה שאינו בבעלות הארגון לסביבת ה-OT (דוגמת מחשב טכנאי חיצוני).
4. הארגון וידא כי הוא עושה שימוש בעקרונות מקובלים למניעת חבלה (Temper Resistant) וחשיפת חבלה (Tamper-Evident).
5. הארגון וידא כי הוא צמצם למינימום את יחסי התלות בין סביבות ה-OT וה-IT.
6. הארגון וידא כי התחזוקה של הבקר מתבצעת בהתאם להמלצות היצרן, וזאת על ידי גורם מוסמך ומורשה מטעמו.
7. הארגון וידא כי הפריד את רשתות הבקרה ממערכות אחרות ומרשתות חיצוניות.
8. הארגון וידא כיבין מערכת הניהול של בקרי ציוד תעשייתי ובין הרכיבים האופרטיביים של המערכת.
9. הארגון וידא כי לא חיבר התקנים/מכשירים שאינם בקרי סביבת ייצור לרשת בקרי הייצור.
10. הארגון וידא כי גישת ספקי תמיכה לרשת הייצור תאופשר בהרשאה מראש וכן באמצעות תקשורת מאובטחת, מזוהה ואשר מאפשרת רישום פעולות הספק.
11. הארגון וידא כי הגביל שירותים לא נחוצים בסביבת הייצור ובמערכות תומכות כגון ממשקי אדם-מכונה וחיישנים חכמים.
12. הארגון וידא כי השתמש בתקשורת אמינה בין ציודי הקצה לבקרים התעשייתיים במידת האפשר.
13. הארגון וידא כי רשתות אלחוטיות בסביבת הייצור הופרדו מרשתות אלחוטיות ארגוניות.
14. הארגון וידא כי הותקנו כלי ווידוא חתימות קבצים (Integrity Checking) לסריקת הקבצים המועברים לסביבת הניהול או אשר מותקנים בסביבת הניהול.
15. הארגון וידא כי כלי "נעילת תצורה" הותקנו על מערכות "סוף מחזור חיים" (Life Of End) ובהם מערכות הפעלה מיושנות.</t>
  </si>
  <si>
    <t>20. הארגון וידא כי הוא עושה שימוש בפרוטוקולי OT הכוללים יכולת אימות מקור ויעד (Authentication), מניעת התכחשות (Non-Repudiation), בדיקת שלמות ומהימנות (Integrity) של המידע, שמירה על סודיות (Confidentiality) ושמירה על רמת זמינות ידועה ומוגדרת (Availability). במקרה של מגבלה טכנולוגית או אחרת יש להציע פתרון חלופי המספק מענה אבטחתי זהה, דוגמת שימוש ב-IPSEC כבקרה מפצה.
21. הארגון וידא כי אין תלות בין סביבות ה-OT וה-IT, כך שבמקרה של תקלה/אירוע סייבר בסביבת ה-IT פעילות ה-OT תימשך ללא פגיעה ברציפות התפקודית.
22. הארגון וידא כי הוא משתמש באמצעים ממוכנים לבדיקת מהימנות ושלמות הקבצים (FIM - File Integrity checking) בכל מחזור החיים שלהם.
23. הארגון וידא כי הטמיע מערך תקשורת חד-כיווני ממערכות ייצור לציוד החישה.</t>
  </si>
  <si>
    <t>24. הארגון וידא כי הוא משתמש בתשתית תקשורת המציעה רמת זמינות ידועה ומוגדרת  (Availability), אשר עונה לצרכיו. דוגמה לכך היא תשתית תקשורת התומכת באופן מובנה בפרוטוקול PTP (Precision Time Protocol), ומאפשרת העברת שדרים בהתאם לדרישות התקן גם במקרה של עומסי תעבורה בסביבת ה-OT.
25. הארגון וידא כי לשם העברת מידע בין סביבת ה-OT לסביבות אחרות הוא עושה שימוש בבודל חד-כיווני היוצר נתק גלווני. יש לוודא כי בשגרה הבודל החד-כיווני אינו מאפשר העברת מידע באופן ידני.</t>
  </si>
  <si>
    <t>16. הארגון וידא כי הוא מונע אפשרות לחיבור מדיות נתיקות לא מורשות ליעדי ההגנה, לרבות בקרים, ממשקי אדם-מכונה וסנסורים. יש לוודא כי לסביבת ה-OT הוקצו מדיות נתיקות ייעודיות.
17. הארגון וידא כי קבצים מוכנסים לסביבת ה-OT רק לאחר השלמת תהליך הלבנה מוצלח על ידי גורם מורשה.
18. הארגון וידא כי יעדי הגנה רגישים (דוגמת תחנת מהנדס, עמדת מפעיל/ממשק אדם-מכונה/HMI) מוקשחים בהתאם לעקרונות מקובלים.
19. הארגון וידא כי הוא ביטל את השימוש בשירותים ופונקציונליות שאינם נחוצים לפעילות שוטפת של יעדי ההגנה.</t>
  </si>
  <si>
    <t>אבטחת רשת הטלפוניה בארגון:
10. הארגון וידא כי בעת קבלת SMS מתבצעות בדיקות קלט/פלט הולמות, לשם מניעת חדירה של נוזקה.
11. הארגון וידא כי הוא מחייב שימוש בפרוטוקולי איתות (Signaling) ושיחה קולית (Voice) הכוללים תמיכה ביכולות קריפטוגרפיה מקובלות ועדכניות, וכן יכולת זיהוי חד-ערכי של כל צד השותף לשיחה בתוך רשת הארגון. 
12. הארגון וידא כי משתמשים אינם מסוגלים לבצע שינויי הגדרות תצורה (Configuration Settings) במכשיר הטלפון עצמו.
13. הארגון וידא כי הוא מחיל מנגנוני הגנה מקובלים למניעת אחזור של מסרים ישנים (Replay Resistance).
אבטחת ממשק הקישור של המרכזייה לספק השירות:
14. הארגון וידא כי ארכיטקטורת מערך טלפוניה המאפשרת קישוריות ל-PRI כוללת שימוש באמצעי אבטחה ייעודיים לטלפוניית IP, אשר חוצצים בין מערך הטלפוניה ל-PRI. זאת, תוך החלת עקרונות אבטחה מקובלים (לרבות הגבלת סוג וגרסת הפרוטוקולים). דוגמה ליישום: ארכיטקטורה מקובלת - Session Border Controller (SBC) ו-NGFW + IPS המחוברים באופן טורי למערך הטלפוניה. 
15. הארגון וידא כי הקישור לספק השירות מחייב שימוש בפרוטוקולי איתות (Signaling) ושיחה קולית (Voice) הכוללים תמיכה ביכולות קריפטוגרפיה מקובלות ועדכניות, כך שהמידע לא יעבור באופן גלוי בתווך. בנוסף, יש לוודא כי קיימת יכולת לזיהוי חד-ערכי של ספק השירות והארגון.
16. הארגון וידא כי הוא מחיל מנגנוני הגנה מקובלים למניעת אחזור של מסרים ישנים (Replay Resistance).</t>
  </si>
  <si>
    <t>17. הארגון וידא כי לכל פרוטוקול מוגדרת ונאכפת רמת שירות מוגדרת וידועה (QoS), העונה לצורכי הארגון (דוגמת מתן תיעדוף לתעבורת VoIP). זאת, כדי למנוע עומס רשת (Network congestion) ופגיעה בחוויית לקוח (דוגמת ריצוד - Jitter). יש לוודא כי הדרישה מוחלת ברשת הארגון הפנימית ומול רשתות ציבוריות (לדוגמה: קווי התקשורת עם ספק שירות חיצוני).  ככלל, יש לוודא כי ה-Latency הממוצע אינו עולה על 120ms, ואילו הריצוד הממוצע אינו עולה על 20ms.
18. הארגון וידא כי פרוטוקולי האיתות (Signaling) והשיחה הקולית (Voice) עושים שימוש בחתימה דיגיטלית (Digital Signature) על המסרים (או בתהליך אחר), כדי לוודא את מקוריות המידע ומניעת התכחשות (Non-Repudiation).
אבטחת רשת הטלפוניה בארגון:
19. הארגון וידא כי הוא משתמש באמצעים מקובלים ועדכניים להתמודדות עם עומס חריג של שיחות (TDOS) פנים/חוץ. דוגמה ליישום: הגבלת מספר השיחות בזמן נתון באמצעות ה-SBC, והעברת שיחות למוקד הודעות.
20. הארגון וידא כי כל שינוי של ה-Dial Routing הראשי (ביציאה לעולם) מחייב אישור סימולטני של שני מורשים (Two Control). 
21. הארגון וידא כי מתבצע אימות חד-ערכי של מכשיר הטלפון לפני מתן גישה לרשת התקשורת של מערך הטלפוניה. דוגמה ליישום: שימוש במכשיר טלפון הכולל תמיכה ב-802.1x, אימות מבוסס תעודות דיגיטליות (Digital Certificate) ועבודה עם NAC.
22. הארגון וידא כי אם מערך הטלפוניה אינו זמין, יש ערוצי תקשורת חלופיים/ממשקי עבודה חלופיים אשר מאפשרים שמירה על רציפות תפקודית.
23. הארגון וידא כי ארכיטקטורת מערך הטלפוניה, המאפשרת גישה משתמשים מהאינטרנט, כוללת שימוש באמצעי אבטחה ייעודיים לטלפוניית IP. אמצעים אלה חוצצים בין מערך הטלפוניה למשתמשים באינטרנט, תוך החלת עקרונות אבטחה מקובלים (לרבות הגבלת סוג וגרסת הפרוטוקולים). דוגמה ליישום: ארכיטקטורה מקובלת - WAF ו-NGFW + IPS המחוברים באופן טורי למערך הטלפוניה. 
אבטחת ממשק הקישור של המרכזייה לספק השירות:
24. הארגון וידא כי קיימת יתירות בתשתית התקשורת לספק השירות (דוגמת PRI), כך שכשל בקו/ציוד לא יגרור השבתה של מערך הטלפוניה.
25. הארגון וידא כי תשתית התקשורת לספק השירות (דוגמת PRI) אינה עוברת בתווך ציבורי הנגיש ללקוחות/אנשים אחרים (דוגמת האינטרנט). דוגמה למימוש: שימוש בתשתית MPLS לקישור עם ספק השירות.</t>
  </si>
  <si>
    <t>אבטחת רשת הטלפוניה בארגון:
26. הארגון וידא כי הוא ביטל את התמיכה במנגנון תרגום מסרונים (SMS) שמקורם מחוץ לחצרות הארגון להודעה קולית או לתצוגה על מסך מכשיר הטלפון הנייח. 
27. הארגון וידא כי הוא ביטל את האפשרות לשנות מרחוק הגדרות תצורה/קונפיגורציה לטלפון IP. 
28. הארגון וידא כי הוא ביטל את האפשרות לגשת לתא קולי באמצעות שיחות שמקורן מחוץ לחצרות הארגון. 
29. הארגון וידא כי הוא הטמיע אמצעים לקיבוע הטלפון הנייח, כך שלא יהיה ניתן להזיזו ממיקומו המוגדר במתחם העבודה.
30. הארגון וידא כי שיחות רגישות/חסויות לא מתקיימות במתחמי העבודה כאשר מכשירי הטלפון פעילים.
31. הארגון וידא כי יש הפרדה לוגית ופיזית בין תעבורת מערך הטלפוניה לבין תעבורת מערך התקשוב. דוגמה ליישום: שימוש בתשתית פיזית ייעודית לתעבורת הטלפוניה.
32. הארגון וידא כי אם מערך הסלולר ומערך הטלפוניה אינם זמינים, יש ערוצי תקשורת חלופיים שהוא יכול לבצע באמצעותם פעולות שוטפות.
33. הארגון וידא כי נעשה אימות הדדי (MTLS - Mutual Transport Layer Security)  בין הרכיבים השונים של מערך הטלפוניה, וזאת על בסיס שימוש בתעודות דיגיטליות (Digital Certificates).</t>
  </si>
  <si>
    <t>1. הארגון וידא כי בוצע תהליך הערכת סיכונים, תוך ניתוח תרחישי תקיפה רלוונטיים על מערך הטלפוניה.
אבטחת רשת הטלפוניה בארגון:
2. הארגון וידא כי יש הפרדה לוגית בין תעבורת מערך הטלפוניה לבין תעבורת מערך התקשוב הרגיל. 
3. הארגון וידא ביטול פונקציונליות שאינה נדרשת. לדוגמה: שימוש בתא קולי.
4. הארגון וידא כי הוא לא נסמך על Caller ID לשם ביצוע פעולות מהותיות, דוגמת זיהוי חד-ערכי של לקוח או מתן גישה למתחם פיזי או מוקד שירות טלפוני.
5. הארגון וידא כי ה-VLAN המוקצה ליעדי ההגנה אינו Native VLAN, וכי העברת תעבורת ה-Native VLAN מחייב ביצוע תיוג (Tag) במבוא ה-Trunk, וחבילות מידע ללא תיוג מושמטות.
6. הארגון וידא כי רק גורמים מורשים יכולים לקבל גישה להגדרות תצורה (Configurations Settings), וכי קבצים דוגמת הגדרות תצורה ועדכונים, שהטלפונים מושכים משרת הניהול, צריכים להיות במצב קריאה בלבד (Read Only).
7. הארגון וידא כי רק גורמים מורשים יכולים לקבל גישה להגדרות תצורה (Configurations Settings) של שרתי ה-DNS/DHCP אשר משרתים את מערך הטלפוניה.
8. הארגון וידא כי יש התאמה בין ערך הזמן והתאריך של מערך הניהול במערך הטלפוניה לבין הערך בטלפונים. 
9. הארגון וידא כי יישם מדיניות להגנה או הגבלת שיחות טלפון המבוצעות באמצעות טלפוניה נייחת.</t>
  </si>
  <si>
    <t>1. הארגון וידא כי הוא אוכף את תנאי השימוש המקובלים (Accepted Use Policy) בטלפונים ניידים.
2. הארגון וידא כי הוא עושה שימוש בגרסה עדכנית של מערכת ההפעלה.
3. הארגון וידא כי הוא החיל עדכוני אבטחה באופן תקופתי, בהתאם להמלצות היצרן.
4. הארגון וידא כי לא בוצעו שינויים לא מקובלים במערכת ההפעלה (דוגמת Jail Break/Rooting).
5. הארגון וידא כיהוא הטמיע אמצעי אבטחה לגילוי, זיהוי, חסימה והסרה של נוזקות (יש לפנות לבקרת "מניעת קוד זדוני/נוזקות").
6. הארגון וידא כי הוא חסם את האפשרות להתקין במכשיר אפליקציות שמקורן בחנויות (Apps Store) בעלות רמות מהימנות נמוכה.
7. הארגון וידא כי מתבצעת הצפנת מידע במנוחה (At Rest). דוגמה ליישום: שימוש ב-FDE (Full Disk Encryption).
8. הארגון וידא כי קיימת הפרדה בין מידע הקשור לעבודה לבין מידע פרטי של המשתמש.
9. הארגון וידא כי בעת גישה לטלפון הנייד יש צורך לבצע פעולת אימות, כמו הקלדת סיסמה או סריקה ביומטרית.
10. הארגון וידא כי יישם מדיניות להגנה או הגבלת שיחות טלפון המבוצעות באמצעות טלפונים ניידים.</t>
  </si>
  <si>
    <t>11. הארגון וידא כי הוא משתמש במערכת שליטה ובקרה מרכזית לצורך החלת דרישות האבטחה על מכשירי הטלפון של המשתמשים בארגון.
12. הארגון וידא כי הוא יישם מדיניות עבור אורחים ועובדים במתחמי עבודה רגישים, שבהם יש להגביל את השימוש בטלפון הנייד. דוגמהות ליישום: 
א. אורחים יחויבו להצמיד לטלפון שלהם מדבקה הולוגרפית עם מספר רץ, המונעת יכולת לצלם במתחם העבודה. ביציאה יוודא נציג מטעם הארגון את שלמות המדבקה וכי לא הוסרה והודבקה מחדש.
ב. עובדים/אורחים יידרשו להפקיד את הטלפון הנייד אצל השומר בכניסה למתחם העבודה.
13. הארגון וידא כי ניתן לגשת מהטלפון לרשת הארגון רק באמצעות שרת מתווך, האוכף את מדיניות האבטחה.</t>
  </si>
  <si>
    <t>14. הארגון וידא כי בעת שהיה במתחמי העבודה המשתמשים אינם יכולים להפעיל בטלפון הנייד חיישנים, כגון מצלמה או מיקרופון.
15. הארגון וידא כי ברשותו יכולת מוכחת למחיקה מרחוק של מידע ארגוני מהמכשיר הנייד של המשתמש (Remote Wipe).
16. הארגון וידא כי הוא מנע ממשתמשים את היכולת להתקין/להפעיל אפליקציות בעלות רמת מהימנות נמוכה.
17. הארגון וידא כי ברשותו יכולת מוכחת לביצוע איכון למיקום הפיזי של הטלפון הנייד. לפני החלת דרישה זו יש לוודא כי התקבל אישור מהיועץ המשפטי של הארגון.
18. הארגון וידא כי ברשותו יכולת מוכחת להסיר ב"זמן אמת" (Real Time) או לכל הפחות "קרוב לזמן אמת" (Near Real Time) אפליקציות שהוכרו בדיעבד כנוזקות.
19. הארגון וידא כי מכשירי הטלפון אינם עושים שימוש בתשתית תקשורת ישנה יותר מ-G4.</t>
  </si>
  <si>
    <t>20. הארגון וידא כי משתמשים יכולים להתקין/להפעיל רק אפליקציות המופיעות ב-Allowlist.
21. הארגון וידא כי ברשותו יכולת מוכחת להסיר ב"זמן אמת" (Real Time) אפליקציות שהוכרו בדיעבד כנוזקות.
22. הארגון וידא כי מכשירי טלפון ניידים אינם מוכנסים למתחמי עבודה שבהם מתקיימים דיונים רגישים, כגון פגישת הנהלה לגבי נושאים אסטרטגיים או מאזני חברה/דו"ח כספי והנפקות. יש לוודא כי מכשירי הטלפון מאוחסנים בתאים המבצעים חסימה של שדרי RF, כך שהם לא יוכלו לתקשר עם העולם או עם מכשירים המאוחסנים בתאים אחרים.</t>
  </si>
  <si>
    <t>הארגון וידא כי מערך ההגנה של רשת ה-OT כולל גם אמצעי אבטחה מקובלים להגנה על תשתית ה-IT. יש להתייחס לנושאים הבאים:
1. הבנת הפונקציונליות העסקית/התפעולית, יחסי התלות עם נכסי סייבר שונים (לרבות אלו הממוקמים בסביבת ה-IT) והצרכים הנגזרים.
2. החלת עקרונות גידור רשתי (Network Segregation) וקיטוע רשתי (Network Segmentation/Network Isolation) בהתאם לפונקציונליות של רכיבי מערך ה-OT. דוגמה למימוש: PERA (Purdue Enterprise Reference Architecture) בשילוב Micro-Segmentation.
3. אינטגרציה עם מערכות משיקות, דוגמת ERP\PLM.
4. היבטי ניטור סייבר ייחודיים, דוגמת:
א. ניטור תשתית תקשורת אנלוגית.
ב. התאמת אמצעי האבטחה לגילוי וזיהוי איומים בפרוטוקולי תקשורת ישנים.
ג. שימוש בשיטות ניטור פסיביות.
5. היבטי הזדהות ייחודיים בממשק ניהול מערך הייצור והבקרה (דוגמת HMI).
6. היבטים ייחודיים באבטחה הפיזית של רכיבי מערך הייצור והבקרה (דוגמת מניעת גישה לממשקי תחזוקה/ Debug של מכונות הייצור).
7. היבטים ייחודיים של תמיכה מרחוק (דוגמת ביצוע פעולות תחזוקה 7\24 על ידי יצרן מחו"ל).
8. שמירה על עקרון האדם בתהליך (Man in the Loop).
9. היבטי בטיחות ייחודים (דוגמת מרחקי ביטחון, פריקת לחץ מריאקטור בחירום/אירוע סייבר).
10. שימוש בסימונים/תשתית תקשורת שונה (דוגמת מחברי רשת שונים) לשם מניעת חיבור יעדי הגנה לא מורשים לרשת ה-IT/OT עקב טעות אנוש.
11. הארגון וידא כי קיים מערך יתירות לרכיבים קריטיים בסביבת הייצור.</t>
  </si>
  <si>
    <t>הארגון וידא כי מערך ההגנה של רשת ה-OT כולל גם אמצעי אבטחה מקובלים להגנה על תשתית ה-IT. יש להתייחס לנושאים הבאים:
12. מניעת שימוש בנכסי סייבר ששירתו את סביבת ה-IT בסביבת ה-OT. דוגמה ליישום: הארגון יקצה התקני אחסון (דוגמת DOK) ייעודיים לסביבת ה-OT.
13. העדפה לרכישה של נכסי סייבר העומדים בסטנדרטים מקובלים בעולם ה-OT, דוגמת ISA/IEC 62443 ו-UL 2900.
14. ניתוק פיזי (עדיף) / לוגי בשגרה של עמדות עבודה רגישות (דוגמת עמדת המהנדס) מרשת ה-OT. לכל הפחות, יש לתת לעמדות אלו הרשאות נמוכות, כך שגם אם תוקף יקבל אליהן גישה מלאה הוא לא יוכל לבצע שינויים בסביבת הייצור והבקרה.
15. במקרה של שימוש בענן הארגון וידא כי:
א. תהליך הייצור והבקרה ימשיך לפעול כרגיל גם במקרה של נתק מספק שירותי הענן.
ב. סביבה הענן אינה מסוגלת לבצע שינויים בהגדרות האבטחה בסביבת הייצור והבקרה המקומית (On-Premises).
16. הארגון רוכש את ציוד ה-OT ישירות מהיצרן או מספק מורשה מטעמו.
17. הארגון מקבל תמיכה לציוד ה-OT ישירות מהיצרן או מגורם תמיכה מורשה מטעמו.</t>
  </si>
  <si>
    <t>הארגון וידא כי מערך ההגנה של רשת ה-OT כולל גם אמצעי אבטחה מקובלים להגנה על תשתית ה-IT. יש להתייחס לנושאים הבאים:
18. צמצום למינימום האפשרי / בהתאם לצורך תפעולי ממשי של השימוש בפונקציונליות הקשורה לקביעת הגדרות תצורה אוטומטיות לפרוטוקולים מסוג Machine-to-Machine (M2M) communication.
19. קיומו של ניהול מרכזי להגדרות תצורה למערך הייצור והבקרה, כך שלא יהיה ניתן לבצע שינוי בהתקני הקצה עצמם. כמו כן, במקרה של צורך בביצוע שינויים מרחוק, הארגון הטמיע בקרה מפצה המאפשרת וידוא מקדים כי הפעולה אכן מאושרת ליישום. לאחר היישום יש לבחון את תקינות החלת ההגדרות החדשות, ולוודא כי אין הגדרות חדשות או גריעה של הגדרות קיימות שלא בהתאם למתווה שאושר במקור.
20. הארגון משתמש במכשירי מדידה המבוססים על טכנולוגיה שונה ובלתי תלויה לצורך מדידת פרמטרים בעבודה (דוגמת לחץ, חום וזמן) ולזיהוי אנומליה.</t>
  </si>
  <si>
    <t>הארגון וידא כי מערך ההגנה של רשת ה-OT כולל גם אמצעי אבטחה מקובלים להגנה על תשתית ה-IT. יש להתייחס לנושאים הבאים:
21. קיומה של יכולת לקריאת ערכים (אנלוגיים ודיגיטליים) ולמדידת שינויים מהסנסורים והמפעילים (Actuators) [Produce model level 0] באופן שמנותק לחלוטין מהרשת התפעולית (Out of Band), לא תלוי בה ולא מושפע ממנה.  
22. הארגון משתמש באמצעי הגנה של יצרנים שונים להשגת אותה פונקציונליות אבטחתית, וזאת תוך בחינת ההתאמה בין ממצאי אמצעי ההגנה.</t>
  </si>
  <si>
    <t xml:space="preserve">7. הארגון וידא כי הוא החיל מידור רשתי בין יעדי הגנה הנמצאים באותה רשת - VLAN\Segment (East-West ,Traffic) וזאת באמצעות הפעלת רכיב טכנולוגי בציוד התקשורת המשותף ליעדי ההגנה (דוגמת הפעלת מנגנון Micro-Segmentation), הכולל:
א. ניהול מרכזי.
ב. יכולת הקניית הרשאות גישה פרטניות (ברמת יעד הגנה ספציפי, אפליקציה ספציפית או חשבון משתמש ספציפי וכדומה).
ג. היעדר תלות בסוג התשתית הפיזית הקיימת בארגון.
ד. הגדרת Dynamic Tags לכל יעד הגנה, בהתאם להגדרות מנהל המערכת ומאפייני יעד ההגנה.
</t>
  </si>
  <si>
    <t>8. הארגון וידא כי חסם כל אפשרות לביצוע תקשורת בין יעדי הגנה הנמצאים באותה רשת - VLAN\Segment (East-West Traffic), וזאת באמצעות הפעלת רכיב טכנולוגי בציוד התקשורת המשותף ליעדי ההגנה, הכולל:
א. מניעת קיומה של חוקת גישה פעילה, אלא אם התקבל אישור מרכיב הניהול כי יעד ההגנה/המשתמש מורשה לגישה. דוגמה ליישום: שימוש ב-SDN המשתמש בפרוטוקול Open Flow.
ב. חוקת הגישה לא תישמר באופן קבוע ברכיב האכיפה, ותיבדק באופן תקופתי מול שרת הניהול.</t>
  </si>
  <si>
    <t xml:space="preserve">3. הארגון וידא כי החיל מידור רשתי בין יעדי הגנה הנמצאים באותה רשת - VLAN\Segment (East-West Traffic),  וזאת באמצעות הפעלת רכיב טכנולוגי בציוד התקשורת המשותף ליעדי ההגנה. דוגמה ליישום: 
הפעלת מנגנון Private VLAN במתג התקשורת.
4. הארגון וידא כי לכל יעד הגנה יש אמצעי טכנולוגי עדכני המגלה, מזהה ומסכל פעילות זדונית בתווך התקשורתי, לרבות סיכול תנועה רוחבית (Lateral Movement). דוגמה ליישום: שימוש ב-HIPS.
5. הארגון וידא כי ביטל ביעדי ההגנה את התמיכה בפרוטוקולי Discovery שאינם חיוניים לעבודה שוטפת. דוגמהות לפרוטוקולים מסוג אלו: LLMNR, NBT-NS, mDNS and WPAD
6. הארגון וידא כי ביטל או הגביל ביעדי ההגנה את התמיכה בפרוטוקולי העברת פקודות. דוגמהות לפרוטוקולים מסוג אלו:
RDP, WinRM, WMIC, SSH, 
</t>
  </si>
  <si>
    <t xml:space="preserve">1. ודאו באופן מדגמי כי לא ניתן לבצע תקשורת חריגה בין יעדי הגנה המשתמשים ברשת משותפת (VLAN/Segment)
2. ודאו כי חוקת הגישה הקיימת אינה מקנה גישה חריגה/לא מורשית.
3.ודאו כי כי הארגון מסוגל לנהל את חוקי הגישה ממקום מרכזי, וכן לקבל תמונת מצב בממשק אחוד.
4.ודאו באופן מדגמי כי מערך הניטור מצליח לגלות ולזהות ניסיונות תקשורת חריגה בין יעדי ההגנה.
5. ודאו כי לשם בחינת אפקטיביות ההגנה לאורך הזמן, הארגון משתמש בכלים ממוכנים, דוגמת BAS.
6. ודאו כי יעדי הגנה בעלי רמת סיכון או פונקציונליות שונה אינם חולקים אותו קיטוע רשתי (Network Segmentation/Network Isolation). 
7. ודאו באופן מדגמי כי לא נעשה שימוש בפרוטוקולי Discovery שאינם נדרשים לעבודה שוטפת. במקרה של שימוש בפרוטוקולים עם פגיעות ידועה יש לוודא קיומה של בקרה מפצה אפקטיבית.
8. ודאו באופן מדגמי כי לא נעשה שימוש בפרוטוקולי העברת פקודות שאינם נדרשים לעבודה שוטפת. במקרה של שימוש בפרוטוקולים עם פגיעות ידועה יש לוודא קיומה של בקרה מפצה אפקטיבית.
</t>
  </si>
  <si>
    <t>1. יש למפות את דרישות החקיקה, הרגולציה והדרישות החוזיות והעסקיות בנושא PNT.
לדוגמה: MiFID II פרק RTS 25 (Level of accuracy of business clock) – שנחקק על ידי האיחוד האירופי קובע את רמת הדיוק המצופה משעון במערכות פיננסיות ועוד.
2. יש לפנות לבקרת "הנדסת מערכת (System Engineering)".
3. יש לפנות לבקרת "אמצעי רישום, אימות ואכיפת מדיניות ארגונית".
4. יש לפנות לבקרת "אבטחת רשתות אלחוטיות".
5. יש לפנות לבקרת "הגנה מפני דופק אלקטרומגנטי (דוא"מ)/EMP".
6. יש לפנות לבקרת "אדום/שחור".
7. יש לפנות לבקרת "הגנה על יעדי הגנה העושים שימוש בבינה מלאכותית (Artificial Intelligence)".
8. יש לוודא כי ממונה הבטיחות אישר את הפתרון הנבחר.
9. יש לוודא כי הארגון עושה שימוש ביכולות טכנולוגיות/פרוטוקולים עדכניים.
10. להלן דגשים בעת עבודה עם שעון זמן:
א. יש לשים לב לכך שתהליכים פיננסיים ותהליכי ייצור ובקרה עשויים להיות רגישים לחריגות בשעון הזמן.
ב. לשם גילוי וזיהוי אירועים במרחב הסייבר וביצוע תחקור בדיעבד, יש לוודא את תקינות ערך השעון ביעדי ההגנה.
ג. יש לבחון שימוש בשעון אטומי בעל סטייה נמוכה ביחס לערך השעון העולמי, וכן אפשרות לבצע סנכרון בתדירות נמוכה עם שעון זמן מוסמך בעולם.
ד. יש לוודא את נכונות הגדרות חוקי ה-FW, לשם מניעת גישה לא מורשית לארגון.
ה. יש להגביר את רמת הבקרה סמוך להחלפת שעון קיץ/חורף. 
ו. ניתן להשתמש בסנכרון זמן עם GNSS על בסיס שדרים חתומים דיגיטלית. עם זאת, הדבר עשוי לחייב את הארגון לחתום על הסכם ייצור עם ממשלה זרה, לרבות הסכמה לביקור במתחם הארגון כדי לבדוק אם הוא עומד בתנאי ההסכם. לאור זאת, במקרה של שימוש ב-GNSS מומלץ להתקין את שעון הזמן והציוד הנלווה בחדר ייעודי, כך שאם יתקיים ביקור חיצוני המבקרים לא יקבלו נגישות ליעדי הגנה אחרים בארגון.
11. להלן דגשים בעת עבודה עם מערכת חישה:
א. יש לבחון את דרישות החקיקה והרגולציה לפני רכישה והטמעה של מערכת חישה.
ב. יש לקבל אישור מקדים מהרגולטורים הרלוונטיים לפני רכישה והטמעה של מערכת חישה.
ג. יש לבצע סקרים תקופתיים לבחינת איכות הקליטה של אותות השידור ושל רעשי הרקע.
ד. יש להציע פתרון המספק מענה לאיומים שכיחים, דוגמת Mechanical/Electronic/Inadvertent Jamming, Deception
ה. יש להעדיף שילוב בין טכנולוגיית מערכת חישה מסורתית לטכנולוגיית מערכת חישה קוואנטית (Quantum Radar).
ו. לשם העלאת רמת החוסן יש לשלב בין יכולות של מערכות חישה אנלוגיות ודיגיטליות.
ז. לשם העלאת רמת החוסן יש לשלב בין יכולות של מערכות חישה פסיביות ואקטיביות.
ח. לשם העלאת רמת החוסן יש לשלב בין יכולות של מערכת חישה לבין אמצעים אחרים, דוגמת מצלמה אלקטרואופטית או חיישני שמע רגישים הפרוסים לאורך תוואי הפעילות.
ט. יש לספק בקרה מפצה למקרה של אי זמינות מערכת החישה עקב תחזוקה או תקיפה.
12. יש לוודא כי סוג הקיטוב (Polarization) של שדרי ה-RF שבהם נעשה שימוש אינו נחסם או משובש על ידי תנאי הסביבה וכו'. 
13. יש לוודא כי ברשות הארגון יכולת אפקטיבית לגלות ולזהות שידורי RF חריגים, תוך הכללת הפרמטרים הבאים:
Direction of arrival (DOA), frequency, modulation, received signal strength, and time.
14. להלן דוגמה לשיטות שכיחות לקביעת מיקום/ניווט:
א. GPS ו-INS (Inertial Navigation System) 
ב. GPS רגיל ו-GPS חתום דיגיטלית. 
ג. GPS ו-AGPS (Assisted GPS).
ד. GPS ואמצעי אנלוגי, דוגמת מצפן או ג'ירוסקופ חיצוני או ברומטר.
ה. DGNSS
15. להלן טכנולוגיות שכיחות לקבלת ערך שעון זמן:
א. ממשק סנכרון זמן מול העולם:
•  GNSS
• AGPS  
•  NTP  
ב. ממשק סנכרון זמן פנים ארגוני:
• NTP
• PTP 
16. להלן דוגמה לשרת זמן מוסמך, התומך באותנטיקציה בעת עבודה בפרוטוקול: NTP:  httpX://tf.nist.gov/tf-cgi/servers.cgi
17. להלן דוגמה לפרוטוקולים הרגישים לזמן: IEC 61850 GOOSE-I EEE C37.118</t>
  </si>
  <si>
    <t>1. יש לוודא כי ממונה הבטיחות בארגון אישר את הפתרון.
2. יש לוודא כי מומחה לתקיפות פיזיקליות אישר את הפתרון.
3. יש לוודא כי ממונה ההמשכיות העסקית בארגון משולב בתהליך.
4. על גופים מונחים לפנות לרגולטור הרלוונטי (דוגמת מערך הסייבר הלאומי) כדי לקבל הנחיות נוספות.
5. יש לוודא כי המענה מכסה את התרחישים הבאים:
א. דופק אלקטרומגנטי הנובע מברק (LEMP - Lightning Electro-Magnetic Pulse)
ב. הפרעה גיאומגנטית / סערה סולארית (GMD - Geomagnetic Disturbance/Solar Storm)
ג. דופק אלקטרומגנטי בגובה רב (HEMP - High-Altitude Electro-Magnetic Pulse)
ד. דופק אלקטרומגנטי ממוקד אזור (SREMP - Source-Region Electro-Magnetic Pulse)
ה. הפרעות אלקטרומגנטיות מכוונות (IEMI - Intentional Electro-Magnetic Interference), לרבות נשק אנרגיה ישירה (DEW - Directed Energy Weapon)
ו. Geomagnetic Disturbance Data (GMD)
6. יש לתת את הדעת על מצבים שבהם נכס הסייבר עשוי להיפגע מדופק זרם הנוצר במערכות חשמל סמוכות, ולא רק עקב פגיעה ישירה.
7. כאשר אי אפשר לנתק מכשיר מקווי מתכת (הארקה, חשמל, נתוני וכדומה), יש לוודא כי הוא כבוי כאשר לא נעשה בו שימוש פעיל. 
8. יש לפנות למסמך מקור: 
Electromagnetic Pulse (EMP) Protection and Resilience Guidelines for Critical Infrastructure and Equipment - 
httpX://www.cisa.gov/sites/default/files/publications/19_0307_CISA_EMP-Protection-Resilience-Guidelines.pdf
המסמך עשוי להתעדכן מעת לעת, ולכן יש לפעול בהתאם למסמך העדכני.
9. ניתן לרכוש יעדי הגנה העומדים בדרישות תקינה אזרחית מקובלת להתמודדות עם EMP/TEMPEST. להלן דוגמהות לתקינות מקובלות:
א. MIL-STD-188-125-1 &amp; -2
ב. MIL-F-15733
ג. MIL-STD-220
ד. UL 1283
ה. IEC 60939
ו. LVD (2006/95/EC)</t>
  </si>
  <si>
    <t xml:space="preserve">9. הארגון וידא כי עבור יעדי הגנה בעלי IPv6 Stack  מוגדרת כתובת IPv6 ייעודית, שהוקצתה באמצעות מערכת מבוססת ניהול מרכזי (דוגמת DHCPv6). כך לא ייווצר מצב שבו קיימת הגדרה אוטומטית ולא מנוהלת של כתובת ה-IPv6.
10. הארגון וידא כי ליעדי ההגנה בארגון יש הסמכה תקפה מסוג IPv6 Ready (httpX://www.ipv6ready.org), וכי ההסמכה כוללת מענה לשיטות העבודה של הארגון.
11. הארגון וידא כי הוא מנהל את טווחי כתובות ה-IP באמצעות מערכת ניהול מרכזית, דוגמת IP Address Management (IPAM).
12. הארגון וידא כי בעת עבודה היברידית (עם IPv4  ו-IPv6 במקביל) הוא משתמש במנגנון מעבר (IPv6 Transition Mechanism) שאינו יוצר קושי בגילוי, זיהוי וסיכול איומים ותרחישי תקיפה (דוגמת IPv6 Tunneling Mode).
13. הארגון וידא כי מערך הניטור ערוך באופן מיטבי להתמודדות עם אירועים הנובעים משינויים הנגזרים מעבודה ב-IPv6 (דוגמת שינוי תצורת ה-Fragmentation ותאימות חוקי הקורלציה למבנה ה-IP החדש).
14.  הארגון וידא כי ברשותו אמצעים המאפשרים גילוי, זיהוי וסיכול פעילות הנובעת מאנומליה של IPv6 SLAAC (Stateless Address Autoconfiguration).
15. הארגון וידא כי לא ניתן לעשות שימוש ב-IPv6 Tunnel לשם עקיפת מערך ההגנה. 
</t>
  </si>
  <si>
    <t>1. יש לפנות לבקרת "מניעה והונאה (D&amp;D)".
2. בעת עבודה עם פרוטוקול DNSSEC יש לוודא כי גודל חבילות המידע אינו מקנה לתוקף אפשרות להגדיל את היקף הנזק של תקיפת DDoS/DOS נגד הארגון ו/או צד שלישי. לאור זאת מומלץ כי הארגון יוודא כי קיימת שרידות נאותה של תשתית שרתי ה-DNS הציבוריים, תוך שילוב של פיזור גיאוגרפי ואימוץ ההמלצות שבבקרת "התמודדות עם תקיפת מניעת שירות מבוזרת".
3. מומלץ לעשות שימוש ב-DNS FW הכולל מנגנונים מקובלים ליישום DNS sinkhole.
4. יש לוודא כי הלוגים של שרת ה-DNS מועברים למערך הבקרה הרציפה והמתמשכת.
5. יש לוודא כי שרתי ה-DNS עושים שימוש בערך זהה של Maximum Cache Size.
6. יש לוודא כי ביעדי ההגנה בוטלה התמיכה בפרוטוקולי Name Resolution חלופיים, דוגמת NetBIOS over TCP/IP ו-LLMNR .
7. מומלץ להימנע מהפעלת פונקציית DNS על שרת המספק פונקציונליות נוספת (דוגמתDomain Controller).
8. יש לוודא כי קיימת יכולת Anti-Spoofing פעילה ואפקטיבית.
9. יש לשים לב לכך כי בעת עבודה עם IPv4 בשילוב IPv6, ה-DNS Zone עשוי להכיל כתובות IP שונות אשר מצביעות על אותו יעד הגנה.
10. במקרה של עבודה עם IPv4 בשילוב IPv6 יש לבחון את סדר המרת השמות (Name Resolution) בכל יעד ההגנה.
11. אין לאפשר למשתמשים באינטרנט לבצע פניות ישירות לשרת DNS המנהל את ה- Authoritative Zone.
11. שימוש בפרוטוקול לצורך הזלגת מידע ויצירת תקשורת עם שרת C&amp;C הוא שכיח.
13. אין לאפשר ליעדי ההגנה לבצע עדכון עצמאי של רשומת ה-DNS ללא קיומן של בקרות מפצות. להלן דוגמהות לבקרות מפצות:
א. מנגנון/פרוטוקול ב-(TransaCIon Signature) TSIG \ Secure Update.
ב. בדיקה מקדימה כי אין רשומה קיימת ב-DNS Zone.
14. מרבית התעבורה לאתרי אינטרנט מוצפנת כיום באמצעות פרוטוקול httpX. כדי להסתיר את פעילותם, תוקפים צריכים לאפשר תעבורה שכזו לאתרים מתחזים מטעמם. כדי למנוע התרעות מצד הדפדפן, התוקפים ישאפו לייצר תעודה מתאימה אך לא מורשית. הבעיה היא כי כל גורם המורשה להנפיק תעודה דיגיטלית (CA) יכול להנפיק תעודה עבור כל אתר, וגורמים שליליים יכולים לתקוף את מערכותיו ולנצל אותן לשם כך. בנוסף, קיימים אתרים המאפשרים לכל גורם לייצר תעודה דיגיטלית עבור כל אתר ללא בדיקה מקיפה ובחינם. לאור זאת, יש צורך במנגנון שיאפשר ניטור של הוצאת תעודות בעייתיות מסוג זה – נכונות מבחינה טכנית, אך ללא הרשאה מהארגון הרלוונטי. חברת גוגל יצרה מנגנון שכזה, שמקבל תמיכה ממספר רב של יצרני תעודות דיגיטליות. המנגנון נקרא Certificate Transparency Log, ומתבסס על לוג שניתן אך ורק להוסיף אליו רשומות עבור תעודות שהונפקו, וכל אדם רשאי לחפש בו אילו תעודות הונפקו עבור אילו דומיינים. כיום קיימים מספר שירותים המאפשרים חיפוש רשומות שונות בלוג, וכן שירותים ותוכנות המאפשרים ניטור רציף של הלוג, על מנת לזהות הופעת תעודות עבור שמות דומיין מסוימים.</t>
  </si>
  <si>
    <t>1. יש לוודא כי אמצעי האבטחה כולל יכולת ALG (Application Level Gateway).
2. יש לוודא כי חוקת ה-FW אינה מתירנית. דוגמה ליישום: גישה לאתרים תתאפשר רק ב-httpX.
3. יש לוודא כי ספק מודיעין הסייבר מעדכן את מנוע ה-URL Filtering ואת ה-AV באופן תדיר (כל 4-6 שעות לכל היותר).
4. יש לזכור כי אמצעי אבטחה רבים מתקשים לגלות, לזהות ולסכל איומים בקבצים מעל גודל מסוים, ולפיכך הארגון צריך לוודא כי קיימת בקרה מפצה. דוגמה לבקרה מפצה היא הגבלה של גודל הקובץ שניתן להוריד מהאינטרנט, כך שניתן יהיה לאכוף את מדיניות האבטחה באופן אפקטיבי.
5. יש לוודא כי הארגון מסוגל לזהות, לגלות ולסכל איומים בתעבורה מוצפנת (SSL\TLS Decryption).
6. יש לוודא כי אמצעי האבטחה מסוגל לגלות, לזהות ולסכל איומים העושים שימוש בפרוטוקולים מתקדמים, דוגמת DoT, DoH, HTTP /2, HTTP /3, WebRTC.
7. ניתן לשלב את מערך ההלבנה באמצעות פרוטוקול ICAP או שיטה אחרת.
8. יש לתת את הדעת על כך שגישה של משתמש לכתובת IP/אתר/תוכן חריג ביחס לכלל עשויה להצביע על חשד לקיומו של אירוע סייבר.
9. יש לתת את הדעת על כך שגישה של משתמש לאינטרנט בשעות חריגות עשויה להצביע על חשד לקיומו של אירוע סייבר.</t>
  </si>
  <si>
    <t>1. יש לוודא כי אמצעי האבטחה חוסמים אפשרות לביצוע פעולות התחזות (Spoofing)
2. יש לוודא כי אמצעי האבטחה מסוגלים לגלות, לזהות ולסכל איומים בתעבורה מוצפנת.
3. יש לוודא כי תוכנית ההמשכיות העסקית כוללת התייחסות לתרחישי תקיפה שכאלו.
4. יש לעגן משפטית מול הספקים הרלוונטיים כי הם נדרשים לייצר חתימת תקיפה חדשה על סמך הקלטת תעבורה (PCAP).
5. יש לבצע תרגול תקופתי בשיתוף גורמים רלוונטיים לשם בחינת רמת הכשירות והמוכנות של הארגון להתמודדות עם תקיפות מניעת שירות מבוזרות. 
6. יש להיעזר במודיעין סייבר לשם הכרת יכולות התוקף, ולבצע בארגון בדיקות מוכנות וכשירות.
7. יש לוודא כי מערך האבטחה מספק מענה לתקיפות מניעת שירות אפליקטיביות.
8. בעת עבודה עם ענן ציבורי יש לוודא כי הרישוי הקיים כולל הפעלת יכולות הגנה מפני תקיפות מניעת שירות רוחביות, לרבות תקיפות אפליקטיביות ייעודיות נגד תשתית הארגון.
9. יש לוודא כי מערך הבקרה הרציפה והמתמשכת משיג נראות (Visibility) מקצה לקצה, וזאת תוך התייחסות לשכבה הפנימית, שכבת הקצה והשכבה החיצונית.
10. בעת עבודה עם ענן ציבורי יש לבחון בזמן אמת אם יש חיובים כספיים חריגים, שעשויים להעיד על תקיפה פעילה. סביר להניח שהדבר יחייב ביצוע אינטגרציה עם הספק ברמת ה-API.
11. יש לוודא כי נוהל התגובה לאירועים כולל הפעלת בקרות מפצות, דוגמת שליחת התרעה ללקוחות הארגון והעלאת רמת השירות של ערוצי שירות חלופיים (דוגמת מוקד טלפוני).
12. להלן דוגמהות להפרדה רצויה בין ערוצים:
א. הפרדה בין ערוץ ההתחברות מרחוק (VPN) לערוץ המשרת אתר מסחר מקוון.
ב. הפרדה בין ערוץ גלישה באינטרנט לערוץ B2B.
ג. הפרדה בין ערוץ דוא"ל לערוץ המשרת אתר מסחר מקוון.
ד. הפרדה בין ערוץ גלישה באינטרנט לערוץ המשרת תשתית VoIP.
13.  יש להגדיר עבור כל תהליך עסקי/נכס סייבר מדדים מקובלים, בהתאם לצרכים העסקיים של הארגון. יש לוודא כי המדדים הוחלו בהתאם לצורך ביעדי ההגנה השונים.
להלן מספר דוגמהות למדדים מקובלים:
א. רוחב הפס (Bandwidth) – מדד לכמות הנתונים שניתן להעביר ממקור ליעד, במשך זמן נתון, על גבי רשת נתונים. יחידת מידה בסיסית -  ביט (סיבית) לשנייה – (bps) Bits per second.
ב. רוחב פס יעיל/תפוקה (Throughput) - מדד לכמות הנתונים הממשית העוברת בנתיב נתון בפרק זמן מוגבל, בהתחשב באילוצים הבאים:
- היקף המידע המועבר.
- איכות ביצועי התקני הרשת.
- הזמן שבו מועבר המידע.
התפוקה קטנה או שווה לרוחב הפס: Throughput=&lt;Bandwidth
ג. מספר פקטות מידע/מנות בזמן נתון. יחידת המדידה הבסיסית – Packets per second (pps).
ד. מספר בקשות httpX (או פרוטוקול רלוונטי אחר) בזמן נתון. יחידת המדידה הבסיסית – Request per second (rps).
ה. השהיה (Delay) – מסגרת הזמן הנדרשת למנה/פקטת מידע (Packet) להגיע מקצה לקצה. יחידת מידה בסיסית – שניות.
ו. שיהוי (Latency) - מסגרת הזמן הנדרשת למנה/פקטת מידע (Packet) להגיע מקצה לקצה, וחזרה. שם חילופי זמן הלוך-ושוב (RTT – Round Trip Time). יחידת מידה בסיסית – שניות.
ז. רִצּוּד (Jitter) – עיכוב לא סדיר בשליחת מנות/פקטות מידע ברשת. יחידת מידה בסיסית – אחוזים. לעתים נעשה שימוש גם בשניות. 
ח. אובדן מנות/פקטות מידע (Packet Loss) – אובדן מנות. נמדד כאחוז מהמנות שאבדו, ביחס לחבילות שנשלחו.
ט. גודל המנה המקסימלי (MTU) – המנה/פקטת המידע הגדולה ביותר הניתנת להעברה כיחידה אחת ברשת ללא צורך בביצוע קיטוע (Fragmentation). יחידת המדידה הבסיסית - בתים (bytes).
י. מספר קישורים (Connections) בזמן נתון. יחידת המדידה הבסיסית -  Connections per second.
יא. אורך חיים לפעילות משתמש (Session Timeout). יחידת המדידה הבסיסית – שניות.
יב. אורך חיים לבדיקת חיות TCP (TCP keepalive). יחידת המדידה הבסיסית – שניות.
יג. הזמן האפקטיבי לביצוע אִפְחוּת (Effective TTM). יחידת המדידה הבסיסית – שניות.
יד. מדדים מקובלים מעולם ההמשכיות העסקית (דוגמת RTO, RPO).</t>
  </si>
  <si>
    <t>25.	הארגון וידא כי הוא עושה שימוש בשיטות גילוי וזיהוי המבוססות על אנומליה (Anomaly DeteCIon) בהתנהגות ישויות ומשתמשים [UEBA (Users and Entity Behavior Analytics)].
26.	הארגון וידא כי הוא עושה שימוש בשיטות גילוי וזיהוי המבוססות על אנומליה (Anomaly DeteCIon) בתוכן מידע (Payload) רשתי (NTA - Network Traffic Analysis). 
27.	הארגון וידא כי הוא עושה שימוש בשיטות גילוי וזיהוי המבוססות על אישוש או הפרכה של היפותזות (Hypotheses).
28.	הארגון וידא כי הוא עושה שימוש בשיטות גילוי וזיהוי המבוססות על שילוב אוטומטי וידני בין יכולות Attack-Based Hunting (ABH) ל Data-Based Hunting (DBH).
29.	הארגון וידא כי הוא עושה שימוש בשיטות לגילוי וזיהוי מדדים/מטריקות חריגים בהוצאות כלכליות אשר נובעות או ישנו חשד כי נובעות מאירוע סייבר (Cost Center Metrics).
30.	הארגון וידא כי הוא עושה שימוש בשיטות לגילוי וזיהוי איומים בפרוטוקולים\פורמטים חדשים במרחב הסייבר, גם אם לא נעשה בהם שימוש רשמי ע"י הארגון. לדוגמה: DoH (DNS over httpX) הפועל ישירות מדפדפן המשתמש וללא קשר ישיר למערכת ההפעלה או DoT (DNS Over TLS).
31. הארגון וידא כי הוא מסוגל לגלול ולזהות באופן אפקטיבי ניצול לרעה של ערוצים לגיטימיים. דוגמה ליישום: איתור ערוץ סמוי (Covert  Channel) בתעבורת httpX או בתווך חשמלי.
יכולות ממשקי שליטה ובקרה לטובת ניתוח/אנליזה (מעבר לרמה המתקדמת)
32.	הארגון וידא כי מערך הניטור מציג את תרחישי איום (Attack Scenarios) ביחס ל:
א.	רמת מוכנות בסייבר (Cyber Readiness) של הארגון.
ב.	רמת הסיכון לארגון (Organization Risk).
ג.	פרופילינג של המשתמש (User Profiling) וזאת ביחס לרמת מהימנות ועבר משמעתי.
ד.	פרופילינג של יעד הגנה.
33.	הארגון וידא כי מערך הניטור מאפשר לבחון מהן ההשלכות האפשריות על רמת אפקטיביות מערך ההגנה במקרה של ביצוע שינויים ביעדי ההגנה (לרבות ארכיטקטורה ומשטח תקיפה), וזאת ללא החלת השינויים בפועל (What-if Analysis).
34.	הארגון וידא כי מערך הניטור מציג עצי תקיפה" (Attack Treess) ו"עצי רשתות" (Attack Nets) הממומשים באופן אוטומטי , וזאת תוך החלת תהליך עתי לשיפור על סמך ניסיון וידע של מומחי תכן רלוונטיים (דוגמת Purple Team).
35.	הארגון וידא כי מערך הניטור מציג דיאגרמות DFD (Data Flow Diagram) ו-
PFD (Process Flow Diagram), לרבות תהליכים עסקיים.
36.	הארגון וידא כי מערך הניטור מכיל יכולות לשיפור איכות החקירה:
א.	העברת יעד הגנה החשוד לעבודה בסביבת הסגר (Quarantine).
ב.	העברת יעד הגנה למצב למידה (Learning), דבר אשר כולל העמקת הניטור (דוגמת הפעלת Logs in Debug Mode).
ג.	הפעלת מערך "מניעה והונאה" (Denial &amp; Deception).
ד.	איסוף ממצאים/ארטיפקטים (Artifacts).
ה.	ניהול אירוע לפי "כרטיס" (Tickets) המוקצה לגורמי המקצוע הרלוונטיים במערכת זרימת מידע (Workflow).
ו.	ביצוע תיקון (Remediation) ליעד ההגנה או חזרה למצב ידוע (Steady State).
ז.	ביצוע אסקלציה (Escalation).
ח.	פתיחת חקירה ישנה אשר נסגרה (Reopen), וזאת על סמך מידע חדש שהתקבל.
ט.	העשרת TTP\IOA\IOC (Enrichment) וקישורם לתקיפה/שחקן תקיפה ספציפי.
37. הארגון וידא כי ביכולתו לחזות מבעוד מועד את קיומם של איומים מתהווים (Emerging Threats) והשפעתם האפשרית על הפעילות העסקית, כך שברשות הארגון יהיה חלון זמן אופטימלי לביצוע פעולות הכנה והתמודדות.</t>
  </si>
  <si>
    <t>1. נכס דיגיטלי הינה הגדרה כללית ליעד הגנה אשר מספק שירות ללקוחות הארגון ברשת האינטרנט, אך בד"כ אינו נמצאים בשליטה ובקרה מלאה. לדוגמה: דף רשת חברתית או תוכן אשר משתמש יכול להורידו מאתר האינטרנט של הארגון.
2. יש לפנות לבקרת "תוכנית פנים ארגונית לטיפול בתהליכי רכש ואבטחת שרשרת האספקה".
3. יש לתת את הדעת כי בארגונים רבים ניתן לראות כי נכסים דיגיטליים מנוהלים בתצורת Shadow IT.
4. חוזה ההתקשרות בין הארגון לספקי השירות המנהלים את הנכסים הדיגיטליים עשוי להיות כללי (גנרי), ובמקרה שלא ניתן לבצע אכיפה אפקטיבית בצד הספק יש לוודא קיומן של בקרות מפצות.
5. ניתן לממש את דרישות הבקרה ע"י שימוש בשירות צד-שלישי או ע"י פיתוח יכולות עצמאיות.
6. יש לבחון את דרישות הגנת הפרטיות הרלוונטיות, בדגש על העברת מידע לחו"ל ועבודה מול גורמים חיצוניים.
7. יש לקבל את אישור היועץ המשפטי של הארגון למימוש דרישות הבקרה.
8. יש לשלב את מנהל השיווק והדוברות בפעילות ההגנה, לרבות הגדרת צרכים.
9. יש לוודא כי יכולות ההגנה זמינות על בסיס 24/7.
10. יש להגדיר נהלים והגבלות המתייחסים לשימוש בנכסים דיגיטליים הכוללים: הגבלות על אופן פרסום מידע ארגוני בנכסים דיגיטליים ובאתרים ציבוריים, ייצוג הארגון בנכסים דיגיטליים ובאתרים ציבוריים ואופן הגישה אליהם ממערכות הארגון.
11. יש לוודא קיומו של נוהל תגובה רלוונטי למקרה של איתור חריגה.
12. יש לוודא כי הארגון הגדיר מדדים לגילוי, זיהוי וסיכול חריגות בהתאם לעומק היישום.
13. יש לוודא כי קיים לארגון נוהל תגובה עדכני אשר אושר ע"י ההנהלה בשנה האחרונה והכולל מקרים/תגובות רלוונטיים.
14. ניתן לשלב הטמעה של בקרות עסקיות ייעודיות אשר יתנו לארגון ערך מוסף, דוגמת:
א. הארגון וידא כי מסוגל לגלות, לזהות ולסכל גורמים העושים שימוש בשם המותג או במידע קנייני וזאת לשם פגיעה במוניטין (Brand Abuse).
ב. הארגון וידא כי הוא מסוגל לגלות, לזהות ולסכל מכירה לא מורשית של מוצרים/שירותים אשר הוא אחראי ליצורם (Grey Market Sales).
ג. הארגון וידא כי הוא מסוגל לגלות, לזהות ולסכל מכירה של מוצרים/שירותים מזויפים העושים שימוש במותג הארגוני (Counterfeit Sales).
ד. הארגון וידא כי הוא מסוגל לגלות, לזהות ולסכל מכירה של מוצרים/שירותים במחיר נמוך משווי שוק (MAP - Minimum Advertised Price).
ה. הארגון וידא כי הוא מסוגל לגלות, לזהות ולסכל פעילות חריגה (דוגמת מכירה של מוצר לקהל יעד אשר דרישות החוק והרגולציה אוסרות מכירה שלו) ע"י שותפים עסקיים (Affiliate Monitoring).
ו. הארגון וידא כי הוא מסוגל לגלות, לזהות ולסכל ירידה לא טבעית בהיקף המכירות.
ז. הארגון וידא כי הוא מסוגל לגלות, לזהות ולסכל ירידה או שוני לא טבעי במחיר מוצר/שירות (בדגש על מוצרים/שירותים הנמכרים באופן מקוון ותוקף הצליח לשנות את המחיר עקב פגיעות תוכנתית או איום פנימי).
ח. הארגון וידא כי הוא מסוגל לגלות, לזהות ולסכל פעילות להלבנת הון (AML - Anti Money Laundering).</t>
  </si>
  <si>
    <t>1. יש לפנות לבקרת "אבטחת דפדפנים".
2.  יש לפנות לבקרת "מניעה והתמודדות עם דלף מידע".
3. יש לפנות לבקרת "אבטחת מבואות לרשת ציבורית".
4. יש לפנות לבקרת "פיתוח מאובטח".
5. יש לפנות לבקרת "אבטחת קוד פתוח".
6. יש לפנות לפרק "בקרת גישה".
7. יש לפנות לפרק "קריפטוגרפיה".
8. יש לפנות לבקרת "אבטחת תשתית PKI".
9. יש לעשות שימוש ב-Parameterized API Queries.
10. יש לוודא באופן תקופתי כי קיימת הגדרת מדיניות CORS (Cross-origin resource sharing) נכונה.
11. אין להסתמך על קלט שמגיע מצד המשתמש לצורך קבלת החלטות עסקיות/אבטחה. 
12. יש לשמור על רמת עדכניות גבוהה של ספריות צד-שלישי (לרבות ה-CMS ו-Plugins).
13. יש לבצע סריקת פגיעויות אפליקטיבית בתדירות גבוהה (מומלץ אחת ליום). בכלל זה יש לוודא כי מנוע סריקת הפגיעויות מסוגל לגלות ולזהות Webshells עדכניים.
14. יש לוודא כי ספק מודיעין הסייבר מעדכן את מנוע ה-WAF באופן תדיר (כל 4-6 שעות לכל היותר).
15. דגשים להקשחת שרת Web:
א. יש לוודא שגם אם תוקף הצליח לקבל גישה לשרת ה-Web, הוא לא יצליח לגשת לקבצים של מערכת ההפעלה/אפליקציות אחרות. דוגמה ליישום: שימוש במנגנון SELinux.
ב. יש לוודא כי השרת אינו חושף מזהים אשר עשויים להקל על תוקף בבניית מתווה תקיפה. דוגמה ליישום: הסרה/שינוי של X-POWERED-BY, X-ASPNET-VERSION Headers.
ג. יש לוודא Disable Directory Indexing and Browsing.
ד. יש לוודא כי ה-WAF במצב אכיפה (Active) תוך שימוש ב-Allowlist.
ה. יש לוודא כי ה-WAF עושה שימוש בחתימות עדכניות של עד 4-6 שעות לאחור.
16. יש לוודא כי טעינת קבצים לאתר מתאפשרת בהתאם ל-Allowlist, תוך בחינת True Type וגודל קובץ.
17. יש לזכור כי אמצעי אבטחה רבים מתקשים לגלות, לזהות ולסכל איומים בקבצים מעל גודל מסוים, ולפיכך הארגון נדרש לוודא כי קיימת בקרה מפצה.
18. יש לוודא כי הארגון מסוגל לזהות, לגלות ולסכל איומים בתעבורה מוצפנת (SSL\TLS Decryption).
19. יש לוודא כי אמצעי האבטחה מסוגל לגלות, לזהות ולסכל איומים העושים שימוש בפרוטוקולים מתקדמים, דוגמת DoH, HTTP /2, HTTP /3, WebRTC.
20. ניתן לשלב את מערך ההלבנה באמצעות פרוטוקול ICAP או שיטה אחרת.
21. אין לחשוף שרת Caching ישירות לאינטרנט.
22. מומלץ להיעזר בהמלצות ארגונים מקובלים, דוגמת OWASP.
23. יש לוודא הזרקת HTTP Security Headers רלוונטיים לצד הלקוח.
24.  יש לוודא כי הארגון עושה שימוש ב-Plugins ממקור מהימן, וכי הארגון לא ביצע שינוי בקוד באופן ידני.
25. יש לוודא כי באתר האינטרנט מפורסמות דרכי התקשרות עם גורמי הגנת המידע והסייבר, כך שהציבור יוכל להפנות סוגיות רלוונטיות במישרין.
26. יש לוודא כי בהגדרות התצורה של שרת האינטרנט בוטלו HTTP methods הידועים כמסוכנים. דוגמה ליישום: ביטול HTTP Method מסוג Trace באמצעות Apache Module mod_allowmethods  .
27. יש לוודא כי לא ניתן לייצא את המפתח הפרטי של התעודה הדיגיטלית אשר משרתת את אתר האינטרנט.
28. יש לוודא הגדרה נכונה של קבצים המשקפים לצד שכנגד את מצב האבטחה הרצוי, דוגמת Robots.txt, Security.txt.</t>
  </si>
  <si>
    <t>1. יש לפנות לבקרת ״פיתוח מאובטח״.
2. בניגוד לגישה הרווחת, שימוש בקונטיינרים אינו מבטיח בפני עצמו רמת אבטחה גבוהה.
3. קיימים בשוק מספר מוצרים מקובלים לניהול קונטיינרים. מימוש דרישות האבטחה עשוי להיות שונה בין מוצר למוצר, ויש להיות ערים לנושא זה.
4. עקב הקושי בניהול קונטיינרים, מומלץ כי ארגונים בעלי צוות IT קטן יעדיפו להשתמש בשירותים שמציע ספק ענן ציבורי, ולא לנהל תשתית מסוג זה באופן עצמאי.
5. יש לוודא כי ממשקי המוצר לניהול קונטיינרים אינם נגישים מהאינטרנט ומהקונטיינרים עצמם.
6. יש לוודא כי ממשקי ה-Hypervisor אינם נגישים מהאינטרנט ומהקונטיינרים עצמם.
7. יש לוודא כי הארגון מיישם נוהלי הקשחה מקובלים לקונטיינרים.
8. מומלץ לוודא כי שרת Hypervisor אינו מאחסן קונטיינרים בעלי רמות רגישות שונה. דוגמה ליישום: השרת לא יחזיק בו זמנית קונטיינרים המעניקים שירותים לעובדי הארגון וקונטיינרים המהמעניקים שירותים ללקוחות חיצוניים.
9. יש לשים לב לכך שאמצעי ההגנה המקובלים (דוגמת WAF) עלולים להתאים פחות להגנה על תשתית זו, ולפיכך יש לבחון פתרונות חלופיים, דוגמת RASP.
10. יש לוודא מחיקה של Images ישנים שאינם בשימוש. ניתן לבצע זאת באמצעות Time Triggers and Labels וקונבנציה ל-Image הכוללת מספר גרסה, או שיטה אחרת.
11. יש לוודא לפני שלב ה-Build כי כלי הפיתוח מוסרים מהקונטיינר, וכי השימוש במצב Debug מבוטל.
12. יש לוודא כי הארגון יכול לזהות אנומליה בסביבת הקונטיינרים (Containers), וזאת תוך התייחסות ל-file system, network, processes and system calls.
בעת עבודה עם Service Meshes יש לעיין בתיעוד היצרן לשם בחינת יכולות האבטחה המובנות, וההמלצות ליישום שעשויות לשפר את רמת הגנת המידע והסייבר.
13. יש לבצע ריענון (Refresh) של הקונטיינרים בתדירות גבוהה, כאשר אורך החיים הממוצע לא אמור לעלות על כ-10 שניות.
14. בעת עבודה עם  קונטיינרים המריצים סביבת לינוקס, מומלץ להפעיל אמצעי אבטחה מובנים דוגמת Kernel security modules (SELinux and AppArmor) .
15. מומלץ לבחון שימוש ב-distroless images (Base Images ללא package managers, shells וכו').
16. פעמים רבות ניהול לא נכון של Tags מביא לכך ש-Image בגרסה לא נכונה מוטמע בסביבת הייצור.
17. יש לוודא כי המדיניות בממשק ניהול הקונטיינרים מונעת אפשרות להחלה של Images שלא עברו בדיקות אבטחה בהצלחה ואושרו על ידי צוות הגנת המידע והסייבר. שימו לב מימוש דרישה זו ברמת ה-CI\CD Pipeline בלבד אינו מספק.
18. לשם שיפור ההגנה מפני חשיפת מידע לשירותי צד שלישי המספקים יכולת לאיתור חולשות ב-Images, ניתן לבחון שליחה של ה-Image Metadata.
19. יש לוודא כי הארגון מוריד Images מ-Container Registry מהימן.
20. יש לוודא כי הארגון מוריד עדכוני תוכנה/מודולים מ-Container Registry מהימן.
21. בעת עבודה עם Container Registry יש לוודא כי המפתחים הגדירו MFA.
22. יש לבחון את רמת האבטחה בפועל בהתאם לשכבות השונות, דוגמת:
Layer 0 – The Kernel
Layer 1 – The Container
Layer 2 – The Workload (Pod)
Layer 3 – Networking
Layer 4 – Nodes
Layer 5 – Cluster Components
23. יש לשקול שימוש ב"אשכול" (Cluster) ייעודי לשם שיפור רמת האבטחה בעת עבודה עם מידע רגיש/חסוי או תהליך קריטי.</t>
  </si>
  <si>
    <t>1. בעת שימוש בשירותי ענן ציבוריים, האחריות להגנת המידע והסייבר נחלקת בין ספק הענן ובין הלקוח. חלוקת אחריות זו תלויה באופי השירות ובמודל המימוש. על הארגון להבין מהם הנושאים הנמצאים באחריותו, ולנקוט צעדים מתאימים.
2. יש להיעזר בגורם מקצוע צד שלישי לשם תכנון/תיקוף תקופתי של הארכיטקטורה בענן, ועל מסמך המדיניות לשקף זאת.
3. על הנהלת הארגון להגדיר מדיניות וקווים מנחים, הכוללים התייחסות לחלוקת האחריות בין הספק לארגון.
4. יש לבחון עם היועץ המשפטי את הנחיות רשות הגנת הפרטיות והנחיות חוקיות/רגולטוריות רלוונטיות, תוך התייחסות למיקום הארגון, מיקום עיבוד/אחסון המידע ומיקום הלקוחות בפועל. יש לשים לב כי דרישות החקיקה והרגולציה עשויות להיות שונות במיקומים השונים, ולעתים אף מתנגשות, דבר המחייב יישוב לפני המשך הפעילות.
5. לפני העברת נתונים לענן יש לוודא כי הם אינם כאלה שאסור לארגון להעבירם לאחסון ו/או עיבוד בשירותי ענן ציבוריים.
6. השימוש בשירותי מיקור חוץ, דוגמת ספק ענן ציבורי, אינו מסיר את החבות המשפטית של הארגון לעמידה בדרישות חוקיות ורגולטוריות.
7. יש לתת את הדעת על כך ששימוש בשירותי ענן ציבוריים יוצר תלות גבוהה של הארגון בתשתיות תקשורת חיצוניות, דוגמת זמינות ממשקי הגישה לאינטרנט.
8. יש לשים לב כי שירותי האבטחה שמציעים ספקי הענן הציבוריים כחלק מחבילות הבסיס אינם מציעים בדרך כלל רף אבטחה נאות להגנה על מידע רגיש/חסוי או על תהליכים קריטיים.
9. יש לוודא כי ספק הענן עושה שימוש בשיטות עבודה וטכנולוגיות עדכניות, וכי הוא מעדכן את היכולות האלו בהתאם למקובל.
10. יש לוודא מדיניות הענן כוללת התייחסות להיבטים מקובלים, דוגמת:
קריטריונים ושיקולים לבחירה בספק ענן פלוני; שירותים ושימושים מותרים בענן; סוג המידע שאפשר לאחסן בענן והיקפו; SLA\OLA; וטיפול באירועים חריגים. ניתן לכלול במדיניות שימוש בהסמכות בינלאומיות מוכרות כחלופה לבדיקה מלאה של ספק הענן הציבורי. עם זאת, לפני קבלת החלטה בנדון יש לבחון את תיחום ההסמכה ואת זהות הגורם המעריך והמסמיך.
11. יש לוודא כי הסכם השירות עם ספק הענן כולל התייחסות להיבטים מקובלים, דוגמת:
שמירת על סודיות המידע; התייחסות למקרים שבהם הספק מחליט להפסיק את השירות או לשנות אותו; אופן הטיפול במקרים כמו דיסק מקולקל, שבהם חייב ספק שירותי הענן להחליף חומרה המאחסנת מידע של הארגון; המשכיות עסקית; וחקירה פורנזית של אירועי מידע וסייבר.
12. למרות הצהרת חלק מספקי הענן הציבוריים, ישנה תלות טכנולוגית בין אזורים (Regions) שונים. לפיכך, תקלה או אירוע סייבר באזור מסוים עלולים להשפיע על תקינות התפקוד של ארגון העושה שימוש בענן באזור אחר. דוגמה שכיחה לכך היא תשתית ה-DNS, IAM וה-BGP.
13. דגשים לעבודה במודל SaaS\PaaS:
א. יש לוודא כי ניתן לייצא את המידע בפורמט פתוח ומקובל (Portability).
ב. יש לבצע גיבוי תקופתי למידע, כאשר יעד הגיבוי נמצא בחצרות הארגון.
ג. יש לוודא כי התקשורת בין הארגון לספק מתבצעת בערוץ OOB מוצפן.
ד. יש לוודא כי קיימת הצפנה של מידע במנוחה (At Rest) ובתנועה (In Transit).
ה. במקרה שספק ה-SaaS\PaaS מאחסן את התשתית שלו בספק ענן אחר, יש לנתח את המשמעויות - לרבות חלוקת האחריות המשותפת (Shared Responsibility Model) בין שלושת הגורמים בתהליך.
ו. יש לוודא כי קיימת יכולת להתממת מידע רגיש/חסוי (דוגמת מידע אישי או פרטי כרטיס אשראי), בין אם באמצעות שימוש ב-Tokenization או בשיטה אחרת.
ז. יש לוודא כי ספק התשלומים שבו נעשה שימוש עומד בדרישות תקינה מקובלות, דוגמת PCI DSS.
14. יש לבחון שימוש ב-Bastion Hosts מאובטח כחלופה לחיבור ישיר לסביבה.
15. יש לתדרך את חברי ההנהלה והדירקטוריון בנושא הגנת מידע וסייבר בענן באופן תקופתי.
16. יש לתת את הדעת כי שכיח כי פתרונות SaaS שונים פועלים בתצורת Nesting Cloud, דבר היוצר מצב שבו ישנם מספר ספקי ענן שונים המספקים לארגון שירות. בהתאם יש לוודא החלה של דרישות החקיקה, הרגולציה, דרישות חוזיות וצרכים עסקיות על כל הספקים המעורבים, דוגמת החלת תהליכי Data Governance מתאימים.
17. יש לוודא כי בארגון קיימת פונקציה ארגונית ייעודית האחראית לנושא FinOps, וכי היא מסייעת לגוף הגנת הסייבר להקטין את משטח התקיפה. הקטנת משטח התקיפה עשויה להתבצע ע"י איתור יעדי הגנה לא פעילים, והסרתם תקטין את ההוצאה הכלכלית של הארגון בגין שירותי הענן וכד'.
18. יש לשקול שימוש ב-Hypervisor ייעודי לשם שיפור רמת האבטחה של ה-IaaS בעת עבודה עם מידע רגיש/חסוי או תהליך קריטי.</t>
  </si>
  <si>
    <t>13. הארגון וידא כי הוא קבע מדיניות הערכת סיכונים בשרשרת אספקה (SCRM – Supply Chain Risk Management). על המדיניות לכלול התייחסות לנושאים מקובלים, לרבות:
א. שימוש במתודת אבטחת שרשרת האספקה של מערך הסייבר הלאומי או מתודה אחרת.
ב. מהימנות עובדים וספקים.
ג. חוסן כלכלי של הספקים.
ד. שינויים בסוג ההתקשרות עם הספק ובמבנה הארגוני/טכנולוגי של הספק.
ה. שימוש בכלים טכנולוגיים לבחינת מצב האבטחה (VRM – Vendor Risk Management) של ספקים.
ו. שימוש באמצעים למניעת חבלה (Tamper Resistant) וזיהוי חבלה (Tamper Evident).
ז. קיום של תרגילי הגנת מידע וסייבר, הכוללים ספקים וצד ג' של ספקים.
14. הארגון וידא כי הוא מעדיף לרכוש יעדי הגנה שעומדים בדרישות הסמכה בינלאומית מוכרת ותקפה, או הסמכה תקפה מטעם מערך הסייבר הלאומי.
15. הארגון וידא כי ברשותו תוכנית עבודה מסודרת למקרה של גילוי וזיהוי חולשה או הטמנה (Implant) במוצר חומרה/תוכנה/שירות, כדוגמת הצעה של בקרה מפצה (Composite Control) לכל תרחיש רלוונטי.
16. הארגון וידא כי ביכולתו לרכוש יעדי הגנה בזמן קצר. דוגמה ליישום: הקצאת מסגרת כרטיס אשראי ייעודית, הזמינה לשימוש בחירום.
17. הארגון וידא כי המסמך הפנימי לבדיקה של פתרונות (המפ"ל) שם משקל ראוי על איכות האבטחה של יעדי ההגנה.
18. הארגון וידא כי הוא משתמש במודיעין לגילוי וזיהוי הטמנות וזיופים ביעדי ההגנה שאותם רכש בעבר, ויעדי הגנה שאותם הוא שוקל לרכוש.
19. הארגון וידא כי ברשותו מיפוי עדכני, ומהשנה האחרונה לכל היותר, של שרשרת הערך (Value Chain).</t>
  </si>
  <si>
    <t>20. הארגון וידא כי מינה פונקציה ארגונית ייעודית לאבטחת שרשרת האספקה, הכפופה לממונה הגנת המידע והסייבר.
21. הארגון וידא כי בעת הצורך הוא עושה שימוש ברכש אנונימי ("רכש מבצעי").
22. הארגון וידא כי הוא נעזר באמצעי טכנולוגי לגילוי וזיהוי חשיפה לא מורשית של מידע רגיש/חסוי על ידי ספק. דוגמה ליישום: שימוש בשירות מודיעין לאיתור דלף מידע באינטרנט וב-Darknet. 
23. הארגון וידא כי הוא נעזר באמצעי טכנולוגי לניטור רציף של משטח התקיפה של ספקים מהותיים. דוגמה ליישום: שימוש בכלי SRS (Security Rating Services).
24. הארגון וידא כי עיגן משפטית עם היצרן והספק כי הם מתחייבים לכך שהמוצר/השירות אינו מכיל הטמנת חומרה/תוכנה/ רכיב מזויף.
25. הארגון וידא כי עיגן משפטית עם היצרן והספק שיש לו יכולת הצלחה של 95% לפחות בגילוי וזיהוי של רכיבים אלקטרוניים מזויפים מתוך אלה המשמשים אותו בהרכבת המוצר.
26. הארגון וידא כי ברשותו יכולת אפקטיבית ויעילה להחלפת מוצר המספק פונקציונליות לארגון אשר מקורו ביצרן מסוים, במוצר מקביל אשר מקורו ביצרן אחר.</t>
  </si>
  <si>
    <t>הארגון וידא כי ברשותו תוכנית פנים ארגונית לטיפול בתהליכי רכש ואבטחת שרשרת האספקה (SCRM – Supply Chain Risk Management).</t>
  </si>
  <si>
    <t>1. ודאו כי ברשות הארגון מדיניות ונוהלי עבודה רלוונטיים שההנהלה אישרה לפני שנה לכל היותר.
2. ודאו באופן מדגמי כי ברשות הארגון מיפוי עדכני של ספקים מהותיים ולא מהותיים.
3. ודאו באופן מדגמי כי ברשות הארגון מיפוי עדכני של ספקי משנה התומכים בספק המהותי/הקריטי.
4. ודאו באופן מדגמי כי הארגון עיגן את דרישות הגנת מידע וסייבר במכרזים וחוזי התקשרות.
5. ודאו באופן מדגמי כי הארגון מבצע באופן תקופתי ביקורות בחצרות הספקים הרלוונטיים.
6. ודאו באופן מדגמי כי עובדי הרכש עברו הדרכות ייעודיות להתמודדות עם איומים בשרשרת האספקה.
7. ודאו באופן מדגמי כי הארגון עושה שימוש אפקטיבי באמצעים טכנולוגיים לשם צמצום הסיכון הנובע משרשרת האספקה.
8. ודאו כי מדיניות ונוהלי העבודה אושרו בשנה האחרונה על ידי הנהלת הארגון.
9. ודאו כי נוהל התגובה לאירועי הגנת מידע וסייבר כולל התייחסות לתרחישים רלוונטיים לפעילות שרשרת האספקה.
10. ודאו כי קיימת פונקציה ארגונית האחראית לאבטחת שרשרת האספקה בהיבטי הענן הציבורי, ושאר ההתקשרויות.
11. ודאו באופן מדגמי כי חוזי ההתקשרות כוללים מנגנון שיפוי לטובת הארגון.
12. ודאו באופן מדגמי את יישום בקרות ההגנה אצל הספקים הרלוונטיים.
13. ודאו כי ברשות הארגון תוכנית פעולה להתמודדות עם חולשה או הטמנה במוצר חומרה/תוכנה/שירות.
14. ודאו באופן מדגמי כי חוזי ההתקשרות עם ספקי הארגון כוללים דרישות אבטחה ומדדים לבחינת טיב היישום.
15. ודאו כי הארגון הטמיע את מתודת אבטחת שרשרת האספקה של מערך הסייבר הלאומי.
16. ודאו כי ברשות הארגון מיפוי עדכני, ומהשנה האחרונה לכל היותר, של שרשרת הערך (Value Chain).</t>
  </si>
  <si>
    <t xml:space="preserve">1.	יש לוודא כי במסגרת בדיקת תקינות ובחינת אפקטיביות מערך הניטור נעשה שימוש בגורמי מקצוע של הארגון, ותוך הסתייעות בגורמי צד-שלישי.
2.	יש לוודא כי בדיקת תקינות ואפקטיביות כוללת ביצוע פעולות מתוזמנות, וביקורות פתע.
3. הארגון וידא כי קיבולת מערך האחסון אינה מונעת גדילה עיתית/עתידית, וכן מערך האחסון כולל פונקציונאליות המאפשרות שמירה של מידע היסטורי בהתאם לדרישות החוק, רגולציה, דרישות חוזיות וצרכים עסקיים.
4. יש לוודא כי ברשות הארגון נהלי עבודה המעגנים שגרות הגנה מקובלות, וכי שגרות ההגנה מבוצעות בהתאם לנדרש.
5.	להלן דוגמה למדדים (KPIs) לדוגמה לבחינת תקינות ואפקטיביות מערך הניטור:
א.	Mean Time to Repair (MTTR)
ב.	% of outage due to incidents (unplanned unavailability)
ג.	% of incidents solved within deadline/target
ד.	Average incident response time
ה.	 incidents solved within SLA\OLA time
ו.	Mean Time To Detect (MTTD)
ז.	 % of repeat incidents
ח.	% of reopened incidents
ט.	% of overdue incidents
י.	Incident queue rate
יא.	Average # of incidents handled by each first line operatives
יב.	Average incident closure duration
יג.	Average cost to solve an incident
יד.	Old incident backlog
טו.	Incidents completed without escalation 
טז.	% of incidents fixed before users notice
יז.	% of incidents resolved remotely
יח.	Average incidents solved by FLM (first level maintenance)
יט.	% of incidents which change classification during the lifecycle 
כ.	% of unmodified/neglected incidents
כא.	% of incidents which change prio during the lifecycle
כב.	Average number of (re)-assignments of incidents
כג.	% of incorrectly assigned incidents
כד.	Major Event Incident - Mean Time to Restore Service
כה.	Number of Incidents logged with no diagnosis provided in the Incident description
כו.	% of incidents by source
כז.	% of incident that lost OLA (Operation Level Agreement) in identify process (MTTI)
כח.	Average deviation of deadline incidents
כט.	Efforts required for impact assessment of an incident, change
ל.	Incident backlog
לא.	Number of incidents caused by deficient user training
לב.	Mean Time to Failure (MTTF)
לג.	% of incorrectly assigned security controls
לד. Number of incidents identified proactively (vs. reactively) 
לה. Number of vulnerabilities identified proactively (vs. vulnerability assessments)
לו. Dwell time of proactively discovered incidents (vs. reactively)
לז. Containment time of proactively discovered incidents (vs. reactively)
לח. Effort per remediation of proactively discovered incidents (vs. reactively)
לט. Data coverage (data types and coverage of estate)
מ. Hypotheses per MITRE ATT&amp;CK tactics
מ. Hunts per MITRE ATT&amp;CK tactics
מא. Incidents per MITRE ATT&amp;CK tactics
מב. Percentage of successful hunts that result in a new deteCIon analytic or rule 
מג. Sensitivity and specificity of analytics or rules derived from hunts (true &amp; false positive rates)
מד. Number of devices being monitored
מה. Mean Time Between Security Failures (MTBSF)
</t>
  </si>
  <si>
    <t>1.	הארגון וידא כי הגדיר את המידע הקשור למערך הניטור כחסוי, ובהתאם מיישם בקרות הגנה מתאימות.
2.	הארגון וידא קיומו של תהליך גיבוי שוטף למידע, תוך שמירה על חשאיות המידע ואחסונו במדיה נפרדת/ייעודית.
3.	הארגון וידא כי הוא מבצע אחת לתקופה בדיקות אחזור/חיפוש מדגמיות של רשומות היסטוריות מהעבר (לרבות מידע מגיבוי), וזאת לשם וידוא כי המידע נגיש ותקין.
4.	הארגון וידא כי מספר המורשים בגישה למערך אחסון רשומות הניטור ויעדי ההגנה המשרתים את מערך הניטור הינו מינימלי ככל הניתן, וכי רמת הגישה הפיזית/הלוגית המוקנה למורשים הינה מינימלית ככל הניתן (Least Privilege).
5.	הארגון וידא כי לגורמים בעלי גישה לארטיפקטים ישנה רמת מהימנות מתאימה.
6. הארגון וידא כי העברת הממצאים/ארטיפקטים (Artifacts) מתבצעת על גבי תווך העושה שימוש בהצפנה מקובלת ועדכנית.
7. הארגון וידא כי לפני קבלת הממצאים/ארטיפקטים (Artifacts), הצד המקבל וידא את זהות השולח.
8. הארגון וידא כי שמר לוגים בעלי ערך אבטחתי לתקופה מינימלית של 90 ימים לפחות.</t>
  </si>
  <si>
    <t>9.	הארגון וידא כי בשגרה לכלל מנהלי המערכת ישנה הרשאה לקריאה בלבד (Read Only).
10.	הארגון וידא כי הגדיר אורך חיים לכל ארטיפקט במערך הניטור, ומנוע אפשרות למחיקה/שינוי של הארטיפקט בתקופה זו (Retention Policy).
11.	הארגון וידא כי הארטיפקטים מאוחסנים ברשת הארגון ייעודית (דוגמת VLAN/Segment).
12.	הארגון וידא כי מערך הניטור מאוחסן ברשת הארגון ייעודית (דוגמת VLAN/Segment).
13.	הארגון וידא את קיומה של הפרדת סמכויות (SoD) בין בעלי הגישה לארטיפקטים (לדוגמה: גורם המתשאל את הארטיפקטים לא יקבל הרשאה למחיקה/שינוי).
14.	הארגון וידא את קיומה של חוות דעת משפטית עדכנית המאשרת כי הארטפיקטים והתהליכים התומכים עומדים בדרישות החקיקה (דוגמת עמידה בעקרון שמירה על שרשרת הראיות), הרגולציה, דרישות חוזיות וצרכים עסקיים.
15. הארגון וידא כי שמר לוגים בעלי ערך אבטחתי לתקופה מינימלית של שנה לפחות.</t>
  </si>
  <si>
    <t>15.	הארגון וידא כי לכל ארטיפקט נוצר ערך גיבוב חד-כיווני (Hash) בעת יצירה/שינוי, אשר מאוחסן בנפרד, ולפני אחזור הארטיפקט מערך הניטור מוודא את קיומה של הלימה בין הערך השמור לארטיפקט.
16.	הארגון וידא כי אפשר לגשת לארטיפקטים שנאספו אך ורק באמצעות רשת OOB.
17.	הארגון וידא כי אפשר לגשת למערך הניטור אך ורק באמצעות רשת OOB.
18.	הארגון וידא כי מערך האחסון המשרת את מערך הניטור הינו ייעודי (לרבות מתגי תקשורת, דוגמת FC), ולא משותף לנכסי סייבר אחרים בארגון.
19.	הארגון וידא כי גורם בלתי תלוי בדק באופן עתי את תהליכי העבודה של מערך הניטור, וכי לא בוצע ניצול הרשאות לגיטימיות לרעה.
20. הארגון וידא כי שמר לוגים בעלי ערך אבטחתי לתקופה מינימלית של שנתיים לפחות.</t>
  </si>
  <si>
    <t>20.	הארגון וידא כי מערך הגיבוי המשרת את מערך הניטור הינו ייעודי (לרבות מתגי התקשרות דוגמת FC), ולא משותף לנכסי סייבר אחרים בארגון.
21.	הארגון וידא כי לכל ארטיפקט מוצמדת חתימה דיגיטלית (Digital Signature) ייעודית בעת יצירה/שינוי (הן ברמת השורה, ובן ברמת ה-Block). כמו כן, לפני אחזור הממצא/הארטיפקט מערך הניטור מוודא את קיומה של הלימה בין הערך השמור לארטיפקט/תקינות החתימה.
22.	הארגון וידא כי יישם מנגנוני הקלטה וניטור על פעילות משתמשים באמצעות הטמעת מערכת ייעודית על רשומות הבקרה.
23. הארגון וידא כי ישם אימות הדדי על בסיסי תעודות דיגיטליות (mTLS) בין הצדדים המעורבים בתהליך הניטור.
24. הארגון וידא כי גם כאשר לתוקף ישנה שליטה מלאה על יעד ההגנה, הוא אינו יכול להשפיע על מהימנות ושלמות (Integrity) תהליך איסוף הארטיפקטים. דוגמה ליישום: שימוש בשיטות איסוף שונות לאותה מטרה (דוגמת הקלטת הקובץ המשונע ברשת, ואיסוף שלו הן בצד המקבל, והן בצד השולח), וביצוע קורלציה בין הממצאים.</t>
  </si>
  <si>
    <t>1. ודאו כי מחזור החיים של הארטיפקטים כולל שמירה על עקרון שרשרת הראיות (Chain of Custody).
2.  ודאו כי הזמן בין יצירת הארטיפקט להעברתו למערך הניטור המרכזי קצר ככל הניתן.
3. ודא קיומו של מידור על הארטיפקטים וזאת בכל מחזור החיים, תוך צמצום מספר המורשים לגישה ומתן הרשאות נמוכות (Least Privilege).
4. ודאו כי ישנה הפרדה בין גיבוי מידע "רגיל" לארטיפקטים של מערך הניטור. בכלל זה, ודא כי רשומות הבקרה נשמרות במדיית אחסון נפרדת.
5. ודאו שמירה של רשומות בקרה/יומן מופעים לתקופה הנגזרת מדרישות החוק, רגולציה, דרישות עסקיות וצרכים עסקיים, ובכלל זה לא פחות משלושה חודשים. בכלל זה יש לוודא כי בתקופה שהוגדרה לא ניתן לבצע שינויים או מחיקה למידע (Data Retention).
6. ודאו כי מתקיים תהליך שחזור עתי של רשומות הבקרה והארטיפקטים האחרים, הכולל בדיקת תקינות.
7. ודא באופן מדגמי כי גישה לא מורשית לארטיפקטים מתועדת, וכי נשלחת התרעה לצוות האבטחה.
8. ודאו באופן מדגמי כי ההתרעות על שינויים ברשומות הבקרה אכן מגיעות לגורמים הרלוונטיים.
9. ודאו כי לכל קובץ לוג ישנה חתימה דיגיטלית ו-Hash הנשמר במאגר נתונים ייעודי ומוגן.
10. ודאו כי הארטיפקטים משונעים על תווך מוצפן, וזאת בכפוף להשלמת אימות מוצלח מול יעד ההגנה.
11. ודאו כי קיים תהליך בחינה לשטחי האחסון למידע הנשמר במערך הניטור המרכזי.
12. ודאו באופן מדגמי כי ישנה זהות בין הארטיפקטים הנאספים ביעדי הגנה, לאלו המאוחסנים במערכת הניהול המרכזית.
13. ודאו ע"י צוות סגול (Purple Team) את רמת החסינות של הארטיפקטים במחזור החיים.
14. ודאו כי הארגון שמר לוגים בעלי ערך אבטחתי לתקופה מינימלית וזאת בהתאם לעומק היישום ודרישות החוק, רגולציה, דרישות חוזיות וצרכים עסקיים.</t>
  </si>
  <si>
    <t>1. ודאו כי ברשות הארגון מסמך עדכני מהשנה האחרונה, אשר כולל סקירה של  גבולות הארגון, לרבות הנחות המוצא ששימשו לשם קביעת הגבולות (הרשמיים והלא רשמיים).
2. ודאו כי ברשות הארגון מיפוי עדכני מהשבוע האחרון, הכולל את רשימת יעדי ההגנה.
3. ודאו כי ברשות הארגון מיפוי של בעלי העניין בהקשר (Context) של כל יעד הגנה.
4. ודאו כי לכל יעד הגנה שמופה נקבעה בשנה האחרונה רמת ערכיות (רמת הערכיות - עד כמה יעד ההגנה קריטי לארגון). יש לבדוק אם בוצע סקר הערכת סיכונים מתודולוגי לקביעת רמת הערכיות של יעד ההגנה
4. ודאו כי ברשות הארגון מסמך של ה-BIA מהשנה האחרונה, וכי לכל יעד הגנה הוגדר גורם עסקי האחראי לנושא הגנת מידע וסייבר.
5. ודאו כי לכל יעד הגנה ישנו מיפוי עדכני ונכון של נתיבים קריטיים (ערוצי גישה לוגיים ופיזיים ממנו ואליו). יש לודאו כי המיפוי מתעדכן בזמן אמת, בהתאם לשינויים ברשת הארגון ושיטות העבודה.
6. ודאו עדכון בזמן אמת של רמת הסיכון (Risk Scoring) מיעד ההגנה/המשתמש בהתאם לדפוס הפעילות וסד זמנים מוגדר.
7. ודאו כי לא קיים פער במיפוי יעדי ההגנה שבוצע על ידי המערכות הטכנולוגיות השונות. לדוגמה, אם ה-Directory הארגוני מציין כי קיימים X חשבונות מחשב, ואילו מערך ניהול האנטי וירוס מראה שיש מספר שונה של Agents פעילים, קיים פער המחייב בדיקה.
8. ודאו כי לא קיים פער בין מיפוי יעדי הגנה שבוצע  על ידי המערכות הטכנולוגיות לבין מצאי מלאי ידני. 
9. ודאו כי הארגון נעזר בשיטות הבאות לביצוע המיפוי:
א. שיטות פסיביות - בחינת ARP\MAC Table, הקלטת תעבורה, או חיפוש במאגרי מידע (דוגמת DHCP\DNS Server) ועוד.
ב. שיטות אקטיביות - סריקת פורטים ושירותים (Footprinting, Fingerprinting, Enumeration), תשאול WMI ועוד.
ג. בחינת הגדרות תצורה - בחינת קובצי הגדרות תצורה לאיתור מיפוי/סממנים המעידים על יעדי הגנת נוספים.
10. ודאו כי הארגון עושה שימוש במודל מקובל ועדכני לחישוב ובחינה של משטח התקיפה של כל יעד הגנה, קבוצת יעדי הגנה בעלי מאפיינים דומים, וכל יעדי ההגנה.
11. ודאו כי ברשות הארגון מיפוי עדכני של אנשי הקשר הרלוונטיים, שאחראים ברמה העסקית על כל יעד הגנה.
12. ודאו כי ברשות הארגון מיפוי עדכני של בעלי העניין (Stakeholders) ביחס לכל יעד הגנה.
13. דאו כי ביחס לכל יעד הגנה, צבר יעד הגנה בעלי פונקציונליות דומה, ולכלל יעדי ההגנה ישנם Vulnerability Graphs המתעדכנים בזמן אמת.
14. ודאו כי ביחס לכל יעד הגנה, צבר יעד הגנה בעלי פונקציונליות דומה, ולכלל יעדי ההגנה ישנם Attack Graphs, Attack Maps, Attack Treesהמתעדכנים בזמן אמת.
15. ודאו כי תהליך המיפוי כולל התייחסות ליעדי הגנה אשר נמצאים ברשות גורמים בשרשרת האספקה של הארגון, דוגמת ספק אחסון אתר האינטרנט.
16. ודאו באופן מדגמי כי המיפוי של יעדי ההגנה כולל פרופיל/מצאי חומרה ותוכנה עדכני.</t>
  </si>
  <si>
    <t>4. הארגון וידא כי תהליך המיפוי של יעדי ההגנה כולל התייחסות לתהליכים העסקיים ולתוכנית ההמשכיות העסקית שלו.
5.  הארגון וידא כי לא קיים פער במיפוי יעדי הגנה אשר בוצע על ידי המערכות הטכנולוגיות השונות. לדוגמה, אם ה-Directory הארגוני מציין כי קיימים X חשבונות מחשב, ואילו מערך ניהול האנטי וירוס מראה שיש מספר שונה של Agents פעילים, ישנו פער המחייב בדיקה.
6. הארגון וידא כי לא קיים פער בין מיפוי יעדי הגנה שבוצע על ידי המערכות הטכנולוגיות לבין מצאי מלאי ידני.
7. הארגון וידא כי המיפוי של יעדי ההגנה כולל פרופיל/מצאי חומרה ותוכנה עדכני.</t>
  </si>
  <si>
    <t>8. הארגון וידא כי הוא משתמש באמצעים פסיביים למיפוי יעדי ההגנה, לדוגמה: בחינת הנתונים בטבלאות ציוד התקשורת. 
9. הארגון וידא כי הוא משתמש באמצעים אקטיביים למיפוי יעדי ההגנה, לדוגמה: סריקת WMI ברשת הארגון.
10. הארגון וידא כי מיפוי יעדי ההגנה הוא עדכני - נכון לזמן אמת (Real Time) או לכל הפחות קרוב לזמן אמת (Near Real Time).
11. הארגון וידא כי הוא קובע את מדרג הסיכון מיעדי ההגנה/המשתמשים בזמן אמת (Real Time) או לכל הפחות קרוב לזמן אמת (Near Real Time).
12. הארגון וידא כי הוא ממפה את דרכי היציאה/כניסה (הידועות והלא ידועות) לכל יעד הגנה באמצעות שימוש באמצעים טכנולוגיים מקובלים. דוגמה ליישום: שימוש ב-BAS.
13. הארגון וידא כי יעד ההגנה מדווח באופן רציף על מצב האבטחה שלו (Device Attestation) למערכת ניהול מרכזית.</t>
  </si>
  <si>
    <t>14. הארגון וידא כי מיפוי יעדי ההגנה הוא עדכני ובזמן אמת (Real Time).
15. הארגון וידא הוא קובע את מדרג הסיכון מיעדי ההגנה/המשתמשים בזמן אמת (Real Time).
16. הארגון וידא כי בחן את הצורך במיפוי בזמן אמת (Real Time) של משטח התקיפה החיצוני של ספקים מהותיים בשרשרת האספקה שלו (ASM).
17. הארגון וידא הוא קובע את מדרג הסיכון מיעדי ההגנה של הספקים הרלוונטים בשרשרת האספקה שלו בזמן אמת (Real Time).
18. הארגון וידא כי מערכת ניהול מרכזית מוודאת באופן רציף ובלתי-תלוי את מצב האבטחה של יעד ההגנה (Device Attestation), כך שגם אם יעד ההגנה מספק דיווח כוזב על מצבו (State) או זהותו (Identity),  עדיין הארגון מסוגל לגלות ולזהות באופן אפקטיבי את המצב האמיתי.</t>
  </si>
  <si>
    <t xml:space="preserve">6. הארגון וידא כי ההנהלה אישרה פעם בשנה לפחות תקציב נאות שיספיק לעמידה בדרישות הגנת המידע והסייבר בהתאם לתוכנית העבודה.
7. הארגון וידא ההנהלה בוחנת את הנזקים הישירים והעקיפים (בעיקר הכספיים) שעלולים לנבוע מאירועי הגנת מידע וסייבר, ונערכת בהתאם לצמצומם (באמצעות הקצאת תקציב משוריין או בשיטה אחרת).
8. הארגון וידא כי ההנהלה קיימה ישיבה בנושא הגנת מידע וסייבר לפחות אחת לרבעון.
9. הארגון וידא כי צוות ניהול הסיכונים קבע עם היחידות העסקיות את גבולות הסיכון הקשורים להגנת מידע וסייבר. 
10. הארגון וידא כי תהליך ניהול סיכוני הגנת מידע וסייבר משולב בתהליך ניהול הסיכונים הארגוני (ERM). יש לוודא גם כי קיימת מתודולוגיה ארגונית אחידה לניהול סיכונים, כך שסיכוני הגנת המידע והסייבר ייגזרו מהסיכונים הרלוונטיים.
11. הארגון וידא כי ברשותו פלטפורמה ממוכנת (GRC) לניהול תהליך הסיכונים ולביצוע בקרה אפקטיבית על מימוש תוכנית הפחתת הסיכונים.
</t>
  </si>
  <si>
    <t xml:space="preserve">11. הארגון וידא כי מתבצע תהליך של סקירת אירועים דומיננטיים בסקטור הפעילות ובמדינה, וכי מתבצעת היערכות לנוכח איומים אלו. 
</t>
  </si>
  <si>
    <t>1. ודאו כי פרוטוקולי הדיון מהשנה האחרונה מעידים כי התקיימו ישיבות הנהלה שבהן הוצגו נושאים מקובלים, כמו:
א. רשימת יעדי ההגנה שמופו  - תהליכים ארגוניים ויעדי ההגנה (לרבות טכנולוגיות תומכות).
ב. תוצאות סקר סייבר ארגוני שבוצע וחשיפות עיקריות.
ג. מפת סיכוני הסייבר של הארגון.
ד. אירועי סייבר בארץ ובעולם, ומסקנות נגזרות.
2. ודאו כי פרוטוקולי הדיון מהשנה האחרונה מעידים כי ההנהלה אישרה את פרופיל הסיכונים העדכני.
3. ודאו כי פרוטוקולי הדיון מהשנה האחרונה מעידים כי ההנהלה עוקבת אחר יישום תוכנית העבודה לצמצום סיכוני הגנת מידע וסייבר.
4. ודאו כי פרוטוקולי הדיון מהשנה האחרונה מעידים כי ההנהלה אישרה סעיף ייעודי בתקציב להגנת מידע וסייבר, וכי התקציב הולם את פרופיל הסיכון.
5. ודאו כי ההנהלה הגדירה את מחויבות בעלי התפקידים להגנת מידע וסייבר בכתבי המינוי.
6. ודאו כי פרוטוקולי הדיון מהשנה האחרונה מעידים על מעורבות ההנהלה בטיפול באירועי סייבר וחולשות מהותיות.
7. ודאו כי פרוטוקולי הדיון מהשנה האחרונה מעידים על אישור/תיקוף מדיניות הגנת מידע וסייבר.
8. ודאו כי בעלי התפקידים בארגון מודעים לחובותיהם האישיות בנושא הגנת מידע וסייבר. ניתן לעשות זאת, למשל, באמצעות תשאול.
9. ודאו כי ברשות הארגון סקירה עדכנית של ההקשר העסקי (Context) שבו הוא פועל, תוך התייחסות לאסטרטגיה הארגונית, לסביבה העסקית, ולהשפעתה של הגנת המידע והסייבר.
10. ודאו כי ברשות הארגון מיפוי עדכני של ה-Attack Tree / Course of Actions (COA) הרלוונטים ביחס ליעד הגנה בודד, לצבר/משפחה של יעדי הגנה, לכלל יעדי ההגנה וכו'. בכלל זה, יש לוודא תאימות ל-MITRE ATT&amp;CK ו-MITRE D3FEND Matrix בגרסתם העדכנית.
11. ודאו כי ברשות הארגון Risk Registry עדכני המנוהל במערכת GRC מקובלת ועדכנית.
12. ודאו כי ברשות הארגון BIA עדכני.
13. ודאו כי הארגון עשה שימוש במתודולוגיה מקובלת ועדכנית למיפוי הסביבה העסקית/ההקשר (Context) וזאת ע"י עיון במסמכים תומכים (דוגמת מדיניות הגנת המידע וסייבר, אסטרגיה ארגונית לביצוע טרנספורמציה דיגיטלית) ושיחה עם בעלי עניין (Stakeholders), בדגש על דרג ההנהלה והדירקטוריון.
14. ודאו באופן מדגמי כי הארגון ביצע סקר סיכונים ייעודי במחזור החיים של כל יעד הגנה וזאת בהתאם לתנאים שהוגדרו.</t>
  </si>
  <si>
    <t xml:space="preserve">2. הארגון וידא כי ההנהלה אישרה אחת לשנה לכל הפחות את הנושא הבא:
א. מפת הסיכונים השורשיים והשיוריים בהתאם לרמת תיאבון הסיכון המאושרת.
3. הארגון וידא כי ההנהלה אישרה אחת לחצי שנה את רמת הגנת המידע והסייבר.
4. הארגון וידא כי ההנהלה מינתה נושא משרה בעל ניסיון מקצועי וכישורים מתאימים לתפקיד ממונה הגנת מידע וסייבר. במקרה שהממונה עוסק בסוגיות נוספות בארגון, ההנהלה הבטיחה כי הוא לא יימצא במצב של ניגוד עניינים. 
5. הארגון וידא כי ביצע סקר סיכונים ייעודי במחזור החיים של כל יעד הגנה, וזאת:
א. בשלב ההקמה של יעד הגנה חדש.
ב. בתדירות של אחת לשנה לכל היותר.
ג לאחר שינוי מהותי ביעד ההגנה או בסביבה.
ג. לאחר איתור איום חדש.
ה. לאחר חשיפה של פגיעות/חולשה מהותית.
ו. לאחר אירוע סייבר משמעותי.
ז. בעת החלפת גורם עסקי ממונה (Owner).
* ליעדי הגנה ברמה 3 ומעלה יש לוודא כי הסקר נערך ע"י גורם צד-שלישי.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</si>
</sst>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rgb="FF000000"/>
      <name val="Calibri"/>
    </font>
    <font>
      <sz val="11"/>
      <color theme="1"/>
      <name val="Calibri"/>
      <family val="2"/>
      <charset val="177"/>
      <scheme val="minor"/>
    </font>
    <font>
      <b/>
      <sz val="12"/>
      <color theme="1"/>
      <name val="Calibri"/>
    </font>
    <font>
      <sz val="12"/>
      <color theme="1"/>
      <name val="Calibri"/>
    </font>
    <font>
      <sz val="12"/>
      <name val="Calibri"/>
    </font>
    <font>
      <sz val="12"/>
      <color theme="1"/>
      <name val="Calibri"/>
    </font>
    <font>
      <sz val="12"/>
      <color rgb="FF000000"/>
      <name val="&quot;docs-Calibri&quot;"/>
    </font>
    <font>
      <u/>
      <sz val="12"/>
      <color rgb="FF0000FF"/>
      <name val="Calibri"/>
    </font>
    <font>
      <sz val="12"/>
      <color theme="1"/>
      <name val="Calibri"/>
    </font>
    <font>
      <sz val="12"/>
      <color theme="1"/>
      <name val="Arial"/>
    </font>
    <font>
      <sz val="12"/>
      <color rgb="FF0070C0"/>
      <name val="Arial"/>
    </font>
    <font>
      <b/>
      <u/>
      <sz val="12"/>
      <color theme="1"/>
      <name val="Calibri"/>
    </font>
    <font>
      <b/>
      <sz val="12"/>
      <color theme="1"/>
      <name val="Calibri"/>
      <family val="2"/>
    </font>
    <font>
      <sz val="12"/>
      <color theme="1"/>
      <name val="Calibri"/>
      <family val="2"/>
    </font>
    <font>
      <sz val="11"/>
      <color rgb="FF006100"/>
      <name val="Calibri"/>
      <family val="2"/>
      <charset val="177"/>
      <scheme val="minor"/>
    </font>
    <font>
      <b/>
      <sz val="11"/>
      <color rgb="FFFA7D00"/>
      <name val="Calibri"/>
      <family val="2"/>
      <charset val="177"/>
      <scheme val="minor"/>
    </font>
    <font>
      <b/>
      <sz val="9"/>
      <color theme="0"/>
      <name val="Calibri"/>
      <family val="2"/>
      <scheme val="minor"/>
    </font>
    <font>
      <sz val="9"/>
      <color rgb="FF000000"/>
      <name val="Calibri"/>
      <family val="2"/>
      <scheme val="minor"/>
    </font>
    <font>
      <sz val="9"/>
      <color theme="0"/>
      <name val="Calibri"/>
      <family val="2"/>
      <scheme val="minor"/>
    </font>
    <font>
      <sz val="11"/>
      <color rgb="FF006100"/>
      <name val="Calibri"/>
      <family val="2"/>
      <scheme val="minor"/>
    </font>
    <font>
      <u/>
      <sz val="9"/>
      <color rgb="FF006100"/>
      <name val="Calibri"/>
      <family val="2"/>
      <scheme val="minor"/>
    </font>
    <font>
      <sz val="12"/>
      <color rgb="FF000000"/>
      <name val="Arial"/>
      <family val="2"/>
    </font>
    <font>
      <sz val="11"/>
      <color rgb="FF000000"/>
      <name val="Arial"/>
      <family val="2"/>
    </font>
    <font>
      <sz val="11"/>
      <name val="Calibri"/>
      <family val="2"/>
      <charset val="177"/>
      <scheme val="minor"/>
    </font>
    <font>
      <sz val="11"/>
      <color rgb="FF000000"/>
      <name val="Calibri"/>
      <family val="2"/>
      <scheme val="minor"/>
    </font>
    <font>
      <b/>
      <sz val="11"/>
      <color theme="1"/>
      <name val="Calibri"/>
      <family val="2"/>
      <scheme val="minor"/>
    </font>
    <font>
      <sz val="11"/>
      <color theme="1"/>
      <name val="Calibri"/>
    </font>
    <font>
      <sz val="11"/>
      <name val="Arial"/>
    </font>
    <font>
      <b/>
      <sz val="12"/>
      <color rgb="FFFF0000"/>
      <name val="Calibri"/>
      <family val="2"/>
      <scheme val="minor"/>
    </font>
    <font>
      <b/>
      <sz val="11"/>
      <color rgb="FF006100"/>
      <name val="Calibri"/>
      <family val="2"/>
      <scheme val="minor"/>
    </font>
    <font>
      <sz val="11"/>
      <color theme="1"/>
      <name val="Arial"/>
      <family val="2"/>
    </font>
  </fonts>
  <fills count="20">
    <fill>
      <patternFill patternType="none"/>
    </fill>
    <fill>
      <patternFill patternType="gray125"/>
    </fill>
    <fill>
      <patternFill patternType="solid">
        <fgColor rgb="FFB8CCE4"/>
        <bgColor rgb="FFB8CCE4"/>
      </patternFill>
    </fill>
    <fill>
      <patternFill patternType="solid">
        <fgColor rgb="FF92D050"/>
        <bgColor rgb="FF92D050"/>
      </patternFill>
    </fill>
    <fill>
      <patternFill patternType="solid">
        <fgColor rgb="FFDBE5F1"/>
        <bgColor rgb="FFDBE5F1"/>
      </patternFill>
    </fill>
    <fill>
      <patternFill patternType="solid">
        <fgColor theme="0"/>
        <bgColor theme="0"/>
      </patternFill>
    </fill>
    <fill>
      <patternFill patternType="solid">
        <fgColor rgb="FFD99594"/>
        <bgColor rgb="FFD99594"/>
      </patternFill>
    </fill>
    <fill>
      <patternFill patternType="solid">
        <fgColor rgb="FFC6EFCE"/>
      </patternFill>
    </fill>
    <fill>
      <patternFill patternType="solid">
        <fgColor rgb="FFF2F2F2"/>
      </patternFill>
    </fill>
    <fill>
      <patternFill patternType="solid">
        <fgColor theme="0" tint="-0.49998474074526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rgb="FFE2EFDA"/>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6" tint="0.79998168889431442"/>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bottom/>
      <diagonal/>
    </border>
    <border>
      <left style="medium">
        <color indexed="64"/>
      </left>
      <right style="medium">
        <color indexed="64"/>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medium">
        <color indexed="64"/>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right style="medium">
        <color indexed="64"/>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indexed="64"/>
      </left>
      <right style="medium">
        <color indexed="64"/>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5">
    <xf numFmtId="0" fontId="0" fillId="0" borderId="0"/>
    <xf numFmtId="0" fontId="14" fillId="7" borderId="0" applyNumberFormat="0" applyBorder="0" applyAlignment="0" applyProtection="0"/>
    <xf numFmtId="0" fontId="15" fillId="8" borderId="3" applyNumberFormat="0" applyAlignment="0" applyProtection="0"/>
    <xf numFmtId="0" fontId="1" fillId="0" borderId="2"/>
    <xf numFmtId="0" fontId="19" fillId="7" borderId="2" applyNumberFormat="0" applyBorder="0" applyAlignment="0" applyProtection="0"/>
  </cellStyleXfs>
  <cellXfs count="189">
    <xf numFmtId="0" fontId="0" fillId="0" borderId="0" xfId="0" applyFont="1" applyAlignment="1"/>
    <xf numFmtId="0" fontId="2" fillId="2" borderId="1" xfId="0" applyFont="1" applyFill="1" applyBorder="1" applyAlignment="1">
      <alignment horizontal="center" textRotation="90" wrapText="1"/>
    </xf>
    <xf numFmtId="0" fontId="2" fillId="2" borderId="1" xfId="0" applyFont="1" applyFill="1" applyBorder="1" applyAlignment="1">
      <alignment horizontal="center" vertical="center" textRotation="90" wrapText="1"/>
    </xf>
    <xf numFmtId="0" fontId="2"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2" fillId="2" borderId="1" xfId="0" applyFont="1" applyFill="1" applyBorder="1" applyAlignment="1">
      <alignment horizontal="right" vertical="center" wrapText="1" readingOrder="2"/>
    </xf>
    <xf numFmtId="0" fontId="2" fillId="2" borderId="1" xfId="0" applyFont="1" applyFill="1" applyBorder="1" applyAlignment="1">
      <alignment horizontal="center" vertical="top" wrapText="1"/>
    </xf>
    <xf numFmtId="0" fontId="2" fillId="2" borderId="1" xfId="0" applyFont="1" applyFill="1" applyBorder="1" applyAlignment="1">
      <alignment horizontal="right" vertical="center" wrapText="1"/>
    </xf>
    <xf numFmtId="0" fontId="3" fillId="2" borderId="2" xfId="0" applyFont="1" applyFill="1" applyBorder="1" applyAlignment="1">
      <alignment vertical="center" wrapText="1"/>
    </xf>
    <xf numFmtId="0" fontId="3" fillId="0" borderId="1" xfId="0" applyFont="1" applyBorder="1" applyAlignment="1">
      <alignment horizontal="center" textRotation="90" wrapText="1"/>
    </xf>
    <xf numFmtId="0" fontId="3" fillId="0" borderId="1" xfId="0" applyFont="1" applyBorder="1" applyAlignment="1">
      <alignment vertical="top" textRotation="90" wrapText="1"/>
    </xf>
    <xf numFmtId="0" fontId="3" fillId="0" borderId="1" xfId="0" applyFont="1" applyBorder="1" applyAlignment="1">
      <alignment vertical="top" textRotation="90" wrapText="1"/>
    </xf>
    <xf numFmtId="0" fontId="3" fillId="0" borderId="1" xfId="0" applyFont="1" applyBorder="1" applyAlignment="1">
      <alignment horizontal="center" vertical="top" textRotation="90" wrapText="1"/>
    </xf>
    <xf numFmtId="0" fontId="3" fillId="0" borderId="1" xfId="0" applyFont="1" applyBorder="1" applyAlignment="1">
      <alignment vertical="top" wrapText="1"/>
    </xf>
    <xf numFmtId="0" fontId="0" fillId="0" borderId="1" xfId="0" applyFont="1" applyBorder="1"/>
    <xf numFmtId="0" fontId="3" fillId="0" borderId="1" xfId="0" applyFont="1" applyBorder="1" applyAlignment="1">
      <alignment horizontal="right" vertical="top" wrapText="1" readingOrder="2"/>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horizontal="right" vertical="top" wrapText="1"/>
    </xf>
    <xf numFmtId="0" fontId="3" fillId="0" borderId="0" xfId="0" applyFont="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textRotation="90" wrapText="1"/>
    </xf>
    <xf numFmtId="0" fontId="4" fillId="0" borderId="1" xfId="0" applyFont="1" applyBorder="1" applyAlignment="1">
      <alignment horizontal="right" vertical="top" wrapText="1" readingOrder="2"/>
    </xf>
    <xf numFmtId="0" fontId="2" fillId="0" borderId="1" xfId="0" applyFont="1" applyBorder="1" applyAlignment="1">
      <alignment horizontal="center" vertical="top" wrapText="1"/>
    </xf>
    <xf numFmtId="0" fontId="3" fillId="0" borderId="1" xfId="0" applyFont="1" applyBorder="1" applyAlignment="1">
      <alignment vertical="top" wrapText="1"/>
    </xf>
    <xf numFmtId="49" fontId="3" fillId="4" borderId="1" xfId="0" applyNumberFormat="1" applyFont="1" applyFill="1" applyBorder="1" applyAlignment="1">
      <alignment horizontal="center" vertical="top" textRotation="90" wrapText="1"/>
    </xf>
    <xf numFmtId="0" fontId="5" fillId="0" borderId="1" xfId="0" applyFont="1" applyBorder="1" applyAlignment="1">
      <alignment horizontal="right" vertical="top" wrapText="1" readingOrder="2"/>
    </xf>
    <xf numFmtId="0" fontId="3" fillId="0" borderId="1" xfId="0" applyFont="1" applyBorder="1" applyAlignment="1">
      <alignment horizontal="center" vertical="top" wrapText="1"/>
    </xf>
    <xf numFmtId="0" fontId="3" fillId="0" borderId="1" xfId="0" applyFont="1" applyBorder="1" applyAlignment="1">
      <alignment horizontal="center" vertical="top" textRotation="90" wrapText="1"/>
    </xf>
    <xf numFmtId="0" fontId="6" fillId="0" borderId="0" xfId="0" applyFont="1" applyAlignment="1"/>
    <xf numFmtId="49" fontId="3" fillId="0" borderId="1" xfId="0" applyNumberFormat="1" applyFont="1" applyBorder="1" applyAlignment="1">
      <alignment horizontal="center" vertical="top" textRotation="90" wrapText="1"/>
    </xf>
    <xf numFmtId="0" fontId="3" fillId="0" borderId="1" xfId="0" applyFont="1" applyBorder="1" applyAlignment="1">
      <alignment horizontal="right" vertical="top" wrapText="1" readingOrder="2"/>
    </xf>
    <xf numFmtId="0" fontId="3" fillId="0" borderId="1" xfId="0" applyFont="1" applyBorder="1" applyAlignment="1">
      <alignment horizontal="left" vertical="top" wrapText="1" readingOrder="2"/>
    </xf>
    <xf numFmtId="49" fontId="3" fillId="0" borderId="1" xfId="0" applyNumberFormat="1" applyFont="1" applyBorder="1" applyAlignment="1">
      <alignment horizontal="right" vertical="top" wrapText="1"/>
    </xf>
    <xf numFmtId="0" fontId="0" fillId="0" borderId="1" xfId="0" applyFont="1" applyBorder="1" applyAlignment="1">
      <alignment horizontal="right" vertical="center" wrapText="1"/>
    </xf>
    <xf numFmtId="0" fontId="3" fillId="0" borderId="1" xfId="0" applyFont="1" applyBorder="1" applyAlignment="1">
      <alignment horizontal="right" vertical="top" wrapText="1"/>
    </xf>
    <xf numFmtId="0" fontId="3" fillId="0" borderId="1" xfId="0" applyFont="1" applyBorder="1" applyAlignment="1">
      <alignment horizontal="right" vertical="top" wrapText="1" readingOrder="2"/>
    </xf>
    <xf numFmtId="0" fontId="3" fillId="0" borderId="1" xfId="0" applyFont="1" applyBorder="1" applyAlignment="1">
      <alignment horizontal="right" vertical="top" wrapText="1" readingOrder="2"/>
    </xf>
    <xf numFmtId="0" fontId="7" fillId="0" borderId="1" xfId="0" applyFont="1" applyBorder="1" applyAlignment="1">
      <alignment horizontal="right" vertical="top" wrapText="1" readingOrder="2"/>
    </xf>
    <xf numFmtId="0" fontId="3" fillId="0" borderId="1" xfId="0" applyFont="1" applyBorder="1" applyAlignment="1">
      <alignment horizontal="right" vertical="top" textRotation="90" wrapText="1" readingOrder="2"/>
    </xf>
    <xf numFmtId="49" fontId="3" fillId="0" borderId="1" xfId="0" applyNumberFormat="1" applyFont="1" applyBorder="1" applyAlignment="1">
      <alignment horizontal="center" vertical="top" textRotation="90" wrapText="1" readingOrder="2"/>
    </xf>
    <xf numFmtId="0" fontId="3" fillId="0" borderId="1" xfId="0" applyFont="1" applyBorder="1" applyAlignment="1">
      <alignment horizontal="right" vertical="top" textRotation="90" wrapText="1" readingOrder="2"/>
    </xf>
    <xf numFmtId="0" fontId="3" fillId="0" borderId="1" xfId="0" applyFont="1" applyBorder="1" applyAlignment="1">
      <alignment horizontal="right" vertical="center" wrapText="1" readingOrder="2"/>
    </xf>
    <xf numFmtId="0" fontId="3" fillId="0" borderId="1" xfId="0" applyFont="1" applyBorder="1" applyAlignment="1">
      <alignment horizontal="center" vertical="top" wrapText="1" readingOrder="2"/>
    </xf>
    <xf numFmtId="0" fontId="3" fillId="0" borderId="1" xfId="0" applyFont="1" applyBorder="1" applyAlignment="1">
      <alignment horizontal="left" vertical="top" wrapText="1" readingOrder="1"/>
    </xf>
    <xf numFmtId="0" fontId="3" fillId="0" borderId="1" xfId="0" applyFont="1" applyBorder="1" applyAlignment="1">
      <alignment horizontal="right" vertical="top" wrapText="1"/>
    </xf>
    <xf numFmtId="0" fontId="3" fillId="0" borderId="0" xfId="0" applyFont="1" applyAlignment="1">
      <alignment horizontal="center" textRotation="90" wrapText="1"/>
    </xf>
    <xf numFmtId="0" fontId="3" fillId="0" borderId="1" xfId="0" applyFont="1" applyBorder="1" applyAlignment="1">
      <alignment horizontal="left" vertical="top" wrapText="1" readingOrder="1"/>
    </xf>
    <xf numFmtId="0" fontId="3" fillId="6" borderId="1" xfId="0" applyFont="1" applyFill="1" applyBorder="1" applyAlignment="1">
      <alignment horizontal="center" textRotation="90" wrapText="1"/>
    </xf>
    <xf numFmtId="0" fontId="3" fillId="0" borderId="1" xfId="0" applyFont="1" applyBorder="1" applyAlignment="1">
      <alignment horizontal="center" vertical="top" textRotation="90" wrapText="1" readingOrder="2"/>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wrapText="1"/>
    </xf>
    <xf numFmtId="0" fontId="3" fillId="0" borderId="0" xfId="0" applyFont="1" applyAlignment="1">
      <alignment vertical="top" textRotation="90" wrapText="1"/>
    </xf>
    <xf numFmtId="0" fontId="3" fillId="0" borderId="0" xfId="0" applyFont="1" applyAlignment="1">
      <alignment horizontal="center" vertical="top" textRotation="90" wrapText="1"/>
    </xf>
    <xf numFmtId="0" fontId="3" fillId="0" borderId="0" xfId="0" applyFont="1" applyAlignment="1">
      <alignment horizontal="center" vertical="center" textRotation="90" wrapText="1"/>
    </xf>
    <xf numFmtId="0" fontId="3" fillId="0" borderId="0" xfId="0" applyFont="1" applyAlignment="1">
      <alignment horizontal="center" vertical="center" wrapText="1"/>
    </xf>
    <xf numFmtId="0" fontId="8" fillId="0" borderId="0" xfId="0" applyFont="1"/>
    <xf numFmtId="0" fontId="3" fillId="0" borderId="0" xfId="0" applyFont="1" applyAlignment="1">
      <alignment horizontal="right" vertical="top" wrapText="1" readingOrder="2"/>
    </xf>
    <xf numFmtId="0" fontId="3" fillId="0" borderId="0" xfId="0" applyFont="1" applyAlignment="1">
      <alignment horizontal="right" vertical="top" wrapText="1"/>
    </xf>
    <xf numFmtId="0" fontId="13" fillId="0" borderId="1" xfId="0" applyFont="1" applyBorder="1" applyAlignment="1">
      <alignment vertical="top" wrapText="1"/>
    </xf>
    <xf numFmtId="0" fontId="13" fillId="0" borderId="1" xfId="0" applyFont="1" applyBorder="1" applyAlignment="1">
      <alignment horizontal="right" vertical="top" wrapText="1" readingOrder="2"/>
    </xf>
    <xf numFmtId="0" fontId="13" fillId="0" borderId="1" xfId="0" applyFont="1" applyBorder="1" applyAlignment="1">
      <alignment horizontal="right" vertical="top" wrapText="1"/>
    </xf>
    <xf numFmtId="0" fontId="16" fillId="9" borderId="2" xfId="3" applyFont="1" applyFill="1" applyBorder="1" applyAlignment="1">
      <alignment horizontal="right" vertical="top" wrapText="1"/>
    </xf>
    <xf numFmtId="0" fontId="16" fillId="9" borderId="2" xfId="3" applyFont="1" applyFill="1" applyBorder="1" applyAlignment="1">
      <alignment horizontal="center" vertical="top" wrapText="1"/>
    </xf>
    <xf numFmtId="0" fontId="17" fillId="10" borderId="2" xfId="3" applyFont="1" applyFill="1" applyBorder="1" applyAlignment="1">
      <alignment horizontal="right" vertical="top" wrapText="1"/>
    </xf>
    <xf numFmtId="0" fontId="17" fillId="0" borderId="2" xfId="3" applyFont="1" applyBorder="1" applyAlignment="1">
      <alignment horizontal="right" vertical="top"/>
    </xf>
    <xf numFmtId="0" fontId="16" fillId="9" borderId="2" xfId="3" applyFont="1" applyFill="1" applyBorder="1" applyAlignment="1">
      <alignment horizontal="center" vertical="top"/>
    </xf>
    <xf numFmtId="0" fontId="18" fillId="9" borderId="2" xfId="3" applyFont="1" applyFill="1" applyBorder="1" applyAlignment="1">
      <alignment horizontal="left" vertical="top" readingOrder="1"/>
    </xf>
    <xf numFmtId="0" fontId="18" fillId="9" borderId="2" xfId="3" applyFont="1" applyFill="1" applyBorder="1" applyAlignment="1">
      <alignment horizontal="center" vertical="top"/>
    </xf>
    <xf numFmtId="0" fontId="17" fillId="11" borderId="2" xfId="3" applyFont="1" applyFill="1" applyBorder="1" applyAlignment="1">
      <alignment horizontal="right" vertical="top"/>
    </xf>
    <xf numFmtId="0" fontId="17" fillId="0" borderId="2" xfId="3" applyFont="1" applyBorder="1" applyAlignment="1">
      <alignment horizontal="left" vertical="top" readingOrder="1"/>
    </xf>
    <xf numFmtId="0" fontId="17" fillId="0" borderId="2" xfId="3" applyFont="1" applyBorder="1" applyAlignment="1">
      <alignment horizontal="center" vertical="top"/>
    </xf>
    <xf numFmtId="0" fontId="17" fillId="0" borderId="2" xfId="3" applyFont="1" applyBorder="1" applyAlignment="1">
      <alignment horizontal="right" vertical="top" wrapText="1"/>
    </xf>
    <xf numFmtId="0" fontId="17" fillId="0" borderId="2" xfId="3" applyFont="1" applyBorder="1" applyAlignment="1">
      <alignment horizontal="left" vertical="top" wrapText="1" readingOrder="1"/>
    </xf>
    <xf numFmtId="0" fontId="20" fillId="7" borderId="2" xfId="4" applyFont="1" applyBorder="1" applyAlignment="1">
      <alignment horizontal="right" vertical="top"/>
    </xf>
    <xf numFmtId="0" fontId="20" fillId="7" borderId="2" xfId="4" applyFont="1" applyBorder="1" applyAlignment="1">
      <alignment horizontal="left" vertical="top" readingOrder="1"/>
    </xf>
    <xf numFmtId="0" fontId="21" fillId="12" borderId="4" xfId="0" applyFont="1" applyFill="1" applyBorder="1" applyAlignment="1">
      <alignment horizontal="center" vertical="top" wrapText="1" readingOrder="2"/>
    </xf>
    <xf numFmtId="0" fontId="22" fillId="0" borderId="5" xfId="0" applyFont="1" applyBorder="1" applyAlignment="1">
      <alignment horizontal="center" vertical="top" wrapText="1" readingOrder="2"/>
    </xf>
    <xf numFmtId="0" fontId="0" fillId="0" borderId="6" xfId="0" applyFont="1" applyFill="1" applyBorder="1" applyAlignment="1">
      <alignment horizontal="center" vertical="top" wrapText="1"/>
    </xf>
    <xf numFmtId="0" fontId="22" fillId="0" borderId="7" xfId="0" applyFont="1" applyBorder="1" applyAlignment="1">
      <alignment horizontal="center" vertical="top" wrapText="1" readingOrder="2"/>
    </xf>
    <xf numFmtId="0" fontId="22" fillId="13" borderId="7" xfId="0" applyFont="1" applyFill="1" applyBorder="1" applyAlignment="1">
      <alignment horizontal="right" vertical="top" wrapText="1" readingOrder="2"/>
    </xf>
    <xf numFmtId="0" fontId="22" fillId="0" borderId="7" xfId="0" applyFont="1" applyBorder="1" applyAlignment="1">
      <alignment horizontal="center" vertical="top" wrapText="1" readingOrder="1"/>
    </xf>
    <xf numFmtId="0" fontId="22" fillId="0" borderId="8" xfId="0" applyFont="1" applyBorder="1" applyAlignment="1">
      <alignment horizontal="center" vertical="top" wrapText="1" readingOrder="2"/>
    </xf>
    <xf numFmtId="0" fontId="0" fillId="0" borderId="6" xfId="0" applyFont="1" applyBorder="1" applyAlignment="1">
      <alignment horizontal="center" vertical="top" wrapText="1"/>
    </xf>
    <xf numFmtId="0" fontId="22" fillId="0" borderId="6" xfId="0" applyFont="1" applyBorder="1" applyAlignment="1">
      <alignment horizontal="center" vertical="top" wrapText="1" readingOrder="2"/>
    </xf>
    <xf numFmtId="0" fontId="22" fillId="0" borderId="6" xfId="0" applyFont="1" applyBorder="1" applyAlignment="1">
      <alignment horizontal="right" vertical="top" wrapText="1" readingOrder="2"/>
    </xf>
    <xf numFmtId="0" fontId="22" fillId="0" borderId="6" xfId="0" applyFont="1" applyBorder="1" applyAlignment="1">
      <alignment horizontal="center" vertical="top" wrapText="1" readingOrder="1"/>
    </xf>
    <xf numFmtId="0" fontId="0" fillId="0" borderId="6" xfId="0" applyNumberFormat="1" applyFont="1" applyFill="1" applyBorder="1" applyAlignment="1">
      <alignment horizontal="center" vertical="top" wrapText="1"/>
    </xf>
    <xf numFmtId="0" fontId="0" fillId="13" borderId="6" xfId="0" applyFill="1" applyBorder="1" applyAlignment="1">
      <alignment horizontal="right" vertical="top" wrapText="1"/>
    </xf>
    <xf numFmtId="0" fontId="0" fillId="0" borderId="6" xfId="0" applyBorder="1" applyAlignment="1">
      <alignment horizontal="center" vertical="top" wrapText="1"/>
    </xf>
    <xf numFmtId="0" fontId="0" fillId="0" borderId="6" xfId="0" applyFont="1" applyBorder="1" applyAlignment="1">
      <alignment horizontal="right" vertical="top" wrapText="1"/>
    </xf>
    <xf numFmtId="0" fontId="22" fillId="0" borderId="9" xfId="0" applyFont="1" applyBorder="1" applyAlignment="1">
      <alignment horizontal="center" vertical="top" wrapText="1" readingOrder="2"/>
    </xf>
    <xf numFmtId="0" fontId="0" fillId="13" borderId="6" xfId="0" applyFont="1" applyFill="1" applyBorder="1" applyAlignment="1">
      <alignment horizontal="right" vertical="top" wrapText="1"/>
    </xf>
    <xf numFmtId="0" fontId="23" fillId="13" borderId="6" xfId="0" applyFont="1" applyFill="1" applyBorder="1" applyAlignment="1">
      <alignment horizontal="right" vertical="top" wrapText="1"/>
    </xf>
    <xf numFmtId="0" fontId="0" fillId="0" borderId="8" xfId="0" applyBorder="1" applyAlignment="1">
      <alignment horizontal="center" vertical="top" wrapText="1"/>
    </xf>
    <xf numFmtId="0" fontId="0" fillId="0" borderId="6" xfId="0" applyFont="1" applyFill="1" applyBorder="1" applyAlignment="1">
      <alignment horizontal="right" vertical="top" wrapText="1"/>
    </xf>
    <xf numFmtId="0" fontId="0" fillId="0" borderId="6" xfId="0" applyNumberFormat="1" applyFont="1" applyBorder="1" applyAlignment="1">
      <alignment horizontal="center" vertical="top" wrapText="1"/>
    </xf>
    <xf numFmtId="0" fontId="0" fillId="0" borderId="6" xfId="0" applyFill="1" applyBorder="1" applyAlignment="1">
      <alignment horizontal="right" vertical="top" wrapText="1"/>
    </xf>
    <xf numFmtId="0" fontId="0" fillId="0" borderId="6" xfId="0" applyBorder="1" applyAlignment="1">
      <alignment horizontal="right" vertical="top" wrapText="1"/>
    </xf>
    <xf numFmtId="0" fontId="22" fillId="0" borderId="6" xfId="0" applyFont="1" applyBorder="1" applyAlignment="1">
      <alignment horizontal="right" vertical="center" wrapText="1" readingOrder="2"/>
    </xf>
    <xf numFmtId="0" fontId="23" fillId="0" borderId="6" xfId="0" applyFont="1" applyBorder="1" applyAlignment="1">
      <alignment horizontal="center" vertical="top" wrapText="1"/>
    </xf>
    <xf numFmtId="0" fontId="24" fillId="0" borderId="6" xfId="0" applyFont="1" applyBorder="1" applyAlignment="1">
      <alignment vertical="top"/>
    </xf>
    <xf numFmtId="0" fontId="0" fillId="0" borderId="10" xfId="0" applyBorder="1" applyAlignment="1">
      <alignment horizontal="center" vertical="top" wrapText="1"/>
    </xf>
    <xf numFmtId="0" fontId="22" fillId="0" borderId="10" xfId="0" applyFont="1" applyBorder="1" applyAlignment="1">
      <alignment horizontal="right" vertical="center" wrapText="1" readingOrder="2"/>
    </xf>
    <xf numFmtId="0" fontId="25" fillId="0" borderId="6" xfId="0" applyFont="1" applyBorder="1"/>
    <xf numFmtId="0" fontId="0" fillId="0" borderId="6" xfId="0" applyBorder="1"/>
    <xf numFmtId="0" fontId="0" fillId="0" borderId="6" xfId="0" applyBorder="1" applyAlignment="1">
      <alignment wrapText="1"/>
    </xf>
    <xf numFmtId="0" fontId="25" fillId="0" borderId="6" xfId="0" applyFont="1" applyBorder="1" applyAlignment="1">
      <alignment wrapText="1"/>
    </xf>
    <xf numFmtId="0" fontId="0" fillId="0" borderId="11" xfId="0" applyFill="1" applyBorder="1"/>
    <xf numFmtId="0" fontId="0" fillId="0" borderId="0" xfId="0" applyFont="1" applyAlignment="1">
      <alignment horizontal="right" readingOrder="2"/>
    </xf>
    <xf numFmtId="0" fontId="26" fillId="0" borderId="1" xfId="0" applyFont="1" applyBorder="1" applyAlignment="1">
      <alignment vertical="center" wrapText="1"/>
    </xf>
    <xf numFmtId="0" fontId="27" fillId="0" borderId="1" xfId="0" applyFont="1" applyBorder="1" applyAlignment="1">
      <alignment vertical="center" wrapText="1"/>
    </xf>
    <xf numFmtId="0" fontId="0" fillId="0" borderId="0" xfId="0" applyFont="1" applyAlignment="1">
      <alignment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7" xfId="0" applyBorder="1" applyAlignment="1">
      <alignment horizontal="center"/>
    </xf>
    <xf numFmtId="0" fontId="0" fillId="0" borderId="7" xfId="0"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xf>
    <xf numFmtId="0" fontId="0" fillId="0" borderId="6" xfId="0" applyBorder="1" applyAlignment="1">
      <alignment horizontal="center" vertical="center" wrapText="1"/>
    </xf>
    <xf numFmtId="0" fontId="0" fillId="0" borderId="21" xfId="0" applyBorder="1" applyAlignment="1">
      <alignment horizontal="center" vertical="center" wrapText="1"/>
    </xf>
    <xf numFmtId="0" fontId="0" fillId="0" borderId="24" xfId="0" applyBorder="1" applyAlignment="1">
      <alignment horizontal="center" vertical="center" wrapText="1"/>
    </xf>
    <xf numFmtId="0" fontId="0" fillId="0" borderId="10" xfId="0" applyBorder="1" applyAlignment="1">
      <alignment horizontal="center"/>
    </xf>
    <xf numFmtId="0" fontId="0" fillId="0" borderId="10"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4" xfId="0" applyBorder="1" applyAlignment="1">
      <alignment horizontal="center" vertical="center" wrapText="1"/>
    </xf>
    <xf numFmtId="0" fontId="0" fillId="15" borderId="23" xfId="0" applyFill="1" applyBorder="1" applyAlignment="1">
      <alignment horizontal="center" vertical="center" wrapText="1"/>
    </xf>
    <xf numFmtId="0" fontId="0" fillId="0" borderId="12" xfId="0" applyBorder="1" applyAlignment="1">
      <alignment horizontal="center" vertical="center" wrapText="1"/>
    </xf>
    <xf numFmtId="0" fontId="0" fillId="0" borderId="16" xfId="0" applyBorder="1" applyAlignment="1">
      <alignment horizontal="center" vertical="center" wrapText="1"/>
    </xf>
    <xf numFmtId="0" fontId="0" fillId="0" borderId="32" xfId="0" applyBorder="1" applyAlignment="1">
      <alignment horizontal="center" vertical="center" wrapText="1"/>
    </xf>
    <xf numFmtId="0" fontId="0" fillId="0" borderId="19" xfId="0" applyBorder="1" applyAlignment="1">
      <alignment horizontal="center" vertical="center" wrapText="1"/>
    </xf>
    <xf numFmtId="0" fontId="0" fillId="16" borderId="12" xfId="0" applyFill="1" applyBorder="1" applyAlignment="1">
      <alignment horizontal="center" vertical="center" wrapText="1"/>
    </xf>
    <xf numFmtId="0" fontId="0" fillId="17" borderId="16" xfId="0" applyFill="1" applyBorder="1" applyAlignment="1">
      <alignment horizontal="center" vertical="center" wrapText="1"/>
    </xf>
    <xf numFmtId="0" fontId="0" fillId="18" borderId="20" xfId="0" applyFill="1" applyBorder="1" applyAlignment="1">
      <alignment horizontal="center" vertical="center" wrapText="1"/>
    </xf>
    <xf numFmtId="0" fontId="0" fillId="15" borderId="20" xfId="0" applyFill="1" applyBorder="1" applyAlignment="1">
      <alignment horizontal="center" vertical="center" wrapText="1"/>
    </xf>
    <xf numFmtId="0" fontId="0" fillId="16" borderId="23" xfId="0" applyFill="1" applyBorder="1" applyAlignment="1">
      <alignment horizontal="center" vertical="center" wrapText="1"/>
    </xf>
    <xf numFmtId="0" fontId="28" fillId="14" borderId="12" xfId="0" applyFont="1" applyFill="1" applyBorder="1" applyAlignment="1">
      <alignment horizontal="center" vertical="center" wrapText="1"/>
    </xf>
    <xf numFmtId="0" fontId="0" fillId="14" borderId="16" xfId="0" applyFill="1" applyBorder="1" applyAlignment="1">
      <alignment horizontal="center" vertical="center" wrapText="1"/>
    </xf>
    <xf numFmtId="0" fontId="0" fillId="14" borderId="20" xfId="0" applyFill="1" applyBorder="1" applyAlignment="1">
      <alignment horizontal="center" vertical="center" wrapText="1"/>
    </xf>
    <xf numFmtId="0" fontId="0" fillId="14" borderId="23" xfId="0" applyFill="1" applyBorder="1" applyAlignment="1">
      <alignment horizontal="center" vertical="center" wrapText="1"/>
    </xf>
    <xf numFmtId="0" fontId="0" fillId="19" borderId="13" xfId="0" applyFill="1" applyBorder="1" applyAlignment="1">
      <alignment horizontal="center" vertical="center" wrapText="1"/>
    </xf>
    <xf numFmtId="0" fontId="0" fillId="19" borderId="14" xfId="0" applyFill="1" applyBorder="1" applyAlignment="1">
      <alignment horizontal="center"/>
    </xf>
    <xf numFmtId="0" fontId="0" fillId="19" borderId="14" xfId="0" applyFill="1" applyBorder="1" applyAlignment="1">
      <alignment horizontal="center" vertical="center" wrapText="1"/>
    </xf>
    <xf numFmtId="0" fontId="0" fillId="0" borderId="6" xfId="0" applyBorder="1" applyAlignment="1">
      <alignment vertical="top" wrapText="1"/>
    </xf>
    <xf numFmtId="16" fontId="0" fillId="0" borderId="6" xfId="0" applyNumberFormat="1" applyBorder="1" applyAlignment="1">
      <alignment horizontal="right" vertical="top" wrapText="1"/>
    </xf>
    <xf numFmtId="49" fontId="0" fillId="0" borderId="6" xfId="0" applyNumberFormat="1" applyBorder="1" applyAlignment="1">
      <alignment horizontal="right" vertical="top" wrapText="1"/>
    </xf>
    <xf numFmtId="49" fontId="0" fillId="0" borderId="6" xfId="0" applyNumberFormat="1" applyBorder="1" applyAlignment="1">
      <alignment horizontal="right" vertical="top" wrapText="1" readingOrder="2"/>
    </xf>
    <xf numFmtId="0" fontId="30" fillId="0" borderId="6" xfId="0" applyFont="1" applyBorder="1" applyAlignment="1">
      <alignment horizontal="right" vertical="top" wrapText="1" readingOrder="2"/>
    </xf>
    <xf numFmtId="0" fontId="15" fillId="8" borderId="3" xfId="2" applyAlignment="1">
      <alignment wrapText="1"/>
    </xf>
    <xf numFmtId="0" fontId="29" fillId="7" borderId="6" xfId="1" applyFont="1" applyBorder="1" applyAlignment="1">
      <alignment horizontal="center" wrapText="1"/>
    </xf>
    <xf numFmtId="0" fontId="0" fillId="0" borderId="6" xfId="0" applyBorder="1" applyAlignment="1">
      <alignment horizontal="right" wrapText="1"/>
    </xf>
    <xf numFmtId="0" fontId="0" fillId="14" borderId="6" xfId="0" applyFill="1" applyBorder="1"/>
    <xf numFmtId="0" fontId="13" fillId="0" borderId="1" xfId="0" applyFont="1" applyBorder="1" applyAlignment="1">
      <alignment horizontal="right" vertical="top" textRotation="90" wrapText="1" readingOrder="2"/>
    </xf>
    <xf numFmtId="0" fontId="13" fillId="0" borderId="1" xfId="0" applyFont="1" applyBorder="1" applyAlignment="1">
      <alignment horizontal="right" vertical="center" textRotation="90" wrapText="1" readingOrder="2"/>
    </xf>
    <xf numFmtId="0" fontId="13" fillId="0" borderId="1" xfId="0" applyFont="1" applyBorder="1" applyAlignment="1">
      <alignment vertical="center" textRotation="90" wrapText="1"/>
    </xf>
    <xf numFmtId="0" fontId="13" fillId="0" borderId="1" xfId="0" applyFont="1" applyBorder="1" applyAlignment="1">
      <alignment vertical="top" textRotation="90" wrapText="1"/>
    </xf>
    <xf numFmtId="0" fontId="13" fillId="5" borderId="1" xfId="0" applyFont="1" applyFill="1" applyBorder="1" applyAlignment="1">
      <alignment vertical="top" textRotation="90" wrapText="1"/>
    </xf>
    <xf numFmtId="0" fontId="9" fillId="0" borderId="1" xfId="0" applyFont="1" applyBorder="1" applyAlignment="1">
      <alignment horizontal="right" vertical="top" wrapText="1" readingOrder="2"/>
    </xf>
    <xf numFmtId="0" fontId="0" fillId="14" borderId="2" xfId="0" applyFont="1" applyFill="1" applyBorder="1" applyAlignment="1">
      <alignment horizontal="center"/>
    </xf>
    <xf numFmtId="0" fontId="0" fillId="0" borderId="16" xfId="0" applyBorder="1" applyAlignment="1">
      <alignment horizontal="center" vertical="center" wrapText="1"/>
    </xf>
    <xf numFmtId="0" fontId="0" fillId="0" borderId="20" xfId="0" applyBorder="1" applyAlignment="1">
      <alignment horizontal="center" vertical="center" wrapText="1"/>
    </xf>
    <xf numFmtId="0" fontId="0" fillId="0" borderId="23" xfId="0" applyBorder="1" applyAlignment="1">
      <alignment horizontal="center" vertical="center" wrapText="1"/>
    </xf>
    <xf numFmtId="0" fontId="0" fillId="14" borderId="4" xfId="0" applyFill="1" applyBorder="1" applyAlignment="1">
      <alignment horizontal="center" vertical="center" wrapText="1"/>
    </xf>
    <xf numFmtId="0" fontId="0" fillId="14" borderId="19" xfId="0" applyFill="1" applyBorder="1" applyAlignment="1">
      <alignment horizontal="center" vertical="center" wrapText="1"/>
    </xf>
    <xf numFmtId="0" fontId="0" fillId="14" borderId="22" xfId="0" applyFill="1" applyBorder="1" applyAlignment="1">
      <alignment horizontal="center" vertical="center" wrapText="1"/>
    </xf>
    <xf numFmtId="0" fontId="0" fillId="0" borderId="26" xfId="0" applyBorder="1" applyAlignment="1">
      <alignment horizontal="center" vertical="center" wrapText="1"/>
    </xf>
    <xf numFmtId="0" fontId="0" fillId="0" borderId="32" xfId="0" applyBorder="1" applyAlignment="1">
      <alignment horizontal="center" vertical="center" wrapText="1"/>
    </xf>
    <xf numFmtId="0" fontId="0" fillId="0" borderId="27"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19" xfId="0" applyBorder="1" applyAlignment="1">
      <alignment horizontal="center" vertical="center" wrapText="1"/>
    </xf>
    <xf numFmtId="0" fontId="0" fillId="0" borderId="22" xfId="0" applyBorder="1" applyAlignment="1">
      <alignment horizontal="center" vertical="center" wrapText="1"/>
    </xf>
    <xf numFmtId="0" fontId="15" fillId="8" borderId="3" xfId="2" applyAlignment="1">
      <alignment horizontal="center" vertical="center" wrapText="1"/>
    </xf>
    <xf numFmtId="0" fontId="0" fillId="0" borderId="6" xfId="0" applyBorder="1" applyAlignment="1">
      <alignment horizontal="right" vertical="top" wrapText="1"/>
    </xf>
    <xf numFmtId="0" fontId="25" fillId="0" borderId="6" xfId="0" applyFont="1" applyBorder="1" applyAlignment="1">
      <alignment horizontal="center" vertical="top" wrapText="1"/>
    </xf>
    <xf numFmtId="0" fontId="25" fillId="0" borderId="33" xfId="0" applyFont="1" applyBorder="1" applyAlignment="1">
      <alignment horizontal="center" vertical="top" wrapText="1"/>
    </xf>
    <xf numFmtId="0" fontId="25" fillId="0" borderId="34" xfId="0" applyFont="1" applyBorder="1" applyAlignment="1">
      <alignment horizontal="center" vertical="top" wrapText="1"/>
    </xf>
    <xf numFmtId="0" fontId="25" fillId="0" borderId="9" xfId="0" applyFont="1" applyBorder="1" applyAlignment="1">
      <alignment horizontal="center" vertical="top" wrapText="1"/>
    </xf>
  </cellXfs>
  <cellStyles count="5">
    <cellStyle name="Normal" xfId="0" builtinId="0"/>
    <cellStyle name="Normal 2" xfId="3" xr:uid="{1E14D618-54E9-4236-887E-E24CBEAC3F43}"/>
    <cellStyle name="חישוב" xfId="2" builtinId="22"/>
    <cellStyle name="טוב" xfId="1" builtinId="26"/>
    <cellStyle name="טוב 2" xfId="4" xr:uid="{DB429B05-1A92-47FD-AE27-E58F7ECBCE77}"/>
  </cellStyles>
  <dxfs count="78">
    <dxf>
      <font>
        <strike val="0"/>
        <outline val="0"/>
        <shadow val="0"/>
        <u val="none"/>
        <vertAlign val="baseline"/>
        <sz val="9"/>
        <name val="Calibri"/>
        <scheme val="minor"/>
      </font>
      <alignment horizontal="right" vertical="top" textRotation="0" indent="0" justifyLastLine="0" shrinkToFit="0" readingOrder="0"/>
    </dxf>
    <dxf>
      <font>
        <strike val="0"/>
        <outline val="0"/>
        <shadow val="0"/>
        <u val="none"/>
        <vertAlign val="baseline"/>
        <sz val="9"/>
        <name val="Calibri"/>
        <scheme val="minor"/>
      </font>
      <alignment horizontal="center" vertical="top" textRotation="0" indent="0" justifyLastLine="0" shrinkToFit="0" readingOrder="0"/>
    </dxf>
    <dxf>
      <font>
        <strike val="0"/>
        <outline val="0"/>
        <shadow val="0"/>
        <u val="none"/>
        <vertAlign val="baseline"/>
        <sz val="9"/>
        <name val="Calibri"/>
        <scheme val="minor"/>
      </font>
      <alignment horizontal="center" vertical="top" textRotation="0" indent="0" justifyLastLine="0" shrinkToFit="0" readingOrder="0"/>
    </dxf>
    <dxf>
      <font>
        <strike val="0"/>
        <outline val="0"/>
        <shadow val="0"/>
        <u val="none"/>
        <vertAlign val="baseline"/>
        <sz val="9"/>
        <name val="Calibri"/>
        <scheme val="minor"/>
      </font>
      <alignment horizontal="center" vertical="top" textRotation="0" indent="0" justifyLastLine="0" shrinkToFit="0" readingOrder="0"/>
    </dxf>
    <dxf>
      <font>
        <strike val="0"/>
        <outline val="0"/>
        <shadow val="0"/>
        <u val="none"/>
        <vertAlign val="baseline"/>
        <sz val="9"/>
        <name val="Calibri"/>
        <scheme val="minor"/>
      </font>
      <alignment horizontal="center" vertical="top" textRotation="0" indent="0" justifyLastLine="0" shrinkToFit="0" readingOrder="0"/>
    </dxf>
    <dxf>
      <font>
        <strike val="0"/>
        <outline val="0"/>
        <shadow val="0"/>
        <u val="none"/>
        <vertAlign val="baseline"/>
        <sz val="9"/>
        <name val="Calibri"/>
        <scheme val="minor"/>
      </font>
      <alignment horizontal="center" vertical="top" textRotation="0" indent="0" justifyLastLine="0" shrinkToFit="0" readingOrder="0"/>
    </dxf>
    <dxf>
      <font>
        <strike val="0"/>
        <outline val="0"/>
        <shadow val="0"/>
        <u val="none"/>
        <vertAlign val="baseline"/>
        <sz val="9"/>
        <name val="Calibri"/>
        <scheme val="minor"/>
      </font>
      <alignment horizontal="center" vertical="top" textRotation="0" indent="0" justifyLastLine="0" shrinkToFit="0" readingOrder="0"/>
    </dxf>
    <dxf>
      <font>
        <strike val="0"/>
        <outline val="0"/>
        <shadow val="0"/>
        <u val="none"/>
        <vertAlign val="baseline"/>
        <sz val="9"/>
        <name val="Calibri"/>
        <scheme val="minor"/>
      </font>
      <alignment horizontal="center" vertical="top" textRotation="0" indent="0" justifyLastLine="0" shrinkToFit="0" readingOrder="0"/>
    </dxf>
    <dxf>
      <font>
        <strike val="0"/>
        <outline val="0"/>
        <shadow val="0"/>
        <vertAlign val="baseline"/>
        <sz val="9"/>
        <name val="Calibri"/>
        <scheme val="minor"/>
      </font>
      <alignment horizontal="left" vertical="top" textRotation="0" wrapText="0" indent="0" justifyLastLine="0" shrinkToFit="0" readingOrder="1"/>
    </dxf>
    <dxf>
      <font>
        <b val="0"/>
        <i val="0"/>
        <strike val="0"/>
        <condense val="0"/>
        <extend val="0"/>
        <outline val="0"/>
        <shadow val="0"/>
        <u val="none"/>
        <vertAlign val="baseline"/>
        <sz val="9"/>
        <color rgb="FF000000"/>
        <name val="Calibri"/>
        <scheme val="minor"/>
      </font>
      <alignment horizontal="left" vertical="top" textRotation="0" wrapText="1" indent="0" justifyLastLine="0" shrinkToFit="0" readingOrder="1"/>
    </dxf>
    <dxf>
      <font>
        <b val="0"/>
        <i val="0"/>
        <strike val="0"/>
        <condense val="0"/>
        <extend val="0"/>
        <outline val="0"/>
        <shadow val="0"/>
        <u val="none"/>
        <vertAlign val="baseline"/>
        <sz val="9"/>
        <color rgb="FF000000"/>
        <name val="Calibri"/>
        <scheme val="minor"/>
      </font>
      <alignment horizontal="right" vertical="top" textRotation="0" wrapText="1" indent="0" justifyLastLine="0" shrinkToFit="0" readingOrder="0"/>
    </dxf>
    <dxf>
      <border outline="0">
        <right style="thin">
          <color indexed="64"/>
        </right>
        <top style="thin">
          <color indexed="64"/>
        </top>
        <bottom style="thin">
          <color indexed="64"/>
        </bottom>
      </border>
    </dxf>
    <dxf>
      <font>
        <strike val="0"/>
        <outline val="0"/>
        <shadow val="0"/>
        <vertAlign val="baseline"/>
        <sz val="9"/>
        <name val="Calibri"/>
        <scheme val="minor"/>
      </font>
      <alignment horizontal="right" vertical="top" textRotation="0" indent="0" justifyLastLine="0" shrinkToFit="0" readingOrder="0"/>
    </dxf>
    <dxf>
      <border outline="0">
        <bottom style="thin">
          <color indexed="64"/>
        </bottom>
      </border>
    </dxf>
    <dxf>
      <font>
        <b/>
        <i val="0"/>
        <strike val="0"/>
        <condense val="0"/>
        <extend val="0"/>
        <outline val="0"/>
        <shadow val="0"/>
        <u val="none"/>
        <vertAlign val="baseline"/>
        <sz val="9"/>
        <color theme="0"/>
        <name val="Calibri"/>
        <scheme val="minor"/>
      </font>
      <fill>
        <patternFill patternType="solid">
          <fgColor indexed="64"/>
          <bgColor theme="0" tint="-0.499984740745262"/>
        </patternFill>
      </fill>
      <alignment horizontal="right" vertical="top" textRotation="0" wrapText="1" indent="0" justifyLastLine="0" shrinkToFit="0" readingOrder="0"/>
      <border diagonalUp="0" diagonalDown="0" outline="0">
        <left style="thin">
          <color indexed="64"/>
        </left>
        <right style="thin">
          <color indexed="64"/>
        </right>
        <top/>
        <bottom/>
      </border>
    </dxf>
    <dxf>
      <fill>
        <patternFill>
          <bgColor theme="6" tint="0.39994506668294322"/>
        </patternFill>
      </fill>
    </dxf>
    <dxf>
      <fill>
        <patternFill>
          <bgColor theme="7" tint="0.59996337778862885"/>
        </patternFill>
      </fill>
    </dxf>
    <dxf>
      <fill>
        <patternFill>
          <bgColor theme="9" tint="0.59996337778862885"/>
        </patternFill>
      </fill>
    </dxf>
    <dxf>
      <fill>
        <patternFill>
          <bgColor rgb="FF0070C0"/>
        </patternFill>
      </fill>
    </dxf>
    <dxf>
      <fill>
        <patternFill>
          <bgColor rgb="FF7030A0"/>
        </patternFill>
      </fill>
    </dxf>
    <dxf>
      <fill>
        <patternFill>
          <bgColor rgb="FFFFFF00"/>
        </patternFill>
      </fill>
    </dxf>
    <dxf>
      <fill>
        <patternFill>
          <bgColor rgb="FFFF0000"/>
        </patternFill>
      </fill>
    </dxf>
    <dxf>
      <fill>
        <patternFill>
          <bgColor rgb="FF00B05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
      <fill>
        <patternFill>
          <bgColor rgb="FF0070C0"/>
        </patternFill>
      </fill>
    </dxf>
    <dxf>
      <fill>
        <patternFill>
          <bgColor rgb="FF7030A0"/>
        </patternFill>
      </fill>
    </dxf>
    <dxf>
      <fill>
        <patternFill>
          <bgColor rgb="FFFFFF00"/>
        </patternFill>
      </fill>
    </dxf>
    <dxf>
      <fill>
        <patternFill>
          <bgColor rgb="FFFF0000"/>
        </patternFill>
      </fill>
    </dxf>
    <dxf>
      <fill>
        <patternFill>
          <bgColor rgb="FF00B05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
      <fill>
        <patternFill patternType="solid">
          <fgColor rgb="FFB2A1C7"/>
          <bgColor rgb="FFB2A1C7"/>
        </patternFill>
      </fill>
    </dxf>
    <dxf>
      <fill>
        <patternFill patternType="solid">
          <fgColor rgb="FFFBD4B4"/>
          <bgColor rgb="FFFBD4B4"/>
        </patternFill>
      </fill>
    </dxf>
    <dxf>
      <fill>
        <patternFill patternType="solid">
          <fgColor rgb="FFB6DDE8"/>
          <bgColor rgb="FFB6DDE8"/>
        </patternFill>
      </fill>
    </dxf>
    <dxf>
      <fill>
        <patternFill patternType="solid">
          <fgColor rgb="FF548DD4"/>
          <bgColor rgb="FF548DD4"/>
        </patternFill>
      </fill>
    </dxf>
    <dxf>
      <fill>
        <patternFill patternType="solid">
          <fgColor rgb="FF00B0F0"/>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02;&#1499;&#1500;&#1493;&#1500;%20&#1506;&#1502;&#1497;&#1491;&#1493;&#1514;/&#1488;&#1490;&#1507;%20&#1514;&#1513;&#1514;&#1497;&#1493;&#1514;%20&#1506;&#1502;&#1497;&#1491;&#1493;&#1514;/&#1502;&#1512;&#1499;&#1494;%20&#1514;&#1493;&#1512;&#1492;%20&#1493;&#1489;&#1497;&#1511;&#1493;&#1512;&#1514;/&#1514;&#1493;&#1492;&#1490;/&#1514;&#1493;&#1492;&#1490;%20&#1488;&#1512;&#1490;&#1493;&#1504;&#1497;/&#1490;&#1512;&#1505;&#1488;&#1493;&#1514;/&#1514;&#1493;&#1492;&#1490;%202.0/&#1508;&#1497;&#1497;&#1500;&#1493;&#1496;&#1497;&#1501;/&#1513;&#1488;&#1500;&#1493;&#1503;%20&#1504;&#1497;&#1492;&#1493;&#1500;%20&#1505;&#1497;&#1499;&#1493;&#1504;&#1497;&#1501;%20&#1514;&#1493;&#1492;&#1490;%202.0/&#1513;&#1488;&#1500;&#1493;&#1503;%20&#1504;&#1497;&#1492;&#1493;&#1500;%20&#1505;&#1497;&#1499;&#1493;&#1504;&#1497;&#1501;%20&#1514;&#1493;&#1492;&#1490;%202.0%20&#1490;&#1512;&#1505;&#1492;%201.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חשבון"/>
      <sheetName val="מילון"/>
      <sheetName val="מפת חום"/>
    </sheetNames>
    <sheetDataSet>
      <sheetData sheetId="0">
        <row r="7">
          <cell r="C7" t="str">
            <v>מהי רמת הנזק המקסימלית שתיגרם לארגון בעקבות חשיפת מידע מהתהליך/נכס?  (C)</v>
          </cell>
        </row>
        <row r="8">
          <cell r="C8" t="str">
            <v>מהי רמת הנזק המקסימלית שתיגרם לארגון בעקבות שיבוש המידע הקיים בתהליך/נכס? (I)</v>
          </cell>
        </row>
        <row r="9">
          <cell r="C9" t="str">
            <v>מהי רמת הנזק המקסימלית שתיגרם לארגון בעקבות השבתת התהליך/נכס לפרק זמן ממושך?  (A)</v>
          </cell>
        </row>
        <row r="11">
          <cell r="C11" t="str">
            <v>האם בשלוש שנים האחרונות התרחש בארגון ו/או בספקי הארגון אירוע סייבר?</v>
          </cell>
        </row>
        <row r="12">
          <cell r="C12" t="str">
            <v>האם ממצאי מודיעין סייבר מהשנתיים האחרונות האחרונות מעידים כי הארגון ו/או ספקי הארגון ו/או ארגונים בסקטור הפעילות בארץ/בעולם מהווים יעד מועדף לתקיפה?</v>
          </cell>
        </row>
        <row r="13">
          <cell r="C13" t="str">
            <v>האם ממצאי מודיעין סייבר מהשנתיים האחרונות האחרונות מעידים כי סוג המידע אשר הארגון מחזיק ברשותו מהווה יעד מועדף לתקיפה?</v>
          </cell>
        </row>
        <row r="14">
          <cell r="C14" t="str">
            <v>האם ממצאי מודיעין סייבר מהשנתיים האחרונות האחרונות מעידים כי יעדי ההגנה (מערכות ו/או תהליכים ארגוניים) אשר הארגון עושה בהם מהווים יעד מועדף לתקיפה?</v>
          </cell>
        </row>
        <row r="15">
          <cell r="C15" t="str">
            <v>האם ממצאי מודיעין סייבר מהשנתיים האחרונות האחרונות מעידים כי התגלו באופן תדיר חולשות ברמת חומרה גבוהה ביעדי ההגנה? (מערכות ו/או תהליכים ארגוניים)?</v>
          </cell>
        </row>
        <row r="16">
          <cell r="C16" t="str">
            <v>מספר המשתמשים (אנושי/אפליקטיבי/מחשב) הקיימים בתהליך/בנכס?</v>
          </cell>
        </row>
        <row r="17">
          <cell r="C17" t="str">
            <v>מספר משתמשים חזקים במערכת (דוגמת Super user, Admin וכו)</v>
          </cell>
        </row>
        <row r="18">
          <cell r="C18" t="str">
            <v>מי הם המשתמשים האנושיים בתהליך/הנכס?</v>
          </cell>
        </row>
        <row r="19">
          <cell r="C19" t="str">
            <v>כמה ממשקים (לחיבור בין מערכת ל AD, API, WS, DB וכו') קיימים לתהליך/הנכס?</v>
          </cell>
        </row>
        <row r="20">
          <cell r="C20" t="str">
            <v>מהו אופי ממשקי של התהליך/הנכס?</v>
          </cell>
        </row>
        <row r="21">
          <cell r="C21" t="str">
            <v xml:space="preserve"> מהו סוג המידע הקיים בתהליך/הנכס?</v>
          </cell>
        </row>
        <row r="22">
          <cell r="C22" t="str">
            <v>האם קיימת גישה מרחוק לתהליך/הנכס?
(גישת משתמשים מחוץ לרשת הארגונית, דוגמת VPN, IP-VPN , OWA וכו)</v>
          </cell>
        </row>
        <row r="23">
          <cell r="C23" t="str">
            <v>מהי רמת מידור ההרשאות לתהליך/הנכס?</v>
          </cell>
        </row>
        <row r="24">
          <cell r="C24" t="str">
            <v>מהי רמת העדכניות של התהליך/הנכס?</v>
          </cell>
        </row>
        <row r="25">
          <cell r="C25" t="str">
            <v>מהי מדיניות העדכונים וטלאי האבטחה?</v>
          </cell>
        </row>
        <row r="26">
          <cell r="C26" t="str">
            <v>מהי רמת האבטחה הפיזית של התהליך/ הנכס?</v>
          </cell>
        </row>
        <row r="27">
          <cell r="C27" t="str">
            <v>מהו מספר התהליכים/הנכסים התלויים בנכס/התהליך הנבחן?</v>
          </cell>
        </row>
      </sheetData>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06247-D22B-4341-B130-89D9E7EFAE49}" name="Table2" displayName="Table2" ref="A1:K178" totalsRowShown="0" headerRowDxfId="14" dataDxfId="12" headerRowBorderDxfId="13" tableBorderDxfId="11">
  <tableColumns count="11">
    <tableColumn id="1" xr3:uid="{A7CC6738-6D3F-4743-B9DE-FC803A9A74B3}" name="שם מענה" dataDxfId="10"/>
    <tableColumn id="2" xr3:uid="{CE27F649-CF39-49FE-9BCC-2C84D7E680BA}" name="קיצור באנגלית" dataDxfId="9"/>
    <tableColumn id="3" xr3:uid="{B50DE479-8783-41FE-839B-0806F7BCAB97}" name="שם  מלא" dataDxfId="8"/>
    <tableColumn id="4" xr3:uid="{E3504A4E-0EEA-40A0-B41D-20E75426CC24}" name="תועלת המענה" dataDxfId="7"/>
    <tableColumn id="5" xr3:uid="{FCBACC17-25CB-48B3-B173-514A8D977985}" name="זמן ההטמעה המשוער" dataDxfId="6"/>
    <tableColumn id="6" xr3:uid="{0860668F-600A-4A41-BE40-6CCA85BF70B5}" name="הערכת עלות" dataDxfId="5"/>
    <tableColumn id="7" xr3:uid="{983FD09F-51E7-40E1-BCDD-7F919762C62F}" name="משאבי כ&quot;א  להטמעה" dataDxfId="4"/>
    <tableColumn id="8" xr3:uid="{1225196B-4488-48E4-ADA7-177B3080B971}" name="משאבי כ&quot;א  לתפעול " dataDxfId="3"/>
    <tableColumn id="9" xr3:uid="{E395A9A0-8891-46D7-9B6F-821B178F5195}" name="שקלול כדאיות מספרי" dataDxfId="2">
      <calculatedColumnFormula>+SUM(D2:H2)/5</calculatedColumnFormula>
    </tableColumn>
    <tableColumn id="10" xr3:uid="{FF85C7BE-C3DD-411C-9A0D-49A489560E77}" name="שקלול כדאיות מילולי" dataDxfId="1"/>
    <tableColumn id="11" xr3:uid="{00A76856-F9FB-48DD-AEA7-6F36307BE051}" name="Override על השקלול ו/או מצב נתון"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BB4B-4A29-4D43-80A1-5B2B562632EF}">
  <dimension ref="A2:A6"/>
  <sheetViews>
    <sheetView showGridLines="0" rightToLeft="1" workbookViewId="0">
      <selection activeCell="A7" sqref="A7"/>
    </sheetView>
  </sheetViews>
  <sheetFormatPr defaultRowHeight="15.75"/>
  <cols>
    <col min="1" max="1" width="77.375" bestFit="1" customWidth="1"/>
  </cols>
  <sheetData>
    <row r="2" spans="1:1">
      <c r="A2" s="113" t="s">
        <v>1649</v>
      </c>
    </row>
    <row r="3" spans="1:1">
      <c r="A3" s="113" t="s">
        <v>1650</v>
      </c>
    </row>
    <row r="4" spans="1:1">
      <c r="A4" s="113" t="s">
        <v>1500</v>
      </c>
    </row>
    <row r="5" spans="1:1">
      <c r="A5" s="113" t="s">
        <v>1501</v>
      </c>
    </row>
    <row r="6" spans="1:1">
      <c r="A6" s="113" t="s">
        <v>1502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7F234-E829-4890-B1AD-F98DCB14FA8E}">
  <dimension ref="A1:C34"/>
  <sheetViews>
    <sheetView rightToLeft="1" workbookViewId="0">
      <selection activeCell="A2" sqref="A2"/>
    </sheetView>
  </sheetViews>
  <sheetFormatPr defaultRowHeight="15.75"/>
  <cols>
    <col min="2" max="2" width="70" bestFit="1" customWidth="1"/>
    <col min="3" max="3" width="46.75" bestFit="1" customWidth="1"/>
  </cols>
  <sheetData>
    <row r="1" spans="1:3">
      <c r="A1" s="161" t="s">
        <v>1651</v>
      </c>
      <c r="B1" s="161" t="s">
        <v>1462</v>
      </c>
      <c r="C1" s="161" t="s">
        <v>1463</v>
      </c>
    </row>
    <row r="2" spans="1:3">
      <c r="A2" s="108" t="s">
        <v>1354</v>
      </c>
      <c r="B2" s="109" t="s">
        <v>1464</v>
      </c>
      <c r="C2" s="109" t="s">
        <v>1465</v>
      </c>
    </row>
    <row r="3" spans="1:3">
      <c r="A3" s="108" t="s">
        <v>1354</v>
      </c>
      <c r="B3" s="109" t="s">
        <v>1466</v>
      </c>
      <c r="C3" s="109" t="s">
        <v>1365</v>
      </c>
    </row>
    <row r="4" spans="1:3">
      <c r="A4" s="108" t="s">
        <v>1354</v>
      </c>
      <c r="B4" s="109" t="s">
        <v>1467</v>
      </c>
      <c r="C4" s="109" t="s">
        <v>1468</v>
      </c>
    </row>
    <row r="5" spans="1:3" ht="47.25">
      <c r="A5" s="108" t="s">
        <v>1354</v>
      </c>
      <c r="B5" s="109" t="s">
        <v>1469</v>
      </c>
      <c r="C5" s="110" t="s">
        <v>1470</v>
      </c>
    </row>
    <row r="6" spans="1:3">
      <c r="A6" s="108" t="s">
        <v>1354</v>
      </c>
      <c r="B6" s="109" t="s">
        <v>1471</v>
      </c>
      <c r="C6" s="109" t="s">
        <v>1472</v>
      </c>
    </row>
    <row r="7" spans="1:3">
      <c r="A7" s="108" t="s">
        <v>1354</v>
      </c>
      <c r="B7" s="109" t="s">
        <v>1473</v>
      </c>
      <c r="C7" s="109" t="s">
        <v>1474</v>
      </c>
    </row>
    <row r="8" spans="1:3">
      <c r="A8" s="108" t="s">
        <v>1354</v>
      </c>
      <c r="B8" s="109" t="s">
        <v>1475</v>
      </c>
      <c r="C8" s="109" t="s">
        <v>1363</v>
      </c>
    </row>
    <row r="9" spans="1:3">
      <c r="A9" s="108" t="s">
        <v>1354</v>
      </c>
      <c r="B9" s="109" t="s">
        <v>1476</v>
      </c>
      <c r="C9" s="109" t="s">
        <v>1472</v>
      </c>
    </row>
    <row r="10" spans="1:3">
      <c r="A10" s="108" t="s">
        <v>1354</v>
      </c>
      <c r="B10" s="109" t="s">
        <v>1477</v>
      </c>
      <c r="C10" s="109" t="s">
        <v>1370</v>
      </c>
    </row>
    <row r="11" spans="1:3">
      <c r="A11" s="108" t="s">
        <v>1354</v>
      </c>
      <c r="B11" s="109" t="s">
        <v>1478</v>
      </c>
      <c r="C11" s="109" t="s">
        <v>1370</v>
      </c>
    </row>
    <row r="12" spans="1:3">
      <c r="A12" s="108" t="s">
        <v>1385</v>
      </c>
      <c r="B12" s="109" t="s">
        <v>1479</v>
      </c>
      <c r="C12" s="109" t="s">
        <v>1365</v>
      </c>
    </row>
    <row r="13" spans="1:3">
      <c r="A13" s="108" t="s">
        <v>1385</v>
      </c>
      <c r="B13" s="109" t="s">
        <v>1480</v>
      </c>
      <c r="C13" s="109" t="s">
        <v>1365</v>
      </c>
    </row>
    <row r="14" spans="1:3">
      <c r="A14" s="108" t="s">
        <v>1385</v>
      </c>
      <c r="B14" s="109" t="s">
        <v>1481</v>
      </c>
      <c r="C14" s="109" t="s">
        <v>1356</v>
      </c>
    </row>
    <row r="15" spans="1:3">
      <c r="A15" s="108" t="s">
        <v>1385</v>
      </c>
      <c r="B15" s="109" t="s">
        <v>1482</v>
      </c>
      <c r="C15" s="109" t="s">
        <v>1365</v>
      </c>
    </row>
    <row r="16" spans="1:3">
      <c r="A16" s="108" t="s">
        <v>1385</v>
      </c>
      <c r="B16" s="109" t="s">
        <v>1483</v>
      </c>
      <c r="C16" s="109" t="s">
        <v>1365</v>
      </c>
    </row>
    <row r="17" spans="1:3">
      <c r="A17" s="108" t="s">
        <v>1385</v>
      </c>
      <c r="B17" s="109" t="s">
        <v>1484</v>
      </c>
      <c r="C17" s="109" t="s">
        <v>1365</v>
      </c>
    </row>
    <row r="18" spans="1:3">
      <c r="A18" s="108" t="s">
        <v>1385</v>
      </c>
      <c r="B18" s="109" t="s">
        <v>1485</v>
      </c>
      <c r="C18" s="109" t="s">
        <v>1486</v>
      </c>
    </row>
    <row r="19" spans="1:3">
      <c r="A19" s="108" t="s">
        <v>1385</v>
      </c>
      <c r="B19" s="109" t="s">
        <v>1487</v>
      </c>
      <c r="C19" s="109" t="s">
        <v>1474</v>
      </c>
    </row>
    <row r="20" spans="1:3">
      <c r="A20" s="108" t="s">
        <v>1385</v>
      </c>
      <c r="B20" s="109" t="s">
        <v>1488</v>
      </c>
      <c r="C20" s="109" t="s">
        <v>1370</v>
      </c>
    </row>
    <row r="21" spans="1:3">
      <c r="A21" s="108" t="s">
        <v>1385</v>
      </c>
      <c r="B21" s="109" t="s">
        <v>1489</v>
      </c>
      <c r="C21" s="109" t="s">
        <v>1370</v>
      </c>
    </row>
    <row r="22" spans="1:3">
      <c r="A22" s="108" t="s">
        <v>1490</v>
      </c>
      <c r="B22" s="109" t="s">
        <v>1491</v>
      </c>
      <c r="C22" s="109" t="s">
        <v>1370</v>
      </c>
    </row>
    <row r="23" spans="1:3">
      <c r="A23" s="108" t="s">
        <v>1490</v>
      </c>
      <c r="B23" s="109" t="s">
        <v>1492</v>
      </c>
      <c r="C23" s="109" t="s">
        <v>1370</v>
      </c>
    </row>
    <row r="24" spans="1:3">
      <c r="A24" s="108" t="s">
        <v>1490</v>
      </c>
      <c r="B24" s="109" t="s">
        <v>1493</v>
      </c>
      <c r="C24" s="109" t="s">
        <v>1370</v>
      </c>
    </row>
    <row r="25" spans="1:3">
      <c r="A25" s="108" t="s">
        <v>1490</v>
      </c>
      <c r="B25" s="109" t="s">
        <v>1494</v>
      </c>
      <c r="C25" s="109" t="s">
        <v>1370</v>
      </c>
    </row>
    <row r="26" spans="1:3">
      <c r="A26" s="108" t="s">
        <v>1490</v>
      </c>
      <c r="B26" s="109" t="s">
        <v>1495</v>
      </c>
      <c r="C26" s="109" t="s">
        <v>1370</v>
      </c>
    </row>
    <row r="27" spans="1:3">
      <c r="A27" s="108" t="s">
        <v>1490</v>
      </c>
      <c r="B27" s="109" t="s">
        <v>1496</v>
      </c>
      <c r="C27" s="109" t="s">
        <v>1370</v>
      </c>
    </row>
    <row r="28" spans="1:3">
      <c r="A28" s="108" t="s">
        <v>1490</v>
      </c>
      <c r="B28" s="109" t="s">
        <v>1497</v>
      </c>
      <c r="C28" s="109" t="s">
        <v>1370</v>
      </c>
    </row>
    <row r="29" spans="1:3" ht="30">
      <c r="A29" s="111" t="s">
        <v>906</v>
      </c>
      <c r="B29" s="109" t="s">
        <v>1498</v>
      </c>
      <c r="C29" s="109" t="s">
        <v>1130</v>
      </c>
    </row>
    <row r="30" spans="1:3" ht="30">
      <c r="A30" s="111" t="s">
        <v>906</v>
      </c>
      <c r="B30" s="109" t="s">
        <v>1446</v>
      </c>
      <c r="C30" s="109" t="s">
        <v>1130</v>
      </c>
    </row>
    <row r="31" spans="1:3" ht="30">
      <c r="A31" s="111" t="s">
        <v>906</v>
      </c>
      <c r="B31" s="109" t="s">
        <v>1447</v>
      </c>
      <c r="C31" s="109" t="s">
        <v>1448</v>
      </c>
    </row>
    <row r="32" spans="1:3" ht="30">
      <c r="A32" s="111" t="s">
        <v>906</v>
      </c>
      <c r="B32" s="109" t="s">
        <v>1449</v>
      </c>
      <c r="C32" s="109" t="s">
        <v>1450</v>
      </c>
    </row>
    <row r="33" spans="1:3" ht="30">
      <c r="A33" s="111" t="s">
        <v>906</v>
      </c>
      <c r="B33" s="109" t="s">
        <v>1451</v>
      </c>
      <c r="C33" s="109" t="s">
        <v>1352</v>
      </c>
    </row>
    <row r="34" spans="1:3" ht="30">
      <c r="A34" s="111" t="s">
        <v>906</v>
      </c>
      <c r="B34" s="112" t="s">
        <v>1452</v>
      </c>
      <c r="C34" s="109" t="s">
        <v>1499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AACF2-5CAA-4BA3-84F9-48D315366A0D}">
  <dimension ref="A1:N218"/>
  <sheetViews>
    <sheetView rightToLeft="1" workbookViewId="0">
      <selection activeCell="E19" sqref="E19"/>
    </sheetView>
  </sheetViews>
  <sheetFormatPr defaultRowHeight="15.75"/>
  <cols>
    <col min="2" max="2" width="12.625" customWidth="1"/>
    <col min="3" max="3" width="12.875" customWidth="1"/>
    <col min="11" max="11" width="22.5" customWidth="1"/>
    <col min="12" max="12" width="26.875" customWidth="1"/>
    <col min="13" max="13" width="23.5" customWidth="1"/>
    <col min="14" max="14" width="30.875" customWidth="1"/>
  </cols>
  <sheetData>
    <row r="1" spans="1:14" ht="90.75" thickBot="1">
      <c r="A1" s="168" t="s">
        <v>1504</v>
      </c>
      <c r="B1" s="80" t="s">
        <v>1342</v>
      </c>
      <c r="C1" s="80" t="s">
        <v>1343</v>
      </c>
      <c r="D1" s="80" t="s">
        <v>1344</v>
      </c>
      <c r="E1" s="80" t="s">
        <v>1345</v>
      </c>
      <c r="F1" s="80" t="s">
        <v>1346</v>
      </c>
      <c r="G1" s="80" t="s">
        <v>1347</v>
      </c>
      <c r="H1" s="80" t="s">
        <v>1348</v>
      </c>
      <c r="I1" s="168" t="s">
        <v>1505</v>
      </c>
      <c r="J1" s="80" t="s">
        <v>1503</v>
      </c>
      <c r="K1" s="80" t="str">
        <f ca="1">IFERROR(__xludf.DUMMYFUNCTION("GOOGLETRANSLATE(B2, ""auto"", ""en"")"),"Name UBI")</f>
        <v>Name UBI</v>
      </c>
      <c r="L1" s="80" t="str">
        <f ca="1">IFERROR(__xludf.DUMMYFUNCTION("GOOGLETRANSLATE(D2, ""auto"", ""en"")"),"Description")</f>
        <v>Description</v>
      </c>
      <c r="M1" s="80" t="str">
        <f ca="1">IFERROR(__xludf.DUMMYFUNCTION("GOOGLETRANSLATE(F2, ""auto"", ""en"")"),"Source threat (characteristics and potential of the offender)")</f>
        <v>Source threat (characteristics and potential of the offender)</v>
      </c>
      <c r="N1" s="80" t="str">
        <f ca="1">IFERROR(__xludf.DUMMYFUNCTION("GOOGLETRANSLATE(H2, ""auto"", ""en"")"),"the impact of an object")</f>
        <v>the impact of an object</v>
      </c>
    </row>
    <row r="2" spans="1:14" ht="240">
      <c r="A2" s="168"/>
      <c r="B2" s="81" t="s">
        <v>172</v>
      </c>
      <c r="C2" s="82" t="s">
        <v>1349</v>
      </c>
      <c r="D2" s="83" t="s">
        <v>1350</v>
      </c>
      <c r="E2" s="84" t="s">
        <v>1351</v>
      </c>
      <c r="F2" s="84" t="s">
        <v>1352</v>
      </c>
      <c r="G2" s="85">
        <v>2</v>
      </c>
      <c r="H2" s="85">
        <v>2</v>
      </c>
      <c r="I2" s="168"/>
      <c r="J2" s="115">
        <v>1</v>
      </c>
      <c r="K2" s="114" t="str">
        <f ca="1">IFERROR(__xludf.DUMMYFUNCTION("GOOGLETRANSLATE(B3, ""auto"", ""en"")"),"The threat of the automatic propagation of malicious code into a grid system")</f>
        <v>The threat of the automatic propagation of malicious code into a grid system</v>
      </c>
      <c r="L2" s="114" t="str">
        <f ca="1">IFERROR(__xludf.DUMMYFUNCTION("GOOGLETRANSLATE(D3, ""auto"", ""en"")"),"The threat is the ability to implement and run malicious code on behalf of a trusted process in any of the resource grid system of centers and its automatic extension to all nodes of grid system.
This threat is caused by weakness of grid computing techno"&amp;"logy - a high level of automation at low manageability grid system.
Implementation of this threat can be provided that the offender is a legal privilege user grid system")</f>
        <v>The threat is the ability to implement and run malicious code on behalf of a trusted process in any of the resource grid system of centers and its automatic extension to all nodes of grid system.
This threat is caused by weakness of grid computing technology - a high level of automation at low manageability grid system.
Implementation of this threat can be provided that the offender is a legal privilege user grid system</v>
      </c>
      <c r="M2" s="114" t="str">
        <f ca="1">IFERROR(__xludf.DUMMYFUNCTION("GOOGLETRANSLATE(F3, ""auto"", ""en"")"),"External intruder with an average potential intruder inner middle potential")</f>
        <v>External intruder with an average potential intruder inner middle potential</v>
      </c>
      <c r="N2" s="114" t="str">
        <f ca="1">IFERROR(__xludf.DUMMYFUNCTION("GOOGLETRANSLATE(H3, ""auto"", ""en"")"),"Resource Centers grid system")</f>
        <v>Resource Centers grid system</v>
      </c>
    </row>
    <row r="3" spans="1:14" ht="360">
      <c r="A3" s="168"/>
      <c r="B3" s="86" t="s">
        <v>141</v>
      </c>
      <c r="C3" s="87" t="s">
        <v>1353</v>
      </c>
      <c r="D3" s="88" t="s">
        <v>1354</v>
      </c>
      <c r="E3" s="89" t="s">
        <v>1355</v>
      </c>
      <c r="F3" s="89" t="s">
        <v>1356</v>
      </c>
      <c r="G3" s="90">
        <v>3</v>
      </c>
      <c r="H3" s="90">
        <v>3</v>
      </c>
      <c r="I3" s="168"/>
      <c r="J3" s="114">
        <v>2</v>
      </c>
      <c r="K3" s="114" t="str">
        <f ca="1">IFERROR(__xludf.DUMMYFUNCTION("GOOGLETRANSLATE(B4, ""auto"", ""en"")"),"The threat of aggregating data transmitted in the Grid System")</f>
        <v>The threat of aggregating data transmitted in the Grid System</v>
      </c>
      <c r="L3" s="114" t="str">
        <f ca="1">IFERROR(__xludf.DUMMYFUNCTION("GOOGLETRANSLATE(D4, ""auto"", ""en"")"),"The threat is the possibility of the disclosure of information protected by intruder detection involved in its processing units, data collection, analysis and synthesis of data intercepted by the data transmission network grid system.
This threat is caus"&amp;"ed by the weakness of grid computing technology - the use of unprotected Internet channel as a transport network grid system.
Implementation of this threat can be provided that the offender:
forces and sufficient funds to compensate for the distributed "&amp;"emergency Grid assignments between nodes grid system;
privileges sufficient to intercept the data traffic between the network elements (nodes) grid system")</f>
        <v>The threat is the possibility of the disclosure of information protected by intruder detection involved in its processing units, data collection, analysis and synthesis of data intercepted by the data transmission network grid system.
This threat is caused by the weakness of grid computing technology - the use of unprotected Internet channel as a transport network grid system.
Implementation of this threat can be provided that the offender:
forces and sufficient funds to compensate for the distributed emergency Grid assignments between nodes grid system;
privileges sufficient to intercept the data traffic between the network elements (nodes) grid system</v>
      </c>
      <c r="M3" s="114" t="str">
        <f ca="1">IFERROR(__xludf.DUMMYFUNCTION("GOOGLETRANSLATE(F4, ""auto"", ""en"")"),"The outer middle potential violator")</f>
        <v>The outer middle potential violator</v>
      </c>
      <c r="N3" s="114" t="str">
        <f ca="1">IFERROR(__xludf.DUMMYFUNCTION("GOOGLETRANSLATE(H4, ""auto"", ""en"")"),"network traffic")</f>
        <v>network traffic</v>
      </c>
    </row>
    <row r="4" spans="1:14" ht="270">
      <c r="A4" s="168"/>
      <c r="B4" s="86" t="s">
        <v>1357</v>
      </c>
      <c r="C4" s="91" t="s">
        <v>1358</v>
      </c>
      <c r="D4" s="88" t="s">
        <v>1359</v>
      </c>
      <c r="E4" s="92" t="s">
        <v>1360</v>
      </c>
      <c r="F4" s="92" t="s">
        <v>1361</v>
      </c>
      <c r="G4" s="93">
        <v>3</v>
      </c>
      <c r="H4" s="93">
        <v>3</v>
      </c>
      <c r="I4" s="168"/>
      <c r="J4" s="114">
        <v>3</v>
      </c>
      <c r="K4" s="114" t="str">
        <f ca="1">IFERROR(__xludf.DUMMYFUNCTION("GOOGLETRANSLATE(B5, ""auto"", ""en"")"),"cryptographic algorithms to analyze the threat and their implementation")</f>
        <v>cryptographic algorithms to analyze the threat and their implementation</v>
      </c>
      <c r="L4" s="114" t="str">
        <f ca="1">IFERROR(__xludf.DUMMYFUNCTION("GOOGLETRANSLATE(D5, ""auto"", ""en"")"),"The threat is the ability to identify weaknesses in the cryptographic algorithms, or vulnerabilities in the software that implements them.
This threat is due to weaknesses of cryptographic algorithms, as well as errors in the program code of cryptographi"&amp;"c tools, their conjugation with the system or their settings.
Implementation of the threat is possible in the case of the offender information on the means used in the encryption system implemented in their encryption algorithms and their settings")</f>
        <v>The threat is the ability to identify weaknesses in the cryptographic algorithms, or vulnerabilities in the software that implements them.
This threat is due to weaknesses of cryptographic algorithms, as well as errors in the program code of cryptographic tools, their conjugation with the system or their settings.
Implementation of the threat is possible in the case of the offender information on the means used in the encryption system implemented in their encryption algorithms and their settings</v>
      </c>
      <c r="M4" s="114" t="str">
        <f ca="1">IFERROR(__xludf.DUMMYFUNCTION("GOOGLETRANSLATE(F5, ""auto"", ""en"")"),"The outer middle potential violator")</f>
        <v>The outer middle potential violator</v>
      </c>
      <c r="N4" s="114" t="str">
        <f ca="1">IFERROR(__xludf.DUMMYFUNCTION("GOOGLETRANSLATE(H5, ""auto"", ""en"")"),"Metadata, system software")</f>
        <v>Metadata, system software</v>
      </c>
    </row>
    <row r="5" spans="1:14" ht="270">
      <c r="A5" s="168"/>
      <c r="B5" s="86" t="s">
        <v>141</v>
      </c>
      <c r="C5" s="87" t="s">
        <v>1353</v>
      </c>
      <c r="D5" s="88" t="s">
        <v>1354</v>
      </c>
      <c r="E5" s="94" t="s">
        <v>1362</v>
      </c>
      <c r="F5" s="94" t="s">
        <v>1363</v>
      </c>
      <c r="G5" s="93">
        <v>3</v>
      </c>
      <c r="H5" s="93">
        <v>2</v>
      </c>
      <c r="I5" s="168"/>
      <c r="J5" s="114">
        <v>4</v>
      </c>
      <c r="K5" s="114" t="str">
        <f ca="1">IFERROR(__xludf.DUMMYFUNCTION("GOOGLETRANSLATE(B6, ""auto"", ""en"")"),"Threat hardware reset BIOS password")</f>
        <v>Threat hardware reset BIOS password</v>
      </c>
      <c r="L5" s="114" t="str">
        <f ca="1">IFERROR(__xludf.DUMMYFUNCTION("GOOGLETRANSLATE(D6, ""auto"", ""en"")"),"The threat is reset passwords capabilities installed in BIOS / UEFI without passing authorization procedure in the system by de-energizing BIOS chip (accumulator material removal) or install jumpers in the normal place on the system board (switch ""jumper"&amp;""").
This threat is due to some system vulnerabilities (parent) boards - the presence of hard reset passwords mechanisms installed in BIOS / UEFI.
Implementation of this threat is possible on condition that the intruder physical access to the computer s"&amp;"ystem unit")</f>
        <v>The threat is reset passwords capabilities installed in BIOS / UEFI without passing authorization procedure in the system by de-energizing BIOS chip (accumulator material removal) or install jumpers in the normal place on the system board (switch "jumper").
This threat is due to some system vulnerabilities (parent) boards - the presence of hard reset passwords mechanisms installed in BIOS / UEFI.
Implementation of this threat is possible on condition that the intruder physical access to the computer system unit</v>
      </c>
      <c r="M5" s="114" t="str">
        <f ca="1">IFERROR(__xludf.DUMMYFUNCTION("GOOGLETRANSLATE(F6, ""auto"", ""en"")"),"Insider with a low potential")</f>
        <v>Insider with a low potential</v>
      </c>
      <c r="N5" s="114" t="str">
        <f ca="1">IFERROR(__xludf.DUMMYFUNCTION("GOOGLETRANSLATE(H6, ""auto"", ""en"")"),"Firmware and BIOS / UEFI hardware")</f>
        <v>Firmware and BIOS / UEFI hardware</v>
      </c>
    </row>
    <row r="6" spans="1:14" ht="267.75">
      <c r="A6" s="168"/>
      <c r="B6" s="86" t="s">
        <v>141</v>
      </c>
      <c r="C6" s="82" t="s">
        <v>1349</v>
      </c>
      <c r="D6" s="88" t="s">
        <v>906</v>
      </c>
      <c r="E6" s="94" t="s">
        <v>1364</v>
      </c>
      <c r="F6" s="94" t="s">
        <v>1365</v>
      </c>
      <c r="G6" s="93">
        <v>1</v>
      </c>
      <c r="H6" s="93">
        <v>1</v>
      </c>
      <c r="I6" s="168"/>
      <c r="J6" s="114">
        <v>5</v>
      </c>
      <c r="K6" s="114" t="str">
        <f ca="1">IFERROR(__xludf.DUMMYFUNCTION("GOOGLETRANSLATE(B7, ""auto"", ""en"")"),"The threat of malicious code in the BIOS")</f>
        <v>The threat of malicious code in the BIOS</v>
      </c>
      <c r="L6" s="114" t="str">
        <f ca="1">IFERROR(__xludf.DUMMYFUNCTION("GOOGLETRANSLATE(D7, ""auto"", ""en"")"),"The threat is the ability to make the BIOS / UEFI execute malicious code each time the computer is started by introducing it into the BIOS / UEFI chips by replacing BIOS / UEFI or update BIOS / UEFI software to a version that already contains malicious co"&amp;"de.
This threat is due to the weaknesses of control technologies for updating BIOS / UEFI software and BIOS / UEFI replacement chipset.
Implementation of this threat is possible in the course of repair and computer maintenance")</f>
        <v>The threat is the ability to make the BIOS / UEFI execute malicious code each time the computer is started by introducing it into the BIOS / UEFI chips by replacing BIOS / UEFI or update BIOS / UEFI software to a version that already contains malicious code.
This threat is due to the weaknesses of control technologies for updating BIOS / UEFI software and BIOS / UEFI replacement chipset.
Implementation of this threat is possible in the course of repair and computer maintenance</v>
      </c>
      <c r="M6" s="114" t="str">
        <f ca="1">IFERROR(__xludf.DUMMYFUNCTION("GOOGLETRANSLATE(F7, ""auto"", ""en"")"),"Insider with high potential")</f>
        <v>Insider with high potential</v>
      </c>
      <c r="N6" s="114" t="str">
        <f ca="1">IFERROR(__xludf.DUMMYFUNCTION("GOOGLETRANSLATE(H7, ""auto"", ""en"")"),"Firmware and BIOS / UEFI hardware")</f>
        <v>Firmware and BIOS / UEFI hardware</v>
      </c>
    </row>
    <row r="7" spans="1:14" ht="409.5">
      <c r="A7" s="168"/>
      <c r="B7" s="86" t="s">
        <v>1366</v>
      </c>
      <c r="C7" s="82" t="s">
        <v>1349</v>
      </c>
      <c r="D7" s="88" t="s">
        <v>1354</v>
      </c>
      <c r="E7" s="94" t="s">
        <v>1367</v>
      </c>
      <c r="F7" s="94" t="s">
        <v>1365</v>
      </c>
      <c r="G7" s="93">
        <v>3</v>
      </c>
      <c r="H7" s="93">
        <v>2</v>
      </c>
      <c r="I7" s="168"/>
      <c r="J7" s="114">
        <v>6</v>
      </c>
      <c r="K7" s="114" t="str">
        <f ca="1">IFERROR(__xludf.DUMMYFUNCTION("GOOGLETRANSLATE(B8, ""auto"", ""en"")"),"code injection, or threat data")</f>
        <v>code injection, or threat data</v>
      </c>
      <c r="L7" s="114" t="str">
        <f ca="1">IFERROR(__xludf.DUMMYFUNCTION("GOOGLETRANSLATE(D8, ""auto"", ""en"")"),"The threat is the possibility of the introduction of the offender in diskreditiruemuyu information or IoT-device malicious code, which can be launched in the future ""by hand"" users automatically when performing certain conditions (occurrence of a certai"&amp;"n date, user logon, etc.) or using the authentication data set ""by default"", as well as the possibility of the introduction of unauthorized intruder some proprietary data to be processed in an information system diskreditiruemuyu actually having carried"&amp;" out the illegal use of other people's computer resources, and block devices work when certain commands.
This threat is caused by:
presence of software vulnerabilities;
weaknesses measures antivirus and access control;
Telnet-presence of open ports on"&amp;" IoT-device (for IoT-devices).
The implementation of this possible threat:
in the case of diskreditiruemogo user with files coming from untrusted sources;
if he has privileges install the software;
in the case of unmodified owner credentials IoT-devic"&amp;"e (factory password and login)")</f>
        <v>The threat is the possibility of the introduction of the offender in diskreditiruemuyu information or IoT-device malicious code, which can be launched in the future "by hand" users automatically when performing certain conditions (occurrence of a certain date, user logon, etc.) or using the authentication data set "by default", as well as the possibility of the introduction of unauthorized intruder some proprietary data to be processed in an information system diskreditiruemuyu actually having carried out the illegal use of other people's computer resources, and block devices work when certain commands.
This threat is caused by:
presence of software vulnerabilities;
weaknesses measures antivirus and access control;
Telnet-presence of open ports on IoT-device (for IoT-devices).
The implementation of this possible threat:
in the case of diskreditiruemogo user with files coming from untrusted sources;
if he has privileges install the software;
in the case of unmodified owner credentials IoT-device (factory password and login)</v>
      </c>
      <c r="M7" s="114" t="str">
        <f ca="1">IFERROR(__xludf.DUMMYFUNCTION("GOOGLETRANSLATE(F8, ""auto"", ""en"")"),"External intruder with a low potential")</f>
        <v>External intruder with a low potential</v>
      </c>
      <c r="N7" s="114" t="str">
        <f ca="1">IFERROR(__xludf.DUMMYFUNCTION("GOOGLETRANSLATE(H8, ""auto"", ""en"")"),"System software, application software, networking software")</f>
        <v>System software, application software, networking software</v>
      </c>
    </row>
    <row r="8" spans="1:14" ht="360">
      <c r="A8" s="168"/>
      <c r="B8" s="86" t="s">
        <v>141</v>
      </c>
      <c r="C8" s="95" t="s">
        <v>1368</v>
      </c>
      <c r="D8" s="88" t="s">
        <v>1354</v>
      </c>
      <c r="E8" s="94" t="s">
        <v>1369</v>
      </c>
      <c r="F8" s="94" t="s">
        <v>1370</v>
      </c>
      <c r="G8" s="93">
        <v>3</v>
      </c>
      <c r="H8" s="93">
        <v>3</v>
      </c>
      <c r="I8" s="168"/>
      <c r="J8" s="114">
        <v>7</v>
      </c>
      <c r="K8" s="114" t="str">
        <f ca="1">IFERROR(__xludf.DUMMYFUNCTION("GOOGLETRANSLATE(B9, ""auto"", ""en"")"),"The threat of exposure to the program with high privileges")</f>
        <v>The threat of exposure to the program with high privileges</v>
      </c>
      <c r="L8" s="114" t="str">
        <f ca="1">IFERROR(__xludf.DUMMYFUNCTION("GOOGLETRANSLATE(D9, ""auto"", ""en"")"),"The threat is the possibility of increasing the offender of their privileges in the discredited system (getting discredited programs privileges) through the use of bugs in the programs and execute arbitrary code with their privileges.
This threat is caus"&amp;"ed by input validation weaknesses mechanism and teams, as well as the delimitation of access measures.
Implementation of this threat is possible under the conditions:
possession diskreditiruemoy program elevated privileges on the system;
diskreditiruem"&amp;"oy of the program receiving input from other programs or from the user;
the offender is able to transmit data to the program diskreditiruemoy")</f>
        <v>The threat is the possibility of increasing the offender of their privileges in the discredited system (getting discredited programs privileges) through the use of bugs in the programs and execute arbitrary code with their privileges.
This threat is caused by input validation weaknesses mechanism and teams, as well as the delimitation of access measures.
Implementation of this threat is possible under the conditions:
possession diskreditiruemoy program elevated privileges on the system;
diskreditiruemoy of the program receiving input from other programs or from the user;
the offender is able to transmit data to the program diskreditiruemoy</v>
      </c>
      <c r="M8" s="114" t="str">
        <f ca="1">IFERROR(__xludf.DUMMYFUNCTION("GOOGLETRANSLATE(F9, ""auto"", ""en"")"),"External intruder with an average potential intruder inner middle potential")</f>
        <v>External intruder with an average potential intruder inner middle potential</v>
      </c>
      <c r="N8" s="114" t="str">
        <f ca="1">IFERROR(__xludf.DUMMYFUNCTION("GOOGLETRANSLATE(H9, ""auto"", ""en"")"),"Information system, virtual machine, network software, network traffic")</f>
        <v>Information system, virtual machine, network software, network traffic</v>
      </c>
    </row>
    <row r="9" spans="1:14" ht="405">
      <c r="A9" s="168"/>
      <c r="B9" s="86" t="s">
        <v>141</v>
      </c>
      <c r="C9" s="95" t="s">
        <v>1368</v>
      </c>
      <c r="D9" s="88" t="s">
        <v>906</v>
      </c>
      <c r="E9" s="94" t="s">
        <v>1371</v>
      </c>
      <c r="F9" s="94" t="s">
        <v>1370</v>
      </c>
      <c r="G9" s="93">
        <v>3</v>
      </c>
      <c r="H9" s="93">
        <v>2</v>
      </c>
      <c r="I9" s="168"/>
      <c r="J9" s="114">
        <v>8</v>
      </c>
      <c r="K9" s="114" t="str">
        <f ca="1">IFERROR(__xludf.DUMMYFUNCTION("GOOGLETRANSLATE(B10, ""auto"", ""en"")"),"The threat of recovery and / or reuse of the authentication information")</f>
        <v>The threat of recovery and / or reuse of the authentication information</v>
      </c>
      <c r="L9" s="114" t="str">
        <f ca="1">IFERROR(__xludf.DUMMYFUNCTION("GOOGLETRANSLATE(D10, ""auto"", ""en"")"),"The threat lies in the possibility of access to user data as a result of the selection (e.g. by exhaustive search or sorting dictionary) diskreditiruemoy authentication information with the user account in the system, as well as by intercepting and re-use"&amp;" password hash to recover the session.
This threat is due to the following disadvantages:
much smaller volume of data authentication information hash code compared with itself (the time of selection of the hash codes is less than the exhaustive search t"&amp;"ime of authentication information);
weaknesses in the algorithm for calculating a hash code, prevent its re-use to perform a successful authentication.
Implementation of this threat is possible with the help of special software, and in some cases - ""ma"&amp;"nually""")</f>
        <v>The threat lies in the possibility of access to user data as a result of the selection (e.g. by exhaustive search or sorting dictionary) diskreditiruemoy authentication information with the user account in the system, as well as by intercepting and re-use password hash to recover the session.
This threat is due to the following disadvantages:
much smaller volume of data authentication information hash code compared with itself (the time of selection of the hash codes is less than the exhaustive search time of authentication information);
weaknesses in the algorithm for calculating a hash code, prevent its re-use to perform a successful authentication.
Implementation of this threat is possible with the help of special software, and in some cases - "manually"</v>
      </c>
      <c r="M9" s="114" t="str">
        <f ca="1">IFERROR(__xludf.DUMMYFUNCTION("GOOGLETRANSLATE(F10, ""auto"", ""en"")"),"External intruder low potential insider with a low potential")</f>
        <v>External intruder low potential insider with a low potential</v>
      </c>
      <c r="N9" s="114" t="str">
        <f ca="1">IFERROR(__xludf.DUMMYFUNCTION("GOOGLETRANSLATE(H10, ""auto"", ""en"")"),"System software, firmware, usernames user data")</f>
        <v>System software, firmware, usernames user data</v>
      </c>
    </row>
    <row r="10" spans="1:14" ht="409.5">
      <c r="A10" s="168"/>
      <c r="B10" s="86" t="s">
        <v>344</v>
      </c>
      <c r="C10" s="82" t="s">
        <v>1372</v>
      </c>
      <c r="D10" s="88" t="s">
        <v>1359</v>
      </c>
      <c r="E10" s="96" t="s">
        <v>1373</v>
      </c>
      <c r="F10" s="94" t="s">
        <v>1370</v>
      </c>
      <c r="G10" s="93">
        <v>1</v>
      </c>
      <c r="H10" s="93">
        <v>1</v>
      </c>
      <c r="I10" s="168"/>
      <c r="J10" s="114">
        <v>9</v>
      </c>
      <c r="K10" s="114" t="str">
        <f ca="1">IFERROR(__xludf.DUMMYFUNCTION("GOOGLETRANSLATE(B11, ""auto"", ""en"")"),"Threat to restore the previous version of the BIOS vulnerable")</f>
        <v>Threat to restore the previous version of the BIOS vulnerable</v>
      </c>
      <c r="L10" s="114" t="str">
        <f ca="1">IFERROR(__xludf.DUMMYFUNCTION("GOOGLETRANSLATE(D11, ""auto"", ""en"")"),"The threat lies in the possibility of the use of the stimulated transition BIOS / UEFI, comprising vulnerability.
This threat is due to the weaknesses of control technologies for updating BIOS / UEFI software.
When using the BIOS / UEFI technology updat"&amp;"es, you may experience the following situation (conditions that characterize the situation listed in chronological order):
the computer is running some version of BIOS / UEFI, for which at the time of its operation are not known vulnerabilities;
due to "&amp;"certain BIOS / UEFI circumstances runs the update process by maintaining the previous BIOS / UEFI version in the case of a ""rollback"" of the system;
published data on the existence of vulnerabilities in previous versions of BIOS / UEFI;
malfunction oc"&amp;"curs in the system, whereby the current (new) version of the BIOS / UEFI becomes inoperative (e.g., its integrity is violated);
the user carries out a full-time system recovery procedure - conducting a ""rollback"" of the system to a previous working sta"&amp;"te")</f>
        <v>The threat lies in the possibility of the use of the stimulated transition BIOS / UEFI, comprising vulnerability.
This threat is due to the weaknesses of control technologies for updating BIOS / UEFI software.
When using the BIOS / UEFI technology updates, you may experience the following situation (conditions that characterize the situation listed in chronological order):
the computer is running some version of BIOS / UEFI, for which at the time of its operation are not known vulnerabilities;
due to certain BIOS / UEFI circumstances runs the update process by maintaining the previous BIOS / UEFI version in the case of a "rollback" of the system;
published data on the existence of vulnerabilities in previous versions of BIOS / UEFI;
malfunction occurs in the system, whereby the current (new) version of the BIOS / UEFI becomes inoperative (e.g., its integrity is violated);
the user carries out a full-time system recovery procedure - conducting a "rollback" of the system to a previous working state</v>
      </c>
      <c r="M10" s="114" t="str">
        <f ca="1">IFERROR(__xludf.DUMMYFUNCTION("GOOGLETRANSLATE(F11, ""auto"", ""en"")"),"Insider with a low potential")</f>
        <v>Insider with a low potential</v>
      </c>
      <c r="N10" s="114" t="str">
        <f ca="1">IFERROR(__xludf.DUMMYFUNCTION("GOOGLETRANSLATE(H11, ""auto"", ""en"")"),"BIOS / UEFI firmware")</f>
        <v>BIOS / UEFI firmware</v>
      </c>
    </row>
    <row r="11" spans="1:14" ht="409.5">
      <c r="A11" s="168"/>
      <c r="B11" s="86" t="s">
        <v>1374</v>
      </c>
      <c r="C11" s="93" t="s">
        <v>1375</v>
      </c>
      <c r="D11" s="88" t="s">
        <v>1359</v>
      </c>
      <c r="E11" s="97" t="s">
        <v>1376</v>
      </c>
      <c r="F11" s="97" t="s">
        <v>1377</v>
      </c>
      <c r="G11" s="93">
        <v>3</v>
      </c>
      <c r="H11" s="93">
        <v>2</v>
      </c>
      <c r="I11" s="168"/>
      <c r="J11" s="114">
        <v>10</v>
      </c>
      <c r="K11" s="114" t="str">
        <f ca="1">IFERROR(__xludf.DUMMYFUNCTION("GOOGLETRANSLATE(B12, ""auto"", ""en"")"),"process exit threat of the virtual machine")</f>
        <v>process exit threat of the virtual machine</v>
      </c>
      <c r="L11" s="114" t="str">
        <f ca="1">IFERROR(__xludf.DUMMYFUNCTION("GOOGLETRANSLATE(D12, ""auto"", ""en"")"),"The threat is the ability to run the malicious program's own hypervisor, operating on the level of logical interaction below being compromised hypervisor.
This threat is caused by software vulnerabilities hypervisor that implements the function of the sa"&amp;"ndbox for operating in its programs, as well as weaknesses in hardware support for virtualization at the processor level instructions.
Implementation of this threat leads not only to compromise the hypervisor, but running in a virtual environment created"&amp;" by him protection and, consequently, to their inability to perform security functions for malware, operating under the control of its own hypervisor")</f>
        <v>The threat is the ability to run the malicious program's own hypervisor, operating on the level of logical interaction below being compromised hypervisor.
This threat is caused by software vulnerabilities hypervisor that implements the function of the sandbox for operating in its programs, as well as weaknesses in hardware support for virtualization at the processor level instructions.
Implementation of this threat leads not only to compromise the hypervisor, but running in a virtual environment created by him protection and, consequently, to their inability to perform security functions for malware, operating under the control of its own hypervisor</v>
      </c>
      <c r="M11" s="114" t="str">
        <f ca="1">IFERROR(__xludf.DUMMYFUNCTION("GOOGLETRANSLATE(F12, ""auto"", ""en"")"),"External intruder with an average potential intruder inner middle potential")</f>
        <v>External intruder with an average potential intruder inner middle potential</v>
      </c>
      <c r="N11" s="114" t="str">
        <f ca="1">IFERROR(__xludf.DUMMYFUNCTION("GOOGLETRANSLATE(H12, ""auto"", ""en"")"),"Information System, a network node, the media, the file system object, Accounts user data, virtual machine image")</f>
        <v>Information System, a network node, the media, the file system object, Accounts user data, virtual machine image</v>
      </c>
    </row>
    <row r="12" spans="1:14" ht="285">
      <c r="A12" s="168"/>
      <c r="B12" s="86" t="s">
        <v>141</v>
      </c>
      <c r="C12" s="95" t="s">
        <v>1368</v>
      </c>
      <c r="D12" s="88" t="s">
        <v>1354</v>
      </c>
      <c r="E12" s="97" t="s">
        <v>1378</v>
      </c>
      <c r="F12" s="97" t="s">
        <v>1379</v>
      </c>
      <c r="G12" s="93">
        <v>3</v>
      </c>
      <c r="H12" s="93">
        <v>2</v>
      </c>
      <c r="I12" s="168"/>
      <c r="J12" s="114">
        <v>11</v>
      </c>
      <c r="K12" s="114" t="str">
        <f ca="1">IFERROR(__xludf.DUMMYFUNCTION("GOOGLETRANSLATE(B13, ""auto"", ""en"")"),"Threat deauthorize authorized wireless client")</f>
        <v>Threat deauthorize authorized wireless client</v>
      </c>
      <c r="L12" s="114" t="str">
        <f ca="1">IFERROR(__xludf.DUMMYFUNCTION("GOOGLETRANSLATE(D13, ""auto"", ""en"")"),"The threat is the possibility of automatic disconnection of the wireless access point to authorized wireless client.
This threat is caused by the weakness of networking technology for wireless data communication channels - information about the MAC addre"&amp;"sses of wireless clients available to all participants in networking.
Implementation of this threat can be provided to connect the violator to a wireless network device, the MAC address will be the same as the MAC address of the client's authorized diskr"&amp;"editiruemogo")</f>
        <v>The threat is the possibility of automatic disconnection of the wireless access point to authorized wireless client.
This threat is caused by the weakness of networking technology for wireless data communication channels - information about the MAC addresses of wireless clients available to all participants in networking.
Implementation of this threat can be provided to connect the violator to a wireless network device, the MAC address will be the same as the MAC address of the client's authorized diskreditiruemogo</v>
      </c>
      <c r="M12" s="114" t="str">
        <f ca="1">IFERROR(__xludf.DUMMYFUNCTION("GOOGLETRANSLATE(F13, ""auto"", ""en"")"),"External intruder low potential insider with a low potential")</f>
        <v>External intruder low potential insider with a low potential</v>
      </c>
      <c r="N12" s="114" t="str">
        <f ca="1">IFERROR(__xludf.DUMMYFUNCTION("GOOGLETRANSLATE(H13, ""auto"", ""en"")"),"The network node")</f>
        <v>The network node</v>
      </c>
    </row>
    <row r="13" spans="1:14" ht="330">
      <c r="A13" s="168"/>
      <c r="B13" s="86" t="s">
        <v>344</v>
      </c>
      <c r="C13" s="82" t="s">
        <v>1349</v>
      </c>
      <c r="D13" s="82" t="s">
        <v>1350</v>
      </c>
      <c r="E13" s="96" t="s">
        <v>1380</v>
      </c>
      <c r="F13" s="96" t="s">
        <v>1381</v>
      </c>
      <c r="G13" s="93">
        <v>2</v>
      </c>
      <c r="H13" s="93">
        <v>3</v>
      </c>
      <c r="I13" s="168"/>
      <c r="J13" s="114">
        <v>12</v>
      </c>
      <c r="K13" s="114" t="str">
        <f ca="1">IFERROR(__xludf.DUMMYFUNCTION("GOOGLETRANSLATE(B14, ""auto"", ""en"")"),"The threat of a destructive change of configuration / programming environment protection")</f>
        <v>The threat of a destructive change of configuration / programming environment protection</v>
      </c>
      <c r="L13" s="114" t="str">
        <f ca="1">IFERROR(__xludf.DUMMYFUNCTION("GOOGLETRANSLATE(D14, ""auto"", ""en"")"),"The threat is the possibility of a destructive impact on the software application diskreditiruemoe way of manipulation with the configuration files or libraries used them.
This threat is caused by weakness of integrity controls configuration files or lib"&amp;"raries used by applications.
Implementation of this threat is possible in the case of the infringer of the rights of the entries in the file objects associated with the configuration / software environment environment, or the ability to redirect requests"&amp;" from the program diskreditiruemoy protected file object to false")</f>
        <v>The threat is the possibility of a destructive impact on the software application diskreditiruemoe way of manipulation with the configuration files or libraries used them.
This threat is caused by weakness of integrity controls configuration files or libraries used by applications.
Implementation of this threat is possible in the case of the infringer of the rights of the entries in the file objects associated with the configuration / software environment environment, or the ability to redirect requests from the program diskreditiruemoy protected file object to false</v>
      </c>
      <c r="M13" s="114" t="str">
        <f ca="1">IFERROR(__xludf.DUMMYFUNCTION("GOOGLETRANSLATE(F14, ""auto"", ""en"")"),"Insider with a low potential")</f>
        <v>Insider with a low potential</v>
      </c>
      <c r="N13" s="114" t="str">
        <f ca="1">IFERROR(__xludf.DUMMYFUNCTION("GOOGLETRANSLATE(H14, ""auto"", ""en"")"),"System software, application software, network software, firmware, metadata, file system objects, the registry")</f>
        <v>System software, application software, network software, firmware, metadata, file system objects, the registry</v>
      </c>
    </row>
    <row r="14" spans="1:14" ht="409.5">
      <c r="A14" s="168"/>
      <c r="B14" s="98" t="s">
        <v>1357</v>
      </c>
      <c r="C14" s="82" t="s">
        <v>1349</v>
      </c>
      <c r="D14" s="93" t="s">
        <v>1359</v>
      </c>
      <c r="E14" s="96" t="s">
        <v>1382</v>
      </c>
      <c r="F14" s="96" t="s">
        <v>1377</v>
      </c>
      <c r="G14" s="93">
        <v>2</v>
      </c>
      <c r="H14" s="93">
        <v>3</v>
      </c>
      <c r="I14" s="168"/>
      <c r="J14" s="114">
        <v>13</v>
      </c>
      <c r="K14" s="114" t="str">
        <f ca="1">IFERROR(__xludf.DUMMYFUNCTION("GOOGLETRANSLATE(B15, ""auto"", ""en"")"),"The threat of a destructive use of the declared functional BIOS")</f>
        <v>The threat of a destructive use of the declared functional BIOS</v>
      </c>
      <c r="L14" s="114" t="str">
        <f ca="1">IFERROR(__xludf.DUMMYFUNCTION("GOOGLETRANSLATE(D15, ""auto"", ""en"")"),"The threat is the possibility of misuse declared BIOS / UEFI functional for violating the integrity of the information stored in the external storage media and a random access memory computer.
This threat is caused by vulnerabilities BIOS / UEFI software"&amp;" designed for testing and computer maintenance (funds check memory integrity, software RAID-controller management software, etc.).
Realization of this threat may contribute to the ability to update some of the BIOS / UEFI without passing authentication")</f>
        <v>The threat is the possibility of misuse declared BIOS / UEFI functional for violating the integrity of the information stored in the external storage media and a random access memory computer.
This threat is caused by vulnerabilities BIOS / UEFI software designed for testing and computer maintenance (funds check memory integrity, software RAID-controller management software, etc.).
Realization of this threat may contribute to the ability to update some of the BIOS / UEFI without passing authentication</v>
      </c>
      <c r="M14" s="114" t="str">
        <f ca="1">IFERROR(__xludf.DUMMYFUNCTION("GOOGLETRANSLATE(F15, ""auto"", ""en"")"),"Insider with a low potential")</f>
        <v>Insider with a low potential</v>
      </c>
      <c r="N14" s="114" t="str">
        <f ca="1">IFERROR(__xludf.DUMMYFUNCTION("GOOGLETRANSLATE(H15, ""auto"", ""en"")"),"BIOS / UEFI firmware")</f>
        <v>BIOS / UEFI firmware</v>
      </c>
    </row>
    <row r="15" spans="1:14" ht="315">
      <c r="A15" s="168"/>
      <c r="B15" s="98" t="s">
        <v>72</v>
      </c>
      <c r="C15" s="95" t="s">
        <v>1368</v>
      </c>
      <c r="D15" s="93" t="s">
        <v>1354</v>
      </c>
      <c r="E15" s="96" t="s">
        <v>1383</v>
      </c>
      <c r="F15" s="96" t="s">
        <v>1370</v>
      </c>
      <c r="G15" s="93">
        <v>3</v>
      </c>
      <c r="H15" s="93">
        <v>3</v>
      </c>
      <c r="I15" s="168"/>
      <c r="J15" s="114">
        <v>14</v>
      </c>
      <c r="K15" s="114" t="str">
        <f ca="1">IFERROR(__xludf.DUMMYFUNCTION("GOOGLETRANSLATE(B16, ""auto"", ""en"")"),"The threat of long-term retention of the user's computing resources")</f>
        <v>The threat of long-term retention of the user's computing resources</v>
      </c>
      <c r="L15" s="114" t="str">
        <f ca="1">IFERROR(__xludf.DUMMYFUNCTION("GOOGLETRANSLATE(D16, ""auto"", ""en"")"),"The threat is the possibility of limiting the infringer end-user access to computing resources at the expense of his forced confinement in a loaded state by repeatedly performing the exercise of certain destructive action or operation, distributing comput"&amp;"ing resources among tasks for application vulnerabilities.
This threat is caused by weaknesses load balancing and allocation of computing resources.
Implementation of the threat is possible if the offender has the opportunity to make requests, all of wh"&amp;"ich require more time to complete than the user requests")</f>
        <v>The threat is the possibility of limiting the infringer end-user access to computing resources at the expense of his forced confinement in a loaded state by repeatedly performing the exercise of certain destructive action or operation, distributing computing resources among tasks for application vulnerabilities.
This threat is caused by weaknesses load balancing and allocation of computing resources.
Implementation of the threat is possible if the offender has the opportunity to make requests, all of which require more time to complete than the user requests</v>
      </c>
      <c r="M15" s="114" t="str">
        <f ca="1">IFERROR(__xludf.DUMMYFUNCTION("GOOGLETRANSLATE(F16, ""auto"", ""en"")"),"External intruder low potential insider with a low potential")</f>
        <v>External intruder low potential insider with a low potential</v>
      </c>
      <c r="N15" s="114" t="str">
        <f ca="1">IFERROR(__xludf.DUMMYFUNCTION("GOOGLETRANSLATE(H16, ""auto"", ""en"")"),"Information System, a network node, data carrier, system software, network software, network traffic")</f>
        <v>Information System, a network node, data carrier, system software, network software, network traffic</v>
      </c>
    </row>
    <row r="16" spans="1:14" ht="375">
      <c r="A16" s="168"/>
      <c r="B16" s="87" t="s">
        <v>488</v>
      </c>
      <c r="C16" s="87" t="s">
        <v>1384</v>
      </c>
      <c r="D16" s="87" t="s">
        <v>1385</v>
      </c>
      <c r="E16" s="96" t="s">
        <v>1386</v>
      </c>
      <c r="F16" s="96" t="s">
        <v>1387</v>
      </c>
      <c r="G16" s="93">
        <v>2</v>
      </c>
      <c r="H16" s="93">
        <v>3</v>
      </c>
      <c r="I16" s="168"/>
      <c r="J16" s="114">
        <v>15</v>
      </c>
      <c r="K16" s="114" t="str">
        <f ca="1">IFERROR(__xludf.DUMMYFUNCTION("GOOGLETRANSLATE(B17, ""auto"", ""en"")"),"The threat of access to protected files using the workaround")</f>
        <v>The threat of access to protected files using the workaround</v>
      </c>
      <c r="L16" s="114" t="str">
        <f ca="1">IFERROR(__xludf.DUMMYFUNCTION("GOOGLETRANSLATE(D17, ""auto"", ""en"")"),"The threat is the possibility of obtaining the offender access to the hidden / protected folders or files through various actions on the file system (to add additional characters to specify a file path, accessing files that are not explicitly listed in th"&amp;"e application window).
This threat is due to the weaknesses of the mechanism of differentiation of access to file system objects.
Implementation of this threat is possible under the conditions:
the presence of the violator of the rights of access to ce"&amp;"rtain file system objects;
lack of verification data entered by the user;
possession diskreditiruemoy program too high privilege access to the files, the processing of which is not intended to help her")</f>
        <v>The threat is the possibility of obtaining the offender access to the hidden / protected folders or files through various actions on the file system (to add additional characters to specify a file path, accessing files that are not explicitly listed in the application window).
This threat is due to the weaknesses of the mechanism of differentiation of access to file system objects.
Implementation of this threat is possible under the conditions:
the presence of the violator of the rights of access to certain file system objects;
lack of verification data entered by the user;
possession diskreditiruemoy program too high privilege access to the files, the processing of which is not intended to help her</v>
      </c>
      <c r="M16" s="114" t="str">
        <f ca="1">IFERROR(__xludf.DUMMYFUNCTION("GOOGLETRANSLATE(F17, ""auto"", ""en"")"),"External intruder low potential insider with a low potential")</f>
        <v>External intruder low potential insider with a low potential</v>
      </c>
      <c r="N16" s="114" t="str">
        <f ca="1">IFERROR(__xludf.DUMMYFUNCTION("GOOGLETRANSLATE(H17, ""auto"", ""en"")"),"File System Objects")</f>
        <v>File System Objects</v>
      </c>
    </row>
    <row r="17" spans="1:14" ht="345">
      <c r="A17" s="168"/>
      <c r="B17" s="87" t="s">
        <v>1388</v>
      </c>
      <c r="C17" s="87" t="s">
        <v>1389</v>
      </c>
      <c r="D17" s="87" t="s">
        <v>1354</v>
      </c>
      <c r="E17" s="94" t="s">
        <v>1390</v>
      </c>
      <c r="F17" s="99" t="s">
        <v>1391</v>
      </c>
      <c r="G17" s="90">
        <v>2</v>
      </c>
      <c r="H17" s="90">
        <v>1</v>
      </c>
      <c r="I17" s="168"/>
      <c r="J17" s="114">
        <v>16</v>
      </c>
      <c r="K17" s="114" t="str">
        <f ca="1">IFERROR(__xludf.DUMMYFUNCTION("GOOGLETRANSLATE(B18, ""auto"", ""en"")"),"The threat of access to local files on the server using the URL")</f>
        <v>The threat of access to local files on the server using the URL</v>
      </c>
      <c r="L17" s="114" t="str">
        <f ca="1">IFERROR(__xludf.DUMMYFUNCTION("GOOGLETRANSLATE(D18, ""auto"", ""en"")"),"The threat is the possibility of transfer of the offender diskreditiruemomu browser request for access to the file system user instead of URL-request. In this browser execute this request to the rights that he is endowed with at startup, and transmit data"&amp;" obtained as a result of this operation, the violator.
This threat is caused by weaknesses introduced by the user requests a verification mechanism, which does not distinguish between requests for access to the file system, and URL-requests.
Implementat"&amp;"ion of this threat is possible in the case of the offender privileges to send a browser request, the system operates in diskreditiruemoy")</f>
        <v>The threat is the possibility of transfer of the offender diskreditiruemomu browser request for access to the file system user instead of URL-request. In this browser execute this request to the rights that he is endowed with at startup, and transmit data obtained as a result of this operation, the violator.
This threat is caused by weaknesses introduced by the user requests a verification mechanism, which does not distinguish between requests for access to the file system, and URL-requests.
Implementation of this threat is possible in the case of the offender privileges to send a browser request, the system operates in diskreditiruemoy</v>
      </c>
      <c r="M17" s="114" t="str">
        <f ca="1">IFERROR(__xludf.DUMMYFUNCTION("GOOGLETRANSLATE(F18, ""auto"", ""en"")"),"The outer middle potential violator")</f>
        <v>The outer middle potential violator</v>
      </c>
      <c r="N17" s="114" t="str">
        <f ca="1">IFERROR(__xludf.DUMMYFUNCTION("GOOGLETRANSLATE(H18, ""auto"", ""en"")"),"Networking software")</f>
        <v>Networking software</v>
      </c>
    </row>
    <row r="18" spans="1:14" ht="409.5">
      <c r="A18" s="168"/>
      <c r="B18" s="82" t="s">
        <v>141</v>
      </c>
      <c r="C18" s="82" t="s">
        <v>1392</v>
      </c>
      <c r="D18" s="82" t="s">
        <v>1385</v>
      </c>
      <c r="E18" s="96" t="s">
        <v>1393</v>
      </c>
      <c r="F18" s="96" t="s">
        <v>1394</v>
      </c>
      <c r="G18" s="93">
        <v>1</v>
      </c>
      <c r="H18" s="93">
        <v>1</v>
      </c>
      <c r="I18" s="168"/>
      <c r="J18" s="114">
        <v>17</v>
      </c>
      <c r="K18" s="114" t="str">
        <f ca="1">IFERROR(__xludf.DUMMYFUNCTION("GOOGLETRANSLATE(B19, ""auto"", ""en"")"),"The threat of an access / interception / modification HTTP cookies")</f>
        <v>The threat of an access / interception / modification HTTP cookies</v>
      </c>
      <c r="L18" s="114" t="str">
        <f ca="1">IFERROR(__xludf.DUMMYFUNCTION("GOOGLETRANSLATE(D19, ""auto"", ""en"")"),"The threat is the possibility of the perpetrator of unauthorized access to protected information (user accounts, certificates, etc.) contained in the cookies-files during storage or transmission, in read mode (the disclosure of privacy) or write (amendmen"&amp;"ts to implementation of threat spoofing a trusted user).
This threat is caused by weakness protection cookies-file action: the absence of verification of input data from a network service that uses cookies-files, as well as the lack of encryption when se"&amp;"nding cookies-files.
Implementation of this threat is possible under the conditions of a successful intruder unauthorized access to cookies-files and check the integrity of the absence of their values ​​from the application diskreditiruemogo")</f>
        <v>The threat is the possibility of the perpetrator of unauthorized access to protected information (user accounts, certificates, etc.) contained in the cookies-files during storage or transmission, in read mode (the disclosure of privacy) or write (amendments to implementation of threat spoofing a trusted user).
This threat is caused by weakness protection cookies-file action: the absence of verification of input data from a network service that uses cookies-files, as well as the lack of encryption when sending cookies-files.
Implementation of this threat is possible under the conditions of a successful intruder unauthorized access to cookies-files and check the integrity of the absence of their values ​​from the application diskreditiruemogo</v>
      </c>
      <c r="M18" s="114" t="str">
        <f ca="1">IFERROR(__xludf.DUMMYFUNCTION("GOOGLETRANSLATE(F19, ""auto"", ""en"")"),"External intruder with a low potential")</f>
        <v>External intruder with a low potential</v>
      </c>
      <c r="N18" s="114" t="str">
        <f ca="1">IFERROR(__xludf.DUMMYFUNCTION("GOOGLETRANSLATE(H19, ""auto"", ""en"")"),"Application software, network software")</f>
        <v>Application software, network software</v>
      </c>
    </row>
    <row r="19" spans="1:14" ht="240">
      <c r="A19" s="168"/>
      <c r="B19" s="82" t="s">
        <v>72</v>
      </c>
      <c r="C19" s="82" t="s">
        <v>1395</v>
      </c>
      <c r="D19" s="82" t="s">
        <v>1354</v>
      </c>
      <c r="E19" s="99" t="s">
        <v>1396</v>
      </c>
      <c r="F19" s="99" t="s">
        <v>1397</v>
      </c>
      <c r="G19" s="93">
        <v>1</v>
      </c>
      <c r="H19" s="93">
        <v>1</v>
      </c>
      <c r="I19" s="168"/>
      <c r="J19" s="114">
        <v>18</v>
      </c>
      <c r="K19" s="114" t="str">
        <f ca="1">IFERROR(__xludf.DUMMYFUNCTION("GOOGLETRANSLATE(B20, ""auto"", ""en"")"),"Download Threat abnormal operating system")</f>
        <v>Download Threat abnormal operating system</v>
      </c>
      <c r="L19" s="114" t="str">
        <f ca="1">IFERROR(__xludf.DUMMYFUNCTION("GOOGLETRANSLATE(D20, ""auto"", ""en"")"),"The threat is the possibility of substitution of the violator a bootable operating system by unauthorized reconfiguration in the BIOS / UEFI access path to boot the operating system.
This threat is caused by weaknesses technologies restricting access to "&amp;"the BIOS / UEFI management.
Implementation of this threat can be provided access to the offender the next parameter BIOS / UEFI settings - indication of the operating system boot source")</f>
        <v>The threat is the possibility of substitution of the violator a bootable operating system by unauthorized reconfiguration in the BIOS / UEFI access path to boot the operating system.
This threat is caused by weaknesses technologies restricting access to the BIOS / UEFI management.
Implementation of this threat can be provided access to the offender the next parameter BIOS / UEFI settings - indication of the operating system boot source</v>
      </c>
      <c r="M19" s="114" t="str">
        <f ca="1">IFERROR(__xludf.DUMMYFUNCTION("GOOGLETRANSLATE(F20, ""auto"", ""en"")"),"Insider with a low potential")</f>
        <v>Insider with a low potential</v>
      </c>
      <c r="N19" s="114" t="str">
        <f ca="1">IFERROR(__xludf.DUMMYFUNCTION("GOOGLETRANSLATE(H20, ""auto"", ""en"")"),"BIOS / UEFI firmware")</f>
        <v>BIOS / UEFI firmware</v>
      </c>
    </row>
    <row r="20" spans="1:14" ht="360">
      <c r="A20" s="168"/>
      <c r="B20" s="100" t="s">
        <v>1398</v>
      </c>
      <c r="C20" s="100" t="s">
        <v>1399</v>
      </c>
      <c r="D20" s="100" t="s">
        <v>1350</v>
      </c>
      <c r="E20" s="101" t="s">
        <v>1400</v>
      </c>
      <c r="F20" s="99" t="s">
        <v>1401</v>
      </c>
      <c r="G20" s="93">
        <v>2</v>
      </c>
      <c r="H20" s="93">
        <v>2</v>
      </c>
      <c r="I20" s="168"/>
      <c r="J20" s="114">
        <v>19</v>
      </c>
      <c r="K20" s="114" t="str">
        <f ca="1">IFERROR(__xludf.DUMMYFUNCTION("GOOGLETRANSLATE(B21, ""auto"", ""en"")"),"The threat of DNS-cache infection")</f>
        <v>The threat of DNS-cache infection</v>
      </c>
      <c r="L20" s="114" t="str">
        <f ca="1">IFERROR(__xludf.DUMMYFUNCTION("GOOGLETRANSLATE(D21, ""auto"", ""en"")"),"The threat is the ability to redirect network traffic violator through its own network node mediated by changes in the relevant tables IP- and domain names that are stored in the DNS-server, at the expense of generating an avalanche of possible responses "&amp;"to the request DNS-server a valid user, or by exploiting the DNS-server vulnerabilities .
This threat is caused by weakness of mechanisms authentication networking subjects, as well as DNS-server vulnerabilities that can directly replace the DNS-cache DN"&amp;"S-server.
Implementation of this threat is possible in the case of the offender privileges sufficient to send network requests to the DNS-server")</f>
        <v>The threat is the ability to redirect network traffic violator through its own network node mediated by changes in the relevant tables IP- and domain names that are stored in the DNS-server, at the expense of generating an avalanche of possible responses to the request DNS-server a valid user, or by exploiting the DNS-server vulnerabilities .
This threat is caused by weakness of mechanisms authentication networking subjects, as well as DNS-server vulnerabilities that can directly replace the DNS-cache DNS-server.
Implementation of this threat is possible in the case of the offender privileges sufficient to send network requests to the DNS-server</v>
      </c>
      <c r="M20" s="114" t="str">
        <f ca="1">IFERROR(__xludf.DUMMYFUNCTION("GOOGLETRANSLATE(F21, ""auto"", ""en"")"),"External intruder with a low potential")</f>
        <v>External intruder with a low potential</v>
      </c>
      <c r="N20" s="114" t="str">
        <f ca="1">IFERROR(__xludf.DUMMYFUNCTION("GOOGLETRANSLATE(H21, ""auto"", ""en"")"),"Network node, network software, network traffic")</f>
        <v>Network node, network software, network traffic</v>
      </c>
    </row>
    <row r="21" spans="1:14" ht="393.75">
      <c r="A21" s="168"/>
      <c r="B21" s="82" t="s">
        <v>72</v>
      </c>
      <c r="C21" s="82" t="s">
        <v>1349</v>
      </c>
      <c r="D21" s="82" t="s">
        <v>1359</v>
      </c>
      <c r="E21" s="94" t="s">
        <v>1402</v>
      </c>
      <c r="F21" s="99" t="s">
        <v>1403</v>
      </c>
      <c r="G21" s="93">
        <v>1</v>
      </c>
      <c r="H21" s="93">
        <v>2</v>
      </c>
      <c r="I21" s="168"/>
      <c r="J21" s="114">
        <v>20</v>
      </c>
      <c r="K21" s="114" t="str">
        <f ca="1">IFERROR(__xludf.DUMMYFUNCTION("GOOGLETRANSLATE(B22, ""auto"", ""en"")"),"The threat of abuse the opportunities offered by cloud-based services to consumers")</f>
        <v>The threat of abuse the opportunities offered by cloud-based services to consumers</v>
      </c>
      <c r="L21" s="114" t="str">
        <f ca="1">IFERROR(__xludf.DUMMYFUNCTION("GOOGLETRANSLATE(D22, ""auto"", ""en"")"),"The threat is the possibility of the consumer of cloud services (the offender) spam, unauthorized access to the virtual machines to other consumers of cloud services or other destructive software effects on different systems using leased resources of the "&amp;"cloud server.
This threat stems from the fact that the cloud service consumer can install their own software on the cloud server.
Implementation of this threat is possible by installing and running the consumer cloud services malicious software on the c"&amp;"loud server. Successful implementation of this threat the consumer of cloud services has a negative effect on the reputation of the supplier of cloud services")</f>
        <v>The threat is the possibility of the consumer of cloud services (the offender) spam, unauthorized access to the virtual machines to other consumers of cloud services or other destructive software effects on different systems using leased resources of the cloud server.
This threat stems from the fact that the cloud service consumer can install their own software on the cloud server.
Implementation of this threat is possible by installing and running the consumer cloud services malicious software on the cloud server. Successful implementation of this threat the consumer of cloud services has a negative effect on the reputation of the supplier of cloud services</v>
      </c>
      <c r="M21" s="114" t="str">
        <f ca="1">IFERROR(__xludf.DUMMYFUNCTION("GOOGLETRANSLATE(F22, ""auto"", ""en"")"),"Insider with a low potential")</f>
        <v>Insider with a low potential</v>
      </c>
      <c r="N21" s="114" t="str">
        <f ca="1">IFERROR(__xludf.DUMMYFUNCTION("GOOGLETRANSLATE(H22, ""auto"", ""en"")"),"Cloud system, the virtual machine")</f>
        <v>Cloud system, the virtual machine</v>
      </c>
    </row>
    <row r="22" spans="1:14" ht="393.75">
      <c r="A22" s="168"/>
      <c r="B22" s="82" t="s">
        <v>72</v>
      </c>
      <c r="C22" s="82" t="s">
        <v>1349</v>
      </c>
      <c r="D22" s="82" t="s">
        <v>1359</v>
      </c>
      <c r="E22" s="94" t="s">
        <v>1404</v>
      </c>
      <c r="F22" s="99" t="s">
        <v>1403</v>
      </c>
      <c r="G22" s="93">
        <v>2</v>
      </c>
      <c r="H22" s="93">
        <v>3</v>
      </c>
      <c r="I22" s="168"/>
      <c r="J22" s="114">
        <v>21</v>
      </c>
      <c r="K22" s="114" t="str">
        <f ca="1">IFERROR(__xludf.DUMMYFUNCTION("GOOGLETRANSLATE(B23, ""auto"", ""en"")"),"The threat of abuse of trust cloud services consumers")</f>
        <v>The threat of abuse of trust cloud services consumers</v>
      </c>
      <c r="L22" s="114" t="str">
        <f ca="1">IFERROR(__xludf.DUMMYFUNCTION("GOOGLETRANSLATE(D23, ""auto"", ""en"")"),"The threat is the possibility of a violation (accidentally or intentionally) security of information consumers of cloud services insiders provider of cloud services.
This threat stems from the fact that a significant part of the security functions transf"&amp;"erred to the responsibility of the provider of cloud services, as well as the impossibility of acceptance by the consumer of cloud services protection against the actions of the provider of cloud services.
Implementation of this threat is possible provid"&amp;"ed that consumers of cloud services is not part of the organization engaged in the provision of these cloud-based services (ie the consumer actually transferred to the supplier's own information for its processing)")</f>
        <v>The threat is the possibility of a violation (accidentally or intentionally) security of information consumers of cloud services insiders provider of cloud services.
This threat stems from the fact that a significant part of the security functions transferred to the responsibility of the provider of cloud services, as well as the impossibility of acceptance by the consumer of cloud services protection against the actions of the provider of cloud services.
Implementation of this threat is possible provided that consumers of cloud services is not part of the organization engaged in the provision of these cloud-based services (ie the consumer actually transferred to the supplier's own information for its processing)</v>
      </c>
      <c r="M22" s="114" t="str">
        <f ca="1">IFERROR(__xludf.DUMMYFUNCTION("GOOGLETRANSLATE(F23, ""auto"", ""en"")"),"External intruder with a low potential")</f>
        <v>External intruder with a low potential</v>
      </c>
      <c r="N22" s="114" t="str">
        <f ca="1">IFERROR(__xludf.DUMMYFUNCTION("GOOGLETRANSLATE(H23, ""auto"", ""en"")"),"cloud system")</f>
        <v>cloud system</v>
      </c>
    </row>
    <row r="23" spans="1:14" ht="409.5">
      <c r="A23" s="168"/>
      <c r="B23" s="82" t="s">
        <v>72</v>
      </c>
      <c r="C23" s="82" t="s">
        <v>1349</v>
      </c>
      <c r="D23" s="82" t="s">
        <v>1359</v>
      </c>
      <c r="E23" s="101" t="s">
        <v>1405</v>
      </c>
      <c r="F23" s="99" t="s">
        <v>1403</v>
      </c>
      <c r="G23" s="93">
        <v>1</v>
      </c>
      <c r="H23" s="93">
        <v>2</v>
      </c>
      <c r="I23" s="168"/>
      <c r="J23" s="114">
        <v>22</v>
      </c>
      <c r="K23" s="114" t="str">
        <f ca="1">IFERROR(__xludf.DUMMYFUNCTION("GOOGLETRANSLATE(B24, ""auto"", ""en"")"),"The threat of excess allocation of RAM")</f>
        <v>The threat of excess allocation of RAM</v>
      </c>
      <c r="L23" s="114" t="str">
        <f ca="1">IFERROR(__xludf.DUMMYFUNCTION("GOOGLETRANSLATE(D24, ""auto"", ""en"")"),"The threat is the possibility of substantial resources of RAM to serve the malware requests and a corresponding decrease in the volume of RAM resources available in the system for allocation in response to legitimate users Program requests.
This threat i"&amp;"s caused by the presence of the weaknesses of the control mechanism for the allocation of memory to different programs.
Implementation of this threat can be subject to a finding of malicious software in the active system")</f>
        <v>The threat is the possibility of substantial resources of RAM to serve the malware requests and a corresponding decrease in the volume of RAM resources available in the system for allocation in response to legitimate users Program requests.
This threat is caused by the presence of the weaknesses of the control mechanism for the allocation of memory to different programs.
Implementation of this threat can be subject to a finding of malicious software in the active system</v>
      </c>
      <c r="M23" s="114" t="str">
        <f ca="1">IFERROR(__xludf.DUMMYFUNCTION("GOOGLETRANSLATE(F24, ""auto"", ""en"")"),"External intruder low potential insider with a low potential")</f>
        <v>External intruder low potential insider with a low potential</v>
      </c>
      <c r="N23" s="114" t="str">
        <f ca="1">IFERROR(__xludf.DUMMYFUNCTION("GOOGLETRANSLATE(H24, ""auto"", ""en"")"),"Hardware, system software, network software")</f>
        <v>Hardware, system software, network software</v>
      </c>
    </row>
    <row r="24" spans="1:14" ht="409.5">
      <c r="A24" s="168"/>
      <c r="B24" s="82" t="s">
        <v>1406</v>
      </c>
      <c r="C24" s="82" t="s">
        <v>1372</v>
      </c>
      <c r="D24" s="82" t="s">
        <v>1359</v>
      </c>
      <c r="E24" s="96" t="s">
        <v>1407</v>
      </c>
      <c r="F24" s="96" t="s">
        <v>1377</v>
      </c>
      <c r="G24" s="93">
        <v>3</v>
      </c>
      <c r="H24" s="93">
        <v>3</v>
      </c>
      <c r="I24" s="168"/>
      <c r="J24" s="114">
        <v>23</v>
      </c>
      <c r="K24" s="114" t="str">
        <f ca="1">IFERROR(__xludf.DUMMYFUNCTION("GOOGLETRANSLATE(B25, ""auto"", ""en"")"),"Threat of change components of information (automated) systems")</f>
        <v>Threat of change components of information (automated) systems</v>
      </c>
      <c r="L24" s="114" t="str">
        <f ca="1">IFERROR(__xludf.DUMMYFUNCTION("GOOGLETRANSLATE(D25, ""auto"", ""en"")"),"The threat is the possibility of obtaining the offender access to network files, bookmarks and so on implementation by changing the composition unauthorized software or hardware information system, that further allow to carry out this intruder (or another"&amp;" - external, to detect unauthorized access to the system channel) unauthorized actions in the system.
This threat is due to the weaknesses of controls over the integrity of the hardware configuration of the information system.
Implementation of this thr"&amp;"eat can be subject to the successful receipt of the infringer necessary powers in the system and the possibility of connection of additional peripheral equipment")</f>
        <v>The threat is the possibility of obtaining the offender access to network files, bookmarks and so on implementation by changing the composition unauthorized software or hardware information system, that further allow to carry out this intruder (or another - external, to detect unauthorized access to the system channel) unauthorized actions in the system.
This threat is due to the weaknesses of controls over the integrity of the hardware configuration of the information system.
Implementation of this threat can be subject to the successful receipt of the infringer necessary powers in the system and the possibility of connection of additional peripheral equipment</v>
      </c>
      <c r="M24" s="114" t="str">
        <f ca="1">IFERROR(__xludf.DUMMYFUNCTION("GOOGLETRANSLATE(F25, ""auto"", ""en"")"),"Insider with a low potential")</f>
        <v>Insider with a low potential</v>
      </c>
      <c r="N24" s="114" t="str">
        <f ca="1">IFERROR(__xludf.DUMMYFUNCTION("GOOGLETRANSLATE(H25, ""auto"", ""en"")"),"Information system, server, workstation, virtual machine, system software, application software, hardware,")</f>
        <v>Information system, server, workstation, virtual machine, system software, application software, hardware,</v>
      </c>
    </row>
    <row r="25" spans="1:14" ht="409.5">
      <c r="A25" s="168"/>
      <c r="B25" s="82" t="s">
        <v>1408</v>
      </c>
      <c r="C25" s="82" t="s">
        <v>1372</v>
      </c>
      <c r="D25" s="82" t="s">
        <v>1385</v>
      </c>
      <c r="E25" s="96" t="s">
        <v>1409</v>
      </c>
      <c r="F25" s="96" t="s">
        <v>1410</v>
      </c>
      <c r="G25" s="93">
        <v>3</v>
      </c>
      <c r="H25" s="93">
        <v>3</v>
      </c>
      <c r="I25" s="168"/>
      <c r="J25" s="114">
        <v>24</v>
      </c>
      <c r="K25" s="114" t="str">
        <f ca="1">IFERROR(__xludf.DUMMYFUNCTION("GOOGLETRANSLATE(B26, ""auto"", ""en"")"),"The threat of changing the mode of the computer hardware elements")</f>
        <v>The threat of changing the mode of the computer hardware elements</v>
      </c>
      <c r="L25" s="114" t="str">
        <f ca="1">IFERROR(__xludf.DUMMYFUNCTION("GOOGLETRANSLATE(D26, ""auto"", ""en"")"),"The threat is the possibility of changing offender modes of hardware elements by computer BIOS / UEFI unauthorized reconfiguration that allows you to:
by changing the frequency of the system bus data transmission mode of communication channels, etc. affe"&amp;"ct the overall performance of your computer or cause malfunctions;
due to the lowering of the input voltage, shutdown cooling system temporarily inoperable secure computer;
due to the reference invalid operation device parameters (threshold device off w"&amp;"hen overheated, input voltage, etc.) lead to a physical failure of individual computer hardware elements.
This threat is caused by weaknesses technologies restricting access to the BIOS / UEFI management.
Implementation of this threat can be provided th"&amp;"at the offender privileges to change the corresponding parameters BIOS / UEFI settings")</f>
        <v>The threat is the possibility of changing offender modes of hardware elements by computer BIOS / UEFI unauthorized reconfiguration that allows you to:
by changing the frequency of the system bus data transmission mode of communication channels, etc. affect the overall performance of your computer or cause malfunctions;
due to the lowering of the input voltage, shutdown cooling system temporarily inoperable secure computer;
due to the reference invalid operation device parameters (threshold device off when overheated, input voltage, etc.) lead to a physical failure of individual computer hardware elements.
This threat is caused by weaknesses technologies restricting access to the BIOS / UEFI management.
Implementation of this threat can be provided that the offender privileges to change the corresponding parameters BIOS / UEFI settings</v>
      </c>
      <c r="M25" s="114" t="str">
        <f ca="1">IFERROR(__xludf.DUMMYFUNCTION("GOOGLETRANSLATE(F26, ""auto"", ""en"")"),"Insider with high potential")</f>
        <v>Insider with high potential</v>
      </c>
      <c r="N25" s="114" t="str">
        <f ca="1">IFERROR(__xludf.DUMMYFUNCTION("GOOGLETRANSLATE(H26, ""auto"", ""en"")"),"Firmware and BIOS / UEFI hardware")</f>
        <v>Firmware and BIOS / UEFI hardware</v>
      </c>
    </row>
    <row r="26" spans="1:14" ht="345">
      <c r="A26" s="168"/>
      <c r="B26" s="82" t="s">
        <v>1357</v>
      </c>
      <c r="C26" s="82" t="s">
        <v>1372</v>
      </c>
      <c r="D26" s="82" t="s">
        <v>1385</v>
      </c>
      <c r="E26" s="94" t="s">
        <v>1411</v>
      </c>
      <c r="F26" s="99" t="s">
        <v>1412</v>
      </c>
      <c r="G26" s="93">
        <v>3</v>
      </c>
      <c r="H26" s="93">
        <v>3</v>
      </c>
      <c r="I26" s="168"/>
      <c r="J26" s="114">
        <v>25</v>
      </c>
      <c r="K26" s="114" t="str">
        <f ca="1">IFERROR(__xludf.DUMMYFUNCTION("GOOGLETRANSLATE(B27, ""auto"", ""en"")"),"The threat of systemic change and global variables")</f>
        <v>The threat of systemic change and global variables</v>
      </c>
      <c r="L26" s="114" t="str">
        <f ca="1">IFERROR(__xludf.DUMMYFUNCTION("GOOGLETRANSLATE(D27, ""auto"", ""en"")"),"The threat is the possibility of the offender mediated destructive effects on some software program or the entire system by changing the software used diskreditiruemymi unified system and global variables.
This threat is caused by weaknesses in access co"&amp;"ntrol mechanism for shared memory, and the vulnerabilities of software application modules that implement the external integrity of the control variables.
Implementation of this threat is possible under the conditions of the intruder successfully unautho"&amp;"rized access to the system and global variables and their lack of integrity checking values ​​from the application diskreditiruemogo")</f>
        <v>The threat is the possibility of the offender mediated destructive effects on some software program or the entire system by changing the software used diskreditiruemymi unified system and global variables.
This threat is caused by weaknesses in access control mechanism for shared memory, and the vulnerabilities of software application modules that implement the external integrity of the control variables.
Implementation of this threat is possible under the conditions of the intruder successfully unauthorized access to the system and global variables and their lack of integrity checking values ​​from the application diskreditiruemogo</v>
      </c>
      <c r="M26" s="114" t="str">
        <f ca="1">IFERROR(__xludf.DUMMYFUNCTION("GOOGLETRANSLATE(F27, ""auto"", ""en"")"),"The inner middle potential violator")</f>
        <v>The inner middle potential violator</v>
      </c>
      <c r="N26" s="114" t="str">
        <f ca="1">IFERROR(__xludf.DUMMYFUNCTION("GOOGLETRANSLATE(H27, ""auto"", ""en"")"),"System software, application software, networking software")</f>
        <v>System software, application software, networking software</v>
      </c>
    </row>
    <row r="27" spans="1:14" ht="405">
      <c r="A27" s="168"/>
      <c r="B27" s="82" t="s">
        <v>1408</v>
      </c>
      <c r="C27" s="82" t="s">
        <v>1372</v>
      </c>
      <c r="D27" s="82" t="s">
        <v>1354</v>
      </c>
      <c r="E27" s="94" t="s">
        <v>1413</v>
      </c>
      <c r="F27" s="99" t="s">
        <v>1414</v>
      </c>
      <c r="G27" s="93">
        <v>3</v>
      </c>
      <c r="H27" s="93">
        <v>3</v>
      </c>
      <c r="I27" s="168"/>
      <c r="J27" s="114">
        <v>26</v>
      </c>
      <c r="K27" s="114" t="str">
        <f ca="1">IFERROR(__xludf.DUMMYFUNCTION("GOOGLETRANSLATE(B28, ""auto"", ""en"")"),"The threat of distortion of XML-schema")</f>
        <v>The threat of distortion of XML-schema</v>
      </c>
      <c r="L27" s="114" t="str">
        <f ca="1">IFERROR(__xludf.DUMMYFUNCTION("GOOGLETRANSLATE(D28, ""auto"", ""en"")"),"The threat lies in the possibility of changing the violator information processing algorithm applications functioning on the basis of XML-schema, until the application driving condition ""Denial of Service"", by changing the XML-schema exchanged between t"&amp;"he client and server.
This threat is caused by weakness of measures to ensure the integrity of transmitted when the client-server interaction data, as well as the weaknesses of the mechanism of interaction of open systems network.
Implementation of this"&amp;" threat is possible under the conditions of a successful intruder unauthorized access to the network traffic between the client and the server and there is no integrity checking XML-schema from diskreditiruemogo applications")</f>
        <v>The threat lies in the possibility of changing the violator information processing algorithm applications functioning on the basis of XML-schema, until the application driving condition "Denial of Service", by changing the XML-schema exchanged between the client and server.
This threat is caused by weakness of measures to ensure the integrity of transmitted when the client-server interaction data, as well as the weaknesses of the mechanism of interaction of open systems network.
Implementation of this threat is possible under the conditions of a successful intruder unauthorized access to the network traffic between the client and the server and there is no integrity checking XML-schema from diskreditiruemogo applications</v>
      </c>
      <c r="M27" s="114" t="str">
        <f ca="1">IFERROR(__xludf.DUMMYFUNCTION("GOOGLETRANSLATE(F28, ""auto"", ""en"")"),"External intruder with an average potential intruder inner middle potential")</f>
        <v>External intruder with an average potential intruder inner middle potential</v>
      </c>
      <c r="N27" s="114" t="str">
        <f ca="1">IFERROR(__xludf.DUMMYFUNCTION("GOOGLETRANSLATE(H28, ""auto"", ""en"")"),"Network node, network software, network traffic")</f>
        <v>Network node, network software, network traffic</v>
      </c>
    </row>
    <row r="28" spans="1:14" ht="375">
      <c r="A28" s="168"/>
      <c r="B28" s="87" t="s">
        <v>243</v>
      </c>
      <c r="C28" s="87" t="s">
        <v>1368</v>
      </c>
      <c r="D28" s="87" t="s">
        <v>1354</v>
      </c>
      <c r="E28" s="94" t="s">
        <v>1415</v>
      </c>
      <c r="F28" s="99" t="s">
        <v>1416</v>
      </c>
      <c r="G28" s="93">
        <v>3</v>
      </c>
      <c r="H28" s="93">
        <v>3</v>
      </c>
      <c r="I28" s="168"/>
      <c r="J28" s="114">
        <v>27</v>
      </c>
      <c r="K28" s="114" t="str">
        <f ca="1">IFERROR(__xludf.DUMMYFUNCTION("GOOGLETRANSLATE(B29, ""auto"", ""en"")"),"The threat of distortion on input and output peripherals information")</f>
        <v>The threat of distortion on input and output peripherals information</v>
      </c>
      <c r="L28" s="114" t="str">
        <f ca="1">IFERROR(__xludf.DUMMYFUNCTION("GOOGLETRANSLATE(D29, ""auto"", ""en"")"),"The threat lies in the possibility of disinformation user or automatic control systems by spoofing or tampering raw data received from sensors, keyboards or other input devices, as well as substitution or tampering information displayed on the printer ope"&amp;"rator display or other peripheral devices.
This threat is due to weaknesses measures antivirus protection and reliability of the control of input and output data, and errors made during the inspection of special hardware computing.
Implementation of thi"&amp;"s threat can be subject to availability of an information system in diskreditiruemoy malicious software (e.g., virtual device drivers) or hardware bookmarking")</f>
        <v>The threat lies in the possibility of disinformation user or automatic control systems by spoofing or tampering raw data received from sensors, keyboards or other input devices, as well as substitution or tampering information displayed on the printer operator display or other peripheral devices.
This threat is due to weaknesses measures antivirus protection and reliability of the control of input and output data, and errors made during the inspection of special hardware computing.
Implementation of this threat can be subject to availability of an information system in diskreditiruemoy malicious software (e.g., virtual device drivers) or hardware bookmarking</v>
      </c>
      <c r="M28" s="114" t="str">
        <f ca="1">IFERROR(__xludf.DUMMYFUNCTION("GOOGLETRANSLATE(F29, ""auto"", ""en"")"),"External attackers with a high potential insider with a low potential")</f>
        <v>External attackers with a high potential insider with a low potential</v>
      </c>
      <c r="N28" s="114" t="str">
        <f ca="1">IFERROR(__xludf.DUMMYFUNCTION("GOOGLETRANSLATE(H29, ""auto"", ""en"")"),"System software, application software, network software, hardware")</f>
        <v>System software, application software, network software, hardware</v>
      </c>
    </row>
    <row r="29" spans="1:14" ht="315">
      <c r="A29" s="168"/>
      <c r="B29" s="87" t="s">
        <v>1417</v>
      </c>
      <c r="C29" s="87" t="s">
        <v>1368</v>
      </c>
      <c r="D29" s="87" t="s">
        <v>1418</v>
      </c>
      <c r="E29" s="94" t="s">
        <v>1419</v>
      </c>
      <c r="F29" s="94"/>
      <c r="G29" s="93">
        <v>3</v>
      </c>
      <c r="H29" s="93">
        <v>3</v>
      </c>
      <c r="I29" s="168"/>
      <c r="J29" s="114">
        <v>28</v>
      </c>
      <c r="K29" s="114" t="str">
        <f ca="1">IFERROR(__xludf.DUMMYFUNCTION("GOOGLETRANSLATE(B30, ""auto"", ""en"")"),"The threat of the use of alternative routes of access to resources")</f>
        <v>The threat of the use of alternative routes of access to resources</v>
      </c>
      <c r="L29" s="114" t="str">
        <f ca="1">IFERROR(__xludf.DUMMYFUNCTION("GOOGLETRANSLATE(D30, ""auto"", ""en"")"),"The threat is the possibility of wrongdoing unauthorized access to protected information bypassing regular arrangements using non-standard interfaces (including access from a command line bypassing GUI).
This threat is caused by weakness of measures rest"&amp;"ricting access to protected information, weaknesses input filtering.
Implementation of this threat can be provided that the offender:
ability to input arbitrary data into the address bar;
information about the path to a protected resource;
possibility"&amp;" of changing the input interface input")</f>
        <v>The threat is the possibility of wrongdoing unauthorized access to protected information bypassing regular arrangements using non-standard interfaces (including access from a command line bypassing GUI).
This threat is caused by weakness of measures restricting access to protected information, weaknesses input filtering.
Implementation of this threat can be provided that the offender:
ability to input arbitrary data into the address bar;
information about the path to a protected resource;
possibility of changing the input interface input</v>
      </c>
      <c r="M29" s="114" t="str">
        <f ca="1">IFERROR(__xludf.DUMMYFUNCTION("GOOGLETRANSLATE(F30, ""auto"", ""en"")"),"External intruder low potential insider with a low potential")</f>
        <v>External intruder low potential insider with a low potential</v>
      </c>
      <c r="N29" s="114" t="str">
        <f ca="1">IFERROR(__xludf.DUMMYFUNCTION("GOOGLETRANSLATE(H30, ""auto"", ""en"")"),"Network node's file system, application software, system software")</f>
        <v>Network node's file system, application software, system software</v>
      </c>
    </row>
    <row r="30" spans="1:14" ht="345">
      <c r="A30" s="168"/>
      <c r="B30" s="87" t="s">
        <v>719</v>
      </c>
      <c r="C30" s="87" t="s">
        <v>1420</v>
      </c>
      <c r="D30" s="87" t="s">
        <v>1418</v>
      </c>
      <c r="E30" s="94" t="s">
        <v>1421</v>
      </c>
      <c r="F30" s="99" t="s">
        <v>1422</v>
      </c>
      <c r="G30" s="93">
        <v>2</v>
      </c>
      <c r="H30" s="93">
        <v>3</v>
      </c>
      <c r="I30" s="168"/>
      <c r="J30" s="114">
        <v>29</v>
      </c>
      <c r="K30" s="114" t="str">
        <f ca="1">IFERROR(__xludf.DUMMYFUNCTION("GOOGLETRANSLATE(B31, ""auto"", ""en"")"),"The threat of the use of the computing resources of a supercomputer ""parasitic"" processes")</f>
        <v>The threat of the use of the computing resources of a supercomputer "parasitic" processes</v>
      </c>
      <c r="L30" s="114" t="str">
        <f ca="1">IFERROR(__xludf.DUMMYFUNCTION("GOOGLETRANSLATE(D31, ""auto"", ""en"")"),"The threat is the possibility of a significant reduction in performance computing field supercomputer and the effectiveness of the current on it parallel computing because computing resources consumption supercomputer ""parasitic"" process ( ""child proce"&amp;"sses"" of the previous tasks or processes running malicious software).
This threat is caused by weakness of memory cleaning measures from the ""child process"" of completed tasks and processes running malicious software.
Implementation of this threat ca"&amp;"n be provided incorrect completion of tasks or processes in the presence of malicious memory supercomputer active")</f>
        <v>The threat is the possibility of a significant reduction in performance computing field supercomputer and the effectiveness of the current on it parallel computing because computing resources consumption supercomputer "parasitic" process ( "child processes" of the previous tasks or processes running malicious software).
This threat is caused by weakness of memory cleaning measures from the "child process" of completed tasks and processes running malicious software.
Implementation of this threat can be provided incorrect completion of tasks or processes in the presence of malicious memory supercomputer active</v>
      </c>
      <c r="M30" s="114" t="str">
        <f ca="1">IFERROR(__xludf.DUMMYFUNCTION("GOOGLETRANSLATE(F31, ""auto"", ""en"")"),"External intruder low potential insider with a low potential")</f>
        <v>External intruder low potential insider with a low potential</v>
      </c>
      <c r="N30" s="114" t="str">
        <f ca="1">IFERROR(__xludf.DUMMYFUNCTION("GOOGLETRANSLATE(H31, ""auto"", ""en"")"),"Compute nodes supercomputer")</f>
        <v>Compute nodes supercomputer</v>
      </c>
    </row>
    <row r="31" spans="1:14" ht="409.5">
      <c r="A31" s="168"/>
      <c r="B31" s="100" t="s">
        <v>1388</v>
      </c>
      <c r="C31" s="100" t="s">
        <v>1423</v>
      </c>
      <c r="D31" s="100" t="s">
        <v>1385</v>
      </c>
      <c r="E31" s="102" t="s">
        <v>1424</v>
      </c>
      <c r="F31" s="99" t="s">
        <v>1425</v>
      </c>
      <c r="G31" s="93">
        <v>2</v>
      </c>
      <c r="H31" s="93">
        <v>2</v>
      </c>
      <c r="I31" s="168"/>
      <c r="J31" s="114">
        <v>30</v>
      </c>
      <c r="K31" s="114" t="str">
        <f ca="1">IFERROR(__xludf.DUMMYFUNCTION("GOOGLETRANSLATE(B32, ""auto"", ""en"")"),"the use of information threat identification / authentication, the default")</f>
        <v>the use of information threat identification / authentication, the default</v>
      </c>
      <c r="L31" s="114" t="str">
        <f ca="1">IFERROR(__xludf.DUMMYFUNCTION("GOOGLETRANSLATE(D32, ""auto"", ""en"")"),"The threat is the possibility of passing the intruder authorization procedure based on information from open sources of identity and authentication information corresponding to the ""default"" account diskreditiruemogo object of protection.
This threat i"&amp;"s due to the fact that in the ""default"" set of software and software-hardware manufacturers provided accounts, intended for primary logon. Moreover, in many devices the identification and authentication information may be returned to the predetermined "&amp;"""default"" after a hard reset of the system parameters (Reset function).
Implementation of this threat is possible if one of the following conditions:
the presence of the intruder information about the manufacturer / model of the object of protection a"&amp;"nd the availability of open sources of information about the identification and authentication information corresponding to the account ""default"" for the protection of the object;
successful completion of the procedures to identify the infringer of the"&amp;" information in the software code analysis diskreditiruemogo object protection")</f>
        <v>The threat is the possibility of passing the intruder authorization procedure based on information from open sources of identity and authentication information corresponding to the "default" account diskreditiruemogo object of protection.
This threat is due to the fact that in the "default" set of software and software-hardware manufacturers provided accounts, intended for primary logon. Moreover, in many devices the identification and authentication information may be returned to the predetermined "default" after a hard reset of the system parameters (Reset function).
Implementation of this threat is possible if one of the following conditions:
the presence of the intruder information about the manufacturer / model of the object of protection and the availability of open sources of information about the identification and authentication information corresponding to the account "default" for the protection of the object;
successful completion of the procedures to identify the infringer of the information in the software code analysis diskreditiruemogo object protection</v>
      </c>
      <c r="M31" s="114" t="str">
        <f ca="1">IFERROR(__xludf.DUMMYFUNCTION("GOOGLETRANSLATE(F32, ""auto"", ""en"")"),"External intruder with an average potential insider with a low potential")</f>
        <v>External intruder with an average potential insider with a low potential</v>
      </c>
      <c r="N31" s="114" t="str">
        <f ca="1">IFERROR(__xludf.DUMMYFUNCTION("GOOGLETRANSLATE(H32, ""auto"", ""en"")"),"Information security tools, system software, network software, firmware, software and hardware with built-in security features")</f>
        <v>Information security tools, system software, network software, firmware, software and hardware with built-in security features</v>
      </c>
    </row>
    <row r="32" spans="1:14" ht="300">
      <c r="A32" s="168"/>
      <c r="B32" s="100" t="s">
        <v>1388</v>
      </c>
      <c r="C32" s="100" t="s">
        <v>1423</v>
      </c>
      <c r="D32" s="93" t="s">
        <v>1350</v>
      </c>
      <c r="E32" s="99" t="s">
        <v>1426</v>
      </c>
      <c r="F32" s="99" t="s">
        <v>1427</v>
      </c>
      <c r="G32" s="93">
        <v>2</v>
      </c>
      <c r="H32" s="93">
        <v>2</v>
      </c>
      <c r="I32" s="168"/>
      <c r="J32" s="114">
        <v>31</v>
      </c>
      <c r="K32" s="114" t="str">
        <f ca="1">IFERROR(__xludf.DUMMYFUNCTION("GOOGLETRANSLATE(B33, ""auto"", ""en"")"),"The threat of the use of the authorization mechanisms for elevation of privilege")</f>
        <v>The threat of the use of the authorization mechanisms for elevation of privilege</v>
      </c>
      <c r="L32" s="114" t="str">
        <f ca="1">IFERROR(__xludf.DUMMYFUNCTION("GOOGLETRANSLATE(D33, ""auto"", ""en"")"),"The threat is the possibility of obtaining the offender access to the data and functions designed to accounts with higher than the offender privileges due to errors in the parameters means setting access control. In this case the offender to increase thei"&amp;"r privileges does not carry a destructive impact on the system software, but only uses the existing errors.
This threat is caused by weakness of measures restricting access to programs and files.
Implementation of this threat is possible in the case of "&amp;"the offender to any privileges in the system")</f>
        <v>The threat is the possibility of obtaining the offender access to the data and functions designed to accounts with higher than the offender privileges due to errors in the parameters means setting access control. In this case the offender to increase their privileges does not carry a destructive impact on the system software, but only uses the existing errors.
This threat is caused by weakness of measures restricting access to programs and files.
Implementation of this threat is possible in the case of the offender to any privileges in the system</v>
      </c>
      <c r="M32" s="114" t="str">
        <f ca="1">IFERROR(__xludf.DUMMYFUNCTION("GOOGLETRANSLATE(F33, ""auto"", ""en"")"),"External intruder low potential insider with a low potential")</f>
        <v>External intruder low potential insider with a low potential</v>
      </c>
      <c r="N32" s="114" t="str">
        <f ca="1">IFERROR(__xludf.DUMMYFUNCTION("GOOGLETRANSLATE(H33, ""auto"", ""en"")"),"System software, application software, networking software")</f>
        <v>System software, application software, networking software</v>
      </c>
    </row>
    <row r="33" spans="1:14" ht="315">
      <c r="A33" s="168"/>
      <c r="B33" s="91" t="s">
        <v>72</v>
      </c>
      <c r="C33" s="91" t="s">
        <v>1428</v>
      </c>
      <c r="D33" s="91" t="s">
        <v>1385</v>
      </c>
      <c r="E33" s="94" t="s">
        <v>1429</v>
      </c>
      <c r="F33" s="94"/>
      <c r="G33" s="93">
        <v>2</v>
      </c>
      <c r="H33" s="93">
        <v>3</v>
      </c>
      <c r="I33" s="168"/>
      <c r="J33" s="114">
        <v>32</v>
      </c>
      <c r="K33" s="114" t="str">
        <f ca="1">IFERROR(__xludf.DUMMYFUNCTION("GOOGLETRANSLATE(B34, ""auto"", ""en"")"),"The threat of the use of forged signatures BIOS")</f>
        <v>The threat of the use of forged signatures BIOS</v>
      </c>
      <c r="L33" s="114" t="str">
        <f ca="1">IFERROR(__xludf.DUMMYFUNCTION("GOOGLETRANSLATE(D34, ""auto"", ""en"")"),"The threat is the possibility of installing a vulnerable version of the update BIOS / UEFI version or containing malware, but with a digital signature.
This threat is caused by weakness of measures to control the trustworthiness centers issuing digital s"&amp;"ignatures.
Implementation of this threat can be subject to the issuance of unreliable CA digital signature version of BIOS / UEFI updates containing the vulnerabilities or version that contains malicious software (ie, the implementation of such a center "&amp;"for fraud), as well as the substitution of the violator a trusted source of updates")</f>
        <v>The threat is the possibility of installing a vulnerable version of the update BIOS / UEFI version or containing malware, but with a digital signature.
This threat is caused by weakness of measures to control the trustworthiness centers issuing digital signatures.
Implementation of this threat can be subject to the issuance of unreliable CA digital signature version of BIOS / UEFI updates containing the vulnerabilities or version that contains malicious software (ie, the implementation of such a center for fraud), as well as the substitution of the violator a trusted source of updates</v>
      </c>
      <c r="M33" s="114" t="str">
        <f ca="1">IFERROR(__xludf.DUMMYFUNCTION("GOOGLETRANSLATE(F34, ""auto"", ""en"")"),"The outer middle potential violator")</f>
        <v>The outer middle potential violator</v>
      </c>
      <c r="N33" s="114" t="str">
        <f ca="1">IFERROR(__xludf.DUMMYFUNCTION("GOOGLETRANSLATE(H34, ""auto"", ""en"")"),"Firmware and BIOS / UEFI hardware")</f>
        <v>Firmware and BIOS / UEFI hardware</v>
      </c>
    </row>
    <row r="34" spans="1:14" ht="285">
      <c r="A34" s="168"/>
      <c r="B34" s="91" t="s">
        <v>72</v>
      </c>
      <c r="C34" s="91" t="s">
        <v>1428</v>
      </c>
      <c r="D34" s="91" t="s">
        <v>1385</v>
      </c>
      <c r="E34" s="94" t="s">
        <v>1430</v>
      </c>
      <c r="F34" s="99" t="s">
        <v>1431</v>
      </c>
      <c r="G34" s="93">
        <v>3</v>
      </c>
      <c r="H34" s="93">
        <v>1</v>
      </c>
      <c r="I34" s="168"/>
      <c r="J34" s="114">
        <v>33</v>
      </c>
      <c r="K34" s="114" t="str">
        <f ca="1">IFERROR(__xludf.DUMMYFUNCTION("GOOGLETRANSLATE(B35, ""auto"", ""en"")"),"Use threat weaknesses coding input")</f>
        <v>Use threat weaknesses coding input</v>
      </c>
      <c r="L34" s="114" t="str">
        <f ca="1">IFERROR(__xludf.DUMMYFUNCTION("GOOGLETRANSLATE(D35, ""auto"", ""en"")"),"The threat is the possibility of wrongdoing on the information impact destructive diskreditiruemuyu system by manipulating the values ​​of the input data and the form of their (alternative encodings incorrect file extension, etc.).
This threat is due to "&amp;"the weaknesses of the mechanism of input control.
Implementation of this threat is possible under the conditions:
diskreditiruemaya system accepts input data from the intruder;
intruder has the ability to control one or more parameters of the input dat"&amp;"a")</f>
        <v>The threat is the possibility of wrongdoing on the information impact destructive diskreditiruemuyu system by manipulating the values ​​of the input data and the form of their (alternative encodings incorrect file extension, etc.).
This threat is due to the weaknesses of the mechanism of input control.
Implementation of this threat is possible under the conditions:
diskreditiruemaya system accepts input data from the intruder;
intruder has the ability to control one or more parameters of the input data</v>
      </c>
      <c r="M34" s="114" t="str">
        <f ca="1">IFERROR(__xludf.DUMMYFUNCTION("GOOGLETRANSLATE(F35, ""auto"", ""en"")"),"External intruder with an average potential intruder inner middle potential")</f>
        <v>External intruder with an average potential intruder inner middle potential</v>
      </c>
      <c r="N34" s="114" t="str">
        <f ca="1">IFERROR(__xludf.DUMMYFUNCTION("GOOGLETRANSLATE(H35, ""auto"", ""en"")"),"System software, application software, network software, firmware, registry")</f>
        <v>System software, application software, network software, firmware, registry</v>
      </c>
    </row>
    <row r="35" spans="1:14" ht="330">
      <c r="A35" s="168"/>
      <c r="B35" s="91" t="s">
        <v>72</v>
      </c>
      <c r="C35" s="91" t="s">
        <v>1428</v>
      </c>
      <c r="D35" s="91" t="s">
        <v>1385</v>
      </c>
      <c r="E35" s="96" t="s">
        <v>1432</v>
      </c>
      <c r="F35" s="96" t="s">
        <v>1433</v>
      </c>
      <c r="G35" s="93">
        <v>3</v>
      </c>
      <c r="H35" s="93">
        <v>2</v>
      </c>
      <c r="I35" s="168"/>
      <c r="J35" s="114">
        <v>34</v>
      </c>
      <c r="K35" s="114" t="str">
        <f ca="1">IFERROR(__xludf.DUMMYFUNCTION("GOOGLETRANSLATE(B36, ""auto"", ""en"")"),"The threat of the use of the weaknesses of the protocols of network / local data exchange")</f>
        <v>The threat of the use of the weaknesses of the protocols of network / local data exchange</v>
      </c>
      <c r="L35" s="114" t="str">
        <f ca="1">IFERROR(__xludf.DUMMYFUNCTION("GOOGLETRANSLATE(D36, ""auto"", ""en"")"),"The threat is the possibility of the perpetrator of unauthorized access to protected information transmitted in the system due to the destructive impact on the protocols of network / local communication system by breaking the rules of these protocols use."&amp;"
This threat is caused by weakness of protocols themselves (their inherent algorithms), errors made in the implementation of the protocols, or vulnerabilities being introduced computer-aided design / development tools.
Implementation of this threat is p"&amp;"ossible in case of weaknesses in the protocols of network / local data exchange")</f>
        <v>The threat is the possibility of the perpetrator of unauthorized access to protected information transmitted in the system due to the destructive impact on the protocols of network / local communication system by breaking the rules of these protocols use.
This threat is caused by weakness of protocols themselves (their inherent algorithms), errors made in the implementation of the protocols, or vulnerabilities being introduced computer-aided design / development tools.
Implementation of this threat is possible in case of weaknesses in the protocols of network / local data exchange</v>
      </c>
      <c r="M35" s="114" t="str">
        <f ca="1">IFERROR(__xludf.DUMMYFUNCTION("GOOGLETRANSLATE(F36, ""auto"", ""en"")"),"External intruder low potential insider with a low potential")</f>
        <v>External intruder low potential insider with a low potential</v>
      </c>
      <c r="N35" s="114" t="str">
        <f ca="1">IFERROR(__xludf.DUMMYFUNCTION("GOOGLETRANSLATE(H36, ""auto"", ""en"")"),"System software, network software, network traffic")</f>
        <v>System software, network software, network traffic</v>
      </c>
    </row>
    <row r="36" spans="1:14" ht="255">
      <c r="A36" s="168"/>
      <c r="B36" s="91" t="s">
        <v>243</v>
      </c>
      <c r="C36" s="91" t="s">
        <v>1358</v>
      </c>
      <c r="D36" s="91" t="s">
        <v>1385</v>
      </c>
      <c r="E36" s="96" t="s">
        <v>1434</v>
      </c>
      <c r="F36" s="96" t="s">
        <v>1435</v>
      </c>
      <c r="G36" s="93">
        <v>2</v>
      </c>
      <c r="H36" s="93">
        <v>2</v>
      </c>
      <c r="I36" s="168"/>
      <c r="J36" s="114">
        <v>35</v>
      </c>
      <c r="K36" s="114" t="str">
        <f ca="1">IFERROR(__xludf.DUMMYFUNCTION("GOOGLETRANSLATE(B37, ""auto"", ""en"")"),"Threat to use weak cryptography algorithms BIOS")</f>
        <v>Threat to use weak cryptography algorithms BIOS</v>
      </c>
      <c r="L36" s="114" t="str">
        <f ca="1">IFERROR(__xludf.DUMMYFUNCTION("GOOGLETRANSLATE(D37, ""auto"", ""en"")"),"The threat lies in the complexity of testing the actual operating parameters and algorithms implemented in cryptographic BIOS / UEFI tools. In this case, the credibility of the cryptographic protection is limited confidence in the BIOS manufacturer.
This"&amp;" threat is due to the complexity of using its own cryptographic algorithms in BIOS / UEFI software.
The possibility of realization of the threat reduces the accuracy of the assessment of the actual level of security of the system")</f>
        <v>The threat lies in the complexity of testing the actual operating parameters and algorithms implemented in cryptographic BIOS / UEFI tools. In this case, the credibility of the cryptographic protection is limited confidence in the BIOS manufacturer.
This threat is due to the complexity of using its own cryptographic algorithms in BIOS / UEFI software.
The possibility of realization of the threat reduces the accuracy of the assessment of the actual level of security of the system</v>
      </c>
      <c r="M36" s="114" t="str">
        <f ca="1">IFERROR(__xludf.DUMMYFUNCTION("GOOGLETRANSLATE(F37, ""auto"", ""en"")"),"External intruder with a high potential")</f>
        <v>External intruder with a high potential</v>
      </c>
      <c r="N36" s="114" t="str">
        <f ca="1">IFERROR(__xludf.DUMMYFUNCTION("GOOGLETRANSLATE(H37, ""auto"", ""en"")"),"BIOS / UEFI firmware")</f>
        <v>BIOS / UEFI firmware</v>
      </c>
    </row>
    <row r="37" spans="1:14" ht="345">
      <c r="A37" s="168"/>
      <c r="B37" s="91" t="s">
        <v>243</v>
      </c>
      <c r="C37" s="91" t="s">
        <v>1358</v>
      </c>
      <c r="D37" s="91" t="s">
        <v>1385</v>
      </c>
      <c r="E37" s="94" t="s">
        <v>1436</v>
      </c>
      <c r="F37" s="99" t="s">
        <v>1437</v>
      </c>
      <c r="G37" s="93">
        <v>2</v>
      </c>
      <c r="H37" s="93">
        <v>1</v>
      </c>
      <c r="I37" s="168"/>
      <c r="J37" s="114">
        <v>36</v>
      </c>
      <c r="K37" s="114" t="str">
        <f ca="1">IFERROR(__xludf.DUMMYFUNCTION("GOOGLETRANSLATE(B38, ""auto"", ""en"")"),"The threat of the research program of the mechanisms")</f>
        <v>The threat of the research program of the mechanisms</v>
      </c>
      <c r="L37" s="114" t="str">
        <f ca="1">IFERROR(__xludf.DUMMYFUNCTION("GOOGLETRANSLATE(D38, ""auto"", ""en"")"),"The threat is the possibility of the offender reverse engineering of program code and further study of its structure, functionality and structure of the benefit determination algorithm of the program and find vulnerabilities in it.
This threat is due to "&amp;"the weaknesses of the mechanism of protection of program code from the study.
Implementation of this threat is possible in the following cases:
the presence of the offender access to the source files of the program;
the presence of the offender access "&amp;"to the installation program and the lack of mechanism to protect the program code of the research")</f>
        <v>The threat is the possibility of the offender reverse engineering of program code and further study of its structure, functionality and structure of the benefit determination algorithm of the program and find vulnerabilities in it.
This threat is due to the weaknesses of the mechanism of protection of program code from the study.
Implementation of this threat is possible in the following cases:
the presence of the offender access to the source files of the program;
the presence of the offender access to the installation program and the lack of mechanism to protect the program code of the research</v>
      </c>
      <c r="M37" s="114" t="str">
        <f ca="1">IFERROR(__xludf.DUMMYFUNCTION("GOOGLETRANSLATE(F38, ""auto"", ""en"")"),"External intruder with an average potential intruder inner middle potential")</f>
        <v>External intruder with an average potential intruder inner middle potential</v>
      </c>
      <c r="N37" s="114" t="str">
        <f ca="1">IFERROR(__xludf.DUMMYFUNCTION("GOOGLETRANSLATE(H38, ""auto"", ""en"")"),"System software, application software, network software, firmware")</f>
        <v>System software, application software, network software, firmware</v>
      </c>
    </row>
    <row r="38" spans="1:14" ht="300">
      <c r="A38" s="168"/>
      <c r="B38" s="91" t="s">
        <v>488</v>
      </c>
      <c r="C38" s="91" t="s">
        <v>1358</v>
      </c>
      <c r="D38" s="91" t="s">
        <v>1359</v>
      </c>
      <c r="E38" s="94" t="s">
        <v>1438</v>
      </c>
      <c r="F38" s="99" t="s">
        <v>1439</v>
      </c>
      <c r="G38" s="93">
        <v>3</v>
      </c>
      <c r="H38" s="93">
        <v>3</v>
      </c>
      <c r="I38" s="168"/>
      <c r="J38" s="114">
        <v>37</v>
      </c>
      <c r="K38" s="114" t="str">
        <f ca="1">IFERROR(__xludf.DUMMYFUNCTION("GOOGLETRANSLATE(B39, ""auto"", ""en"")"),"Threat research applications through bug reports")</f>
        <v>Threat research applications through bug reports</v>
      </c>
      <c r="L38" s="114" t="str">
        <f ca="1">IFERROR(__xludf.DUMMYFUNCTION("GOOGLETRANSLATE(D39, ""auto"", ""en"")"),"The threat is the possibility to study the algorithm of the offender diskreditiruemogo application and its intended structure by analyzing generated by this application error reports.
This threat is due to the placement of protected information (or infor"&amp;"mation generalization which may disclose protected information system) in the generated error reports.
Implementation of this threat is possible in case of access to the offender error reports, generated by the application, and the presence of the redund"&amp;"ancy data they contain")</f>
        <v>The threat is the possibility to study the algorithm of the offender diskreditiruemogo application and its intended structure by analyzing generated by this application error reports.
This threat is due to the placement of protected information (or information generalization which may disclose protected information system) in the generated error reports.
Implementation of this threat is possible in case of access to the offender error reports, generated by the application, and the presence of the redundancy data they contain</v>
      </c>
      <c r="M38" s="114" t="str">
        <f ca="1">IFERROR(__xludf.DUMMYFUNCTION("GOOGLETRANSLATE(F39, ""auto"", ""en"")"),"External intruder with an average potential intruder inner middle potential")</f>
        <v>External intruder with an average potential intruder inner middle potential</v>
      </c>
      <c r="N38" s="114" t="str">
        <f ca="1">IFERROR(__xludf.DUMMYFUNCTION("GOOGLETRANSLATE(H39, ""auto"", ""en"")"),"System software, application software, network software, firmware")</f>
        <v>System software, application software, network software, firmware</v>
      </c>
    </row>
    <row r="39" spans="1:14" ht="409.5">
      <c r="A39" s="168"/>
      <c r="B39" s="91" t="s">
        <v>1408</v>
      </c>
      <c r="C39" s="91" t="s">
        <v>1358</v>
      </c>
      <c r="D39" s="91" t="s">
        <v>1385</v>
      </c>
      <c r="E39" s="94" t="s">
        <v>1440</v>
      </c>
      <c r="F39" s="99" t="s">
        <v>1441</v>
      </c>
      <c r="G39" s="93">
        <v>3</v>
      </c>
      <c r="H39" s="93">
        <v>3</v>
      </c>
      <c r="I39" s="168"/>
      <c r="J39" s="114">
        <v>38</v>
      </c>
      <c r="K39" s="114" t="str">
        <f ca="1">IFERROR(__xludf.DUMMYFUNCTION("GOOGLETRANSLATE(B40, ""auto"", ""en"")"),"The threat of the exhaustion of the computing resources of large data storage")</f>
        <v>The threat of the exhaustion of the computing resources of large data storage</v>
      </c>
      <c r="L39" s="114" t="str">
        <f ca="1">IFERROR(__xludf.DUMMYFUNCTION("GOOGLETRANSLATE(D40, ""auto"", ""en"")"),"The threat is the possibility of occurrence of a temporary status such as ""denial of service"" from the storage of large data.
This is due to the constant threat of difficult to control the filling of additional disk space at the expense of data is cont"&amp;"inuously coming from different information sources, and the weakness of access technologies and storage of information in large data repositories.
Implementation of this threat is possible while the instantaneous (current) exceeding the data rate over th"&amp;"e rate of their conservation (because of insufficient capacity of the communication channel or the rate of release of free space and store it incoming data) or provided temporary lack of space in the store (because incorrect storage management or as a res"&amp;"ult of the violator destructive effects on the software control mechanism for filling the storage by changing the parameters of operation or logic)")</f>
        <v>The threat is the possibility of occurrence of a temporary status such as "denial of service" from the storage of large data.
This is due to the constant threat of difficult to control the filling of additional disk space at the expense of data is continuously coming from different information sources, and the weakness of access technologies and storage of information in large data repositories.
Implementation of this threat is possible while the instantaneous (current) exceeding the data rate over the rate of their conservation (because of insufficient capacity of the communication channel or the rate of release of free space and store it incoming data) or provided temporary lack of space in the store (because incorrect storage management or as a result of the violator destructive effects on the software control mechanism for filling the storage by changing the parameters of operation or logic)</v>
      </c>
      <c r="M39" s="114" t="str">
        <f ca="1">IFERROR(__xludf.DUMMYFUNCTION("GOOGLETRANSLATE(F40, ""auto"", ""en"")"),"Insider with a low potential")</f>
        <v>Insider with a low potential</v>
      </c>
      <c r="N39" s="114" t="str">
        <f ca="1">IFERROR(__xludf.DUMMYFUNCTION("GOOGLETRANSLATE(H40, ""auto"", ""en"")"),"Information system")</f>
        <v>Information system</v>
      </c>
    </row>
    <row r="40" spans="1:14" ht="225">
      <c r="A40" s="168"/>
      <c r="B40" s="91" t="s">
        <v>1357</v>
      </c>
      <c r="C40" s="91" t="s">
        <v>1358</v>
      </c>
      <c r="D40" s="91" t="s">
        <v>1359</v>
      </c>
      <c r="E40" s="94" t="s">
        <v>1442</v>
      </c>
      <c r="F40" s="99" t="s">
        <v>1443</v>
      </c>
      <c r="G40" s="93">
        <v>2</v>
      </c>
      <c r="H40" s="93">
        <v>3</v>
      </c>
      <c r="I40" s="168"/>
      <c r="J40" s="114">
        <v>39</v>
      </c>
      <c r="K40" s="114" t="str">
        <f ca="1">IFERROR(__xludf.DUMMYFUNCTION("GOOGLETRANSLATE(B41, ""auto"", ""en"")"),"The threat of depletion of keys necessary to update the BIOS")</f>
        <v>The threat of depletion of keys necessary to update the BIOS</v>
      </c>
      <c r="L40" s="114" t="str">
        <f ca="1">IFERROR(__xludf.DUMMYFUNCTION("GOOGLETRANSLATE(D41, ""auto"", ""en"")"),"The threat is the possibility of violation of (the impossibility of) procedures BIOS / UEFI updates with the exhaustion of the stock necessary for carrying out its keys.
This threat is caused by a limited set of keys required for BIOS / UEFI update.
Imp"&amp;"lementation of this threat is possible by exploiting vulnerabilities means updates the set of keys, or through the use of offender key recovery software")</f>
        <v>The threat is the possibility of violation of (the impossibility of) procedures BIOS / UEFI updates with the exhaustion of the stock necessary for carrying out its keys.
This threat is caused by a limited set of keys required for BIOS / UEFI update.
Implementation of this threat is possible by exploiting vulnerabilities means updates the set of keys, or through the use of offender key recovery software</v>
      </c>
      <c r="M40" s="114" t="str">
        <f ca="1">IFERROR(__xludf.DUMMYFUNCTION("GOOGLETRANSLATE(F41, ""auto"", ""en"")"),"The outer middle potential violator")</f>
        <v>The outer middle potential violator</v>
      </c>
      <c r="N40" s="114" t="str">
        <f ca="1">IFERROR(__xludf.DUMMYFUNCTION("GOOGLETRANSLATE(H41, ""auto"", ""en"")"),"BIOS / UEFI firmware")</f>
        <v>BIOS / UEFI firmware</v>
      </c>
    </row>
    <row r="41" spans="1:14" ht="390">
      <c r="A41" s="168"/>
      <c r="B41" s="91" t="s">
        <v>1357</v>
      </c>
      <c r="C41" s="91" t="s">
        <v>1358</v>
      </c>
      <c r="D41" s="91" t="s">
        <v>1385</v>
      </c>
      <c r="E41" s="94" t="s">
        <v>1444</v>
      </c>
      <c r="F41" s="99" t="s">
        <v>1445</v>
      </c>
      <c r="G41" s="93">
        <v>2</v>
      </c>
      <c r="H41" s="93">
        <v>2</v>
      </c>
      <c r="I41" s="168"/>
      <c r="J41" s="114">
        <v>40</v>
      </c>
      <c r="K41" s="114" t="str">
        <f ca="1">IFERROR(__xludf.DUMMYFUNCTION("GOOGLETRANSLATE(B42, ""auto"", ""en"")"),"The threat of conflict of jurisdiction in different countries")</f>
        <v>The threat of conflict of jurisdiction in different countries</v>
      </c>
      <c r="L41" s="114" t="str">
        <f ca="1">IFERROR(__xludf.DUMMYFUNCTION("GOOGLETRANSLATE(D42, ""auto"", ""en"")"),"The threat is the possibility of failure in the cross-border transfer of the protected information in the provision of cloud services in accordance with the local laws of the countries whose residents are involved in the delivery of cloud services.
This "&amp;"threat stems from the fact that, depending on the features of the legislation in different countries, the residents of which are involved in the delivery of cloud services, while ensuring information security can be used legal measures in different jurisd"&amp;"ictions.
Implementation of this threat is possible, provided that the information security in the course of providing cloud services imposed legal measures in different jurisdictions, conflicting in several issues")</f>
        <v>The threat is the possibility of failure in the cross-border transfer of the protected information in the provision of cloud services in accordance with the local laws of the countries whose residents are involved in the delivery of cloud services.
This threat stems from the fact that, depending on the features of the legislation in different countries, the residents of which are involved in the delivery of cloud services, while ensuring information security can be used legal measures in different jurisdictions.
Implementation of this threat is possible, provided that the information security in the course of providing cloud services imposed legal measures in different jurisdictions, conflicting in several issues</v>
      </c>
      <c r="M41" s="114" t="str">
        <f ca="1">IFERROR(__xludf.DUMMYFUNCTION("GOOGLETRANSLATE(F42, ""auto"", ""en"")"),"External intruder with a low potential")</f>
        <v>External intruder with a low potential</v>
      </c>
      <c r="N41" s="114" t="str">
        <f ca="1">IFERROR(__xludf.DUMMYFUNCTION("GOOGLETRANSLATE(H42, ""auto"", ""en"")"),"cloud system")</f>
        <v>cloud system</v>
      </c>
    </row>
    <row r="42" spans="1:14" ht="270">
      <c r="A42" s="168"/>
      <c r="B42" s="100" t="s">
        <v>1388</v>
      </c>
      <c r="C42" s="93" t="s">
        <v>1375</v>
      </c>
      <c r="D42" s="87" t="s">
        <v>1446</v>
      </c>
      <c r="E42" s="94" t="s">
        <v>1130</v>
      </c>
      <c r="F42" s="94" t="s">
        <v>1130</v>
      </c>
      <c r="G42" s="93">
        <v>3</v>
      </c>
      <c r="H42" s="93">
        <v>3</v>
      </c>
      <c r="I42" s="168"/>
      <c r="J42" s="114">
        <v>41</v>
      </c>
      <c r="K42" s="114" t="str">
        <f ca="1">IFERROR(__xludf.DUMMYFUNCTION("GOOGLETRANSLATE(B43, ""auto"", ""en"")"),"The threat of cross-site scripting")</f>
        <v>The threat of cross-site scripting</v>
      </c>
      <c r="L42" s="114" t="str">
        <f ca="1">IFERROR(__xludf.DUMMYFUNCTION("GOOGLETRANSLATE(D43, ""auto"", ""en"")"),"The threat is the possibility of introducing the offender sections of malicious code to the site diskreditiruemoy system so that it will be executed on the workstation user is viewing this site.
This threat is caused by security weaknesses verification m"&amp;"echanism in the processing of requests and data from the Web site.
Implementation of the threat is possible in case the client software supports the execution of scripts, and the offender is able to send queries and data diskreditiruemuyu system")</f>
        <v>The threat is the possibility of introducing the offender sections of malicious code to the site diskreditiruemoy system so that it will be executed on the workstation user is viewing this site.
This threat is caused by security weaknesses verification mechanism in the processing of requests and data from the Web site.
Implementation of the threat is possible in case the client software supports the execution of scripts, and the offender is able to send queries and data diskreditiruemuyu system</v>
      </c>
      <c r="M42" s="114" t="str">
        <f ca="1">IFERROR(__xludf.DUMMYFUNCTION("GOOGLETRANSLATE(F43, ""auto"", ""en"")"),"External intruder with a low potential")</f>
        <v>External intruder with a low potential</v>
      </c>
      <c r="N42" s="114" t="str">
        <f ca="1">IFERROR(__xludf.DUMMYFUNCTION("GOOGLETRANSLATE(H43, ""auto"", ""en"")"),"Network node, network software")</f>
        <v>Network node, network software</v>
      </c>
    </row>
    <row r="43" spans="1:14" ht="285">
      <c r="A43" s="168"/>
      <c r="B43" s="93" t="s">
        <v>1406</v>
      </c>
      <c r="C43" s="93" t="s">
        <v>1375</v>
      </c>
      <c r="D43" s="91" t="s">
        <v>1385</v>
      </c>
      <c r="E43" s="103" t="s">
        <v>1447</v>
      </c>
      <c r="F43" s="103" t="s">
        <v>1448</v>
      </c>
      <c r="G43" s="93">
        <v>2</v>
      </c>
      <c r="H43" s="93">
        <v>1</v>
      </c>
      <c r="I43" s="168"/>
      <c r="J43" s="114">
        <v>42</v>
      </c>
      <c r="K43" s="114" t="str">
        <f ca="1">IFERROR(__xludf.DUMMYFUNCTION("GOOGLETRANSLATE(B44, ""auto"", ""en"")"),"The threat of cross-site request forgery")</f>
        <v>The threat of cross-site request forgery</v>
      </c>
      <c r="L43" s="114" t="str">
        <f ca="1">IFERROR(__xludf.DUMMYFUNCTION("GOOGLETRANSLATE(D44, ""auto"", ""en"")"),"The threat is the possibility of sending the offender diskreditiruemomu user references containing malicious web code resource, the transition to which will be automatically made illegal malicious actions on behalf of the user discredited.
This threat is"&amp;" caused by vulnerabilities browsers that allow you to perform actions without confirmation or authentication of the user diskreditiruemogo.
Implementation of the threat is possible if the user saves diskreditiruemy authentication information using a web "&amp;"browser")</f>
        <v>The threat is the possibility of sending the offender diskreditiruemomu user references containing malicious web code resource, the transition to which will be automatically made illegal malicious actions on behalf of the user discredited.
This threat is caused by vulnerabilities browsers that allow you to perform actions without confirmation or authentication of the user diskreditiruemogo.
Implementation of the threat is possible if the user saves diskreditiruemy authentication information using a web browser</v>
      </c>
      <c r="M43" s="114" t="str">
        <f ca="1">IFERROR(__xludf.DUMMYFUNCTION("GOOGLETRANSLATE(F44, ""auto"", ""en"")"),"The outer middle potential violator")</f>
        <v>The outer middle potential violator</v>
      </c>
      <c r="N43" s="114" t="str">
        <f ca="1">IFERROR(__xludf.DUMMYFUNCTION("GOOGLETRANSLATE(H44, ""auto"", ""en"")"),"Network node, network software")</f>
        <v>Network node, network software</v>
      </c>
    </row>
    <row r="44" spans="1:14" ht="409.5">
      <c r="A44" s="168"/>
      <c r="B44" s="93" t="s">
        <v>1374</v>
      </c>
      <c r="C44" s="93" t="s">
        <v>1375</v>
      </c>
      <c r="D44" s="91" t="s">
        <v>1385</v>
      </c>
      <c r="E44" s="103" t="s">
        <v>1449</v>
      </c>
      <c r="F44" s="103" t="s">
        <v>1450</v>
      </c>
      <c r="G44" s="93">
        <v>2</v>
      </c>
      <c r="H44" s="93">
        <v>3</v>
      </c>
      <c r="I44" s="168"/>
      <c r="J44" s="114">
        <v>43</v>
      </c>
      <c r="K44" s="114" t="str">
        <f ca="1">IFERROR(__xludf.DUMMYFUNCTION("GOOGLETRANSLATE(B45, ""auto"", ""en"")"),"The threat of violation of the availability of the cloud server")</f>
        <v>The threat of violation of the availability of the cloud server</v>
      </c>
      <c r="L44" s="114" t="str">
        <f ca="1">IFERROR(__xludf.DUMMYFUNCTION("GOOGLETRANSLATE(D45, ""auto"", ""en"")"),"The threat lies in the possibility of termination of cloud-based services to all customers (or customer group) due to violation of their access to cloud infrastructure.
This threat stems from the fact that accessibility is not a specific requirement of i"&amp;"nformation security for cloud computing, and, in addition, cloud systems are implemented in accordance with the service-oriented approach.
Implementation of this threat is possible in the transition of one or more cloud servers in a state of ""denial of "&amp;"service"". Moreover, the ability to dynamically change the amount of cloud-based services provided to consumers could be used by the offender to implement the threat. At the same time successfully realized the threat with respect to only one cloud service"&amp;" will allow to disrupt the availability of the entire cloud system")</f>
        <v>The threat lies in the possibility of termination of cloud-based services to all customers (or customer group) due to violation of their access to cloud infrastructure.
This threat stems from the fact that accessibility is not a specific requirement of information security for cloud computing, and, in addition, cloud systems are implemented in accordance with the service-oriented approach.
Implementation of this threat is possible in the transition of one or more cloud servers in a state of "denial of service". Moreover, the ability to dynamically change the amount of cloud-based services provided to consumers could be used by the offender to implement the threat. At the same time successfully realized the threat with respect to only one cloud service will allow to disrupt the availability of the entire cloud system</v>
      </c>
      <c r="M44" s="114" t="str">
        <f ca="1">IFERROR(__xludf.DUMMYFUNCTION("GOOGLETRANSLATE(F45, ""auto"", ""en"")"),"External intruder low potential insider with a low potential")</f>
        <v>External intruder low potential insider with a low potential</v>
      </c>
      <c r="N44" s="114" t="str">
        <f ca="1">IFERROR(__xludf.DUMMYFUNCTION("GOOGLETRANSLATE(H45, ""auto"", ""en"")"),"Cloud computing, cloud server")</f>
        <v>Cloud computing, cloud server</v>
      </c>
    </row>
    <row r="45" spans="1:14" ht="405">
      <c r="A45" s="168"/>
      <c r="B45" s="100" t="s">
        <v>1388</v>
      </c>
      <c r="C45" s="104" t="s">
        <v>1375</v>
      </c>
      <c r="D45" s="91" t="s">
        <v>1385</v>
      </c>
      <c r="E45" s="94" t="s">
        <v>1451</v>
      </c>
      <c r="F45" s="94" t="s">
        <v>1352</v>
      </c>
      <c r="G45" s="93">
        <v>2</v>
      </c>
      <c r="H45" s="93">
        <v>2</v>
      </c>
      <c r="I45" s="168"/>
      <c r="J45" s="114">
        <v>44</v>
      </c>
      <c r="K45" s="114" t="str">
        <f ca="1">IFERROR(__xludf.DUMMYFUNCTION("GOOGLETRANSLATE(B46, ""auto"", ""en"")"),"The threat of violation of the isolation of user data inside a virtual machine")</f>
        <v>The threat of violation of the isolation of user data inside a virtual machine</v>
      </c>
      <c r="L45" s="114" t="str">
        <f ca="1">IFERROR(__xludf.DUMMYFUNCTION("GOOGLETRANSLATE(D46, ""auto"", ""en"")"),"The threat is the possibility of a security breach programs, user data, operating within a virtual machine with malicious software that functions outside of the virtual machine.
This threat is due to the presence of the vulnerabilities of software hyperv"&amp;"isor providing isolation address space used to store user data programs operating within the virtual machine, from unauthorized access by malicious software, virtual machine is functioning.
Implementation of this threat can be provided successfully overc"&amp;"ome the malware code boundaries of the virtual machine is not only due to the operation of the hypervisor vulnerabilities, but also by the implementation of such an impact with the lower (with respect to the hypervisor) system performance levels")</f>
        <v>The threat is the possibility of a security breach programs, user data, operating within a virtual machine with malicious software that functions outside of the virtual machine.
This threat is due to the presence of the vulnerabilities of software hypervisor providing isolation address space used to store user data programs operating within the virtual machine, from unauthorized access by malicious software, virtual machine is functioning.
Implementation of this threat can be provided successfully overcome the malware code boundaries of the virtual machine is not only due to the operation of the hypervisor vulnerabilities, but also by the implementation of such an impact with the lower (with respect to the hypervisor) system performance levels</v>
      </c>
      <c r="M45" s="114" t="str">
        <f ca="1">IFERROR(__xludf.DUMMYFUNCTION("GOOGLETRANSLATE(F46, ""auto"", ""en"")"),"External intruder with an average potential intruder inner middle potential")</f>
        <v>External intruder with an average potential intruder inner middle potential</v>
      </c>
      <c r="N45" s="114" t="str">
        <f ca="1">IFERROR(__xludf.DUMMYFUNCTION("GOOGLETRANSLATE(H46, ""auto"", ""en"")"),"Virtual machine hypervisor")</f>
        <v>Virtual machine hypervisor</v>
      </c>
    </row>
    <row r="46" spans="1:14" ht="409.5">
      <c r="A46" s="168"/>
      <c r="B46" s="93" t="s">
        <v>1374</v>
      </c>
      <c r="C46" s="91" t="s">
        <v>1358</v>
      </c>
      <c r="D46" s="91" t="s">
        <v>1385</v>
      </c>
      <c r="E46" s="94" t="s">
        <v>1452</v>
      </c>
      <c r="F46" s="94" t="s">
        <v>1352</v>
      </c>
      <c r="G46" s="93">
        <v>3</v>
      </c>
      <c r="H46" s="93">
        <v>3</v>
      </c>
      <c r="I46" s="168"/>
      <c r="J46" s="114">
        <v>45</v>
      </c>
      <c r="K46" s="114" t="str">
        <f ca="1">IFERROR(__xludf.DUMMYFUNCTION("GOOGLETRANSLATE(B47, ""auto"", ""en"")"),"violations of the threat of isolation BIOS runtime")</f>
        <v>violations of the threat of isolation BIOS runtime</v>
      </c>
      <c r="L46" s="114" t="str">
        <f ca="1">IFERROR(__xludf.DUMMYFUNCTION("GOOGLETRANSLATE(D47, ""auto"", ""en"")"),"The threat is the possibility of changing the parameters and (or) the software of the operating logic BIOS / UEFI software by the impact of the computer's operating system or by unauthorized access to the channel networking server service processor.
This"&amp;" threat is caused by weaknesses technologies restricting access to the BIOS / UEFI, its administrative functions and updates from the operating system or communication channels.
The implementation of this possible threat:
from the operating system - pro"&amp;"vided there BIOS / UEFI functional updates and (or) management software BIOS / UEFI software from the operating system;
the network side - on condition that the server diskreditiruemogo service processor sufficient privileges to control the entire system"&amp;", including the BIOS / UEFI modification system servers and server diskreditiruemogo")</f>
        <v>The threat is the possibility of changing the parameters and (or) the software of the operating logic BIOS / UEFI software by the impact of the computer's operating system or by unauthorized access to the channel networking server service processor.
This threat is caused by weaknesses technologies restricting access to the BIOS / UEFI, its administrative functions and updates from the operating system or communication channels.
The implementation of this possible threat:
from the operating system - provided there BIOS / UEFI functional updates and (or) management software BIOS / UEFI software from the operating system;
the network side - on condition that the server diskreditiruemogo service processor sufficient privileges to control the entire system, including the BIOS / UEFI modification system servers and server diskreditiruemogo</v>
      </c>
      <c r="M46" s="114" t="str">
        <f ca="1">IFERROR(__xludf.DUMMYFUNCTION("GOOGLETRANSLATE(F47, ""auto"", ""en"")"),"Insider with a low potential")</f>
        <v>Insider with a low potential</v>
      </c>
      <c r="N46" s="114" t="str">
        <f ca="1">IFERROR(__xludf.DUMMYFUNCTION("GOOGLETRANSLATE(H47, ""auto"", ""en"")"),"Firmware and BIOS / UEFI hardware")</f>
        <v>Firmware and BIOS / UEFI hardware</v>
      </c>
    </row>
    <row r="47" spans="1:14" ht="315">
      <c r="A47" s="168"/>
      <c r="B47" s="93" t="s">
        <v>747</v>
      </c>
      <c r="C47" s="93" t="s">
        <v>1453</v>
      </c>
      <c r="D47" s="93" t="s">
        <v>1454</v>
      </c>
      <c r="E47" s="103" t="s">
        <v>1455</v>
      </c>
      <c r="F47" s="105" t="s">
        <v>1370</v>
      </c>
      <c r="G47" s="93">
        <v>1</v>
      </c>
      <c r="H47" s="93">
        <v>1</v>
      </c>
      <c r="I47" s="168"/>
      <c r="J47" s="114">
        <v>46</v>
      </c>
      <c r="K47" s="114" t="str">
        <f ca="1">IFERROR(__xludf.DUMMYFUNCTION("GOOGLETRANSLATE(B48, ""auto"", ""en"")"),"The threat of violation of the virtual authentication information interaction subjects of procedures")</f>
        <v>The threat of violation of the virtual authentication information interaction subjects of procedures</v>
      </c>
      <c r="L47" s="114" t="str">
        <f ca="1">IFERROR(__xludf.DUMMYFUNCTION("GOOGLETRANSLATE(D48, ""auto"", ""en"")"),"The threat lies in the possibility of substitution of the subject virtual interaction information, as well as the possibility of occurrence of the failure condition such interaction.
This threat is due to the presence of a plurality of different protocol"&amp;"s mutual identification and authentication of virtual, virtualized entities and physical access, interact with each other during data transfer within a single virtual infrastructure level and between its layers.
Implementation of this threat is possible "&amp;"in case of an error during the authentication of the virtual information interaction subjects")</f>
        <v>The threat lies in the possibility of substitution of the subject virtual interaction information, as well as the possibility of occurrence of the failure condition such interaction.
This threat is due to the presence of a plurality of different protocols mutual identification and authentication of virtual, virtualized entities and physical access, interact with each other during data transfer within a single virtual infrastructure level and between its layers.
Implementation of this threat is possible in case of an error during the authentication of the virtual information interaction subjects</v>
      </c>
      <c r="M47" s="114" t="str">
        <f ca="1">IFERROR(__xludf.DUMMYFUNCTION("GOOGLETRANSLATE(F48, ""auto"", ""en"")"),"External intruder low potential insider with a low potential")</f>
        <v>External intruder low potential insider with a low potential</v>
      </c>
      <c r="N47" s="114" t="str">
        <f ca="1">IFERROR(__xludf.DUMMYFUNCTION("GOOGLETRANSLATE(H48, ""auto"", ""en"")"),"Network node, network software, metadata, user data usernames")</f>
        <v>Network node, network software, metadata, user data usernames</v>
      </c>
    </row>
    <row r="48" spans="1:14" ht="360">
      <c r="A48" s="168"/>
      <c r="B48" s="93" t="s">
        <v>747</v>
      </c>
      <c r="C48" s="93" t="s">
        <v>1453</v>
      </c>
      <c r="D48" s="93" t="s">
        <v>1454</v>
      </c>
      <c r="E48" s="103" t="s">
        <v>1456</v>
      </c>
      <c r="F48" s="105" t="s">
        <v>1370</v>
      </c>
      <c r="G48" s="93">
        <v>1</v>
      </c>
      <c r="H48" s="93">
        <v>1</v>
      </c>
      <c r="I48" s="168"/>
      <c r="J48" s="114">
        <v>47</v>
      </c>
      <c r="K48" s="114" t="str">
        <f ca="1">IFERROR(__xludf.DUMMYFUNCTION("GOOGLETRANSLATE(B49, ""auto"", ""en"")"),"The threat of failure of performance of grid system with atypical network load")</f>
        <v>The threat of failure of performance of grid system with atypical network load</v>
      </c>
      <c r="L48" s="114" t="str">
        <f ca="1">IFERROR(__xludf.DUMMYFUNCTION("GOOGLETRANSLATE(D49, ""auto"", ""en"")"),"The threat lies in the possibility of a significant reduction in productivity grid system until the temporary disruption of her health when a network load atypical (including induced distributed DoS-attack activity of other network users, and others.).
T"&amp;"his threat is caused by the weakness of grid computing technology - performance grid system has a strong dependence on the load of the communication channels, which is a consequence of maximum territorial distributed computing unit grid system to all type"&amp;"s of information systems.
Implementation of this threat can be subject to a lack of control of the state of individual nodes grid system by the manager of Grid system tasks")</f>
        <v>The threat lies in the possibility of a significant reduction in productivity grid system until the temporary disruption of her health when a network load atypical (including induced distributed DoS-attack activity of other network users, and others.).
This threat is caused by the weakness of grid computing technology - performance grid system has a strong dependence on the load of the communication channels, which is a consequence of maximum territorial distributed computing unit grid system to all types of information systems.
Implementation of this threat can be subject to a lack of control of the state of individual nodes grid system by the manager of Grid system tasks</v>
      </c>
      <c r="M48" s="114" t="str">
        <f ca="1">IFERROR(__xludf.DUMMYFUNCTION("GOOGLETRANSLATE(F49, ""auto"", ""en"")"),"External intruder with an average potential intruder inner middle potential")</f>
        <v>External intruder with an average potential intruder inner middle potential</v>
      </c>
      <c r="N48" s="114" t="str">
        <f ca="1">IFERROR(__xludf.DUMMYFUNCTION("GOOGLETRANSLATE(H49, ""auto"", ""en"")"),"Grid system, network traffic")</f>
        <v>Grid system, network traffic</v>
      </c>
    </row>
    <row r="49" spans="1:14" ht="409.5">
      <c r="A49" s="168"/>
      <c r="B49" s="93" t="s">
        <v>747</v>
      </c>
      <c r="C49" s="93" t="s">
        <v>1453</v>
      </c>
      <c r="D49" s="93" t="s">
        <v>1454</v>
      </c>
      <c r="E49" s="103" t="s">
        <v>1457</v>
      </c>
      <c r="F49" s="105" t="s">
        <v>1370</v>
      </c>
      <c r="G49" s="93">
        <v>2</v>
      </c>
      <c r="H49" s="93">
        <v>2</v>
      </c>
      <c r="I49" s="168"/>
      <c r="J49" s="114">
        <v>48</v>
      </c>
      <c r="K49" s="114" t="str">
        <f ca="1">IFERROR(__xludf.DUMMYFUNCTION("GOOGLETRANSLATE(B50, ""auto"", ""en"")"),"The threat of violation of information processing by unauthorized changes to the virtual machine images")</f>
        <v>The threat of violation of information processing by unauthorized changes to the virtual machine images</v>
      </c>
      <c r="L49" s="114" t="str">
        <f ca="1">IFERROR(__xludf.DUMMYFUNCTION("GOOGLETRANSLATE(D50, ""auto"", ""en"")"),"The threat is the possibility of a destructive impact on the software diskreditiruemuyu or indirect exposure to destructive software through it to other systems by means of unauthorized access to a virtual machine image.
This threat is caused by weakness"&amp;" of measures restricting access to the images of virtual machines implemented in software virtualization.
Implementation of this threat can cause:
to a violation of privacy protected information processed by using virtual machines created on the basis o"&amp;"f illegally altered images;
to the integrity of the programs that are installed on virtual machines;
to a breach of the availability of virtual machine resources;
to create a botnet through the introduction of malicious software in virtual machine imag"&amp;"es to be used as templates (reference images)")</f>
        <v>The threat is the possibility of a destructive impact on the software diskreditiruemuyu or indirect exposure to destructive software through it to other systems by means of unauthorized access to a virtual machine image.
This threat is caused by weakness of measures restricting access to the images of virtual machines implemented in software virtualization.
Implementation of this threat can cause:
to a violation of privacy protected information processed by using virtual machines created on the basis of illegally altered images;
to the integrity of the programs that are installed on virtual machines;
to a breach of the availability of virtual machine resources;
to create a botnet through the introduction of malicious software in virtual machine images to be used as templates (reference images)</v>
      </c>
      <c r="M49" s="114" t="str">
        <f ca="1">IFERROR(__xludf.DUMMYFUNCTION("GOOGLETRANSLATE(F50, ""auto"", ""en"")"),"External intruder with an average potential intruder inner middle potential")</f>
        <v>External intruder with an average potential intruder inner middle potential</v>
      </c>
      <c r="N49" s="114" t="str">
        <f ca="1">IFERROR(__xludf.DUMMYFUNCTION("GOOGLETRANSLATE(H50, ""auto"", ""en"")"),"The image of the virtual machine, the network node, network software, virtual machine")</f>
        <v>The image of the virtual machine, the network node, network software, virtual machine</v>
      </c>
    </row>
    <row r="50" spans="1:14" ht="330">
      <c r="A50" s="168"/>
      <c r="B50" s="93" t="s">
        <v>747</v>
      </c>
      <c r="C50" s="93" t="s">
        <v>1453</v>
      </c>
      <c r="D50" s="93" t="s">
        <v>1454</v>
      </c>
      <c r="E50" s="103" t="s">
        <v>1458</v>
      </c>
      <c r="F50" s="105" t="s">
        <v>1370</v>
      </c>
      <c r="G50" s="93">
        <v>2</v>
      </c>
      <c r="H50" s="93">
        <v>1</v>
      </c>
      <c r="I50" s="168"/>
      <c r="J50" s="114">
        <v>49</v>
      </c>
      <c r="K50" s="114" t="str">
        <f ca="1">IFERROR(__xludf.DUMMYFUNCTION("GOOGLETRANSLATE(B51, ""auto"", ""en"")"),"The threat of compromising the integrity of the data cache")</f>
        <v>The threat of compromising the integrity of the data cache</v>
      </c>
      <c r="L50" s="114" t="str">
        <f ca="1">IFERROR(__xludf.DUMMYFUNCTION("GOOGLETRANSLATE(D51, ""auto"", ""en"")"),"The threat is the possibility of placing the offender in the cache of the application (eg, browser) or services (eg, DNS or ARP) incorrect (potentially dangerous) data in such a way that prior to updating the cache diskreditiruemoe application (or service"&amp;") will read this data correct.
This threat is caused by weaknesses in the mechanism of monitoring the integrity of data in the cache.
Implementation of this threat can be made to the conditions of the intruder successfully unauthorized access to the dat"&amp;"a cache and the absence of an integrity check of data in the cache by diskreditiruemogo application (or service)")</f>
        <v>The threat is the possibility of placing the offender in the cache of the application (eg, browser) or services (eg, DNS or ARP) incorrect (potentially dangerous) data in such a way that prior to updating the cache diskreditiruemoe application (or service) will read this data correct.
This threat is caused by weaknesses in the mechanism of monitoring the integrity of data in the cache.
Implementation of this threat can be made to the conditions of the intruder successfully unauthorized access to the data cache and the absence of an integrity check of data in the cache by diskreditiruemogo application (or service)</v>
      </c>
      <c r="M50" s="114" t="str">
        <f ca="1">IFERROR(__xludf.DUMMYFUNCTION("GOOGLETRANSLATE(F51, ""auto"", ""en"")"),"External intruder low potential insider with a low potential")</f>
        <v>External intruder low potential insider with a low potential</v>
      </c>
      <c r="N50" s="114" t="str">
        <f ca="1">IFERROR(__xludf.DUMMYFUNCTION("GOOGLETRANSLATE(H51, ""auto"", ""en"")"),"Networking software")</f>
        <v>Networking software</v>
      </c>
    </row>
    <row r="51" spans="1:14" ht="405">
      <c r="A51" s="168"/>
      <c r="B51" s="93" t="s">
        <v>747</v>
      </c>
      <c r="C51" s="93" t="s">
        <v>1453</v>
      </c>
      <c r="D51" s="93" t="s">
        <v>1454</v>
      </c>
      <c r="E51" s="103" t="s">
        <v>1459</v>
      </c>
      <c r="F51" s="105" t="s">
        <v>1370</v>
      </c>
      <c r="G51" s="93">
        <v>2</v>
      </c>
      <c r="H51" s="93">
        <v>1</v>
      </c>
      <c r="I51" s="168"/>
      <c r="J51" s="114">
        <v>50</v>
      </c>
      <c r="K51" s="114" t="str">
        <f ca="1">IFERROR(__xludf.DUMMYFUNCTION("GOOGLETRANSLATE(B52, ""auto"", ""en"")"),"The threat of an incorrect definition of the format input data entering the storage of large data")</f>
        <v>The threat of an incorrect definition of the format input data entering the storage of large data</v>
      </c>
      <c r="L51" s="114" t="str">
        <f ca="1">IFERROR(__xludf.DUMMYFUNCTION("GOOGLETRANSLATE(D52, ""auto"", ""en"")"),"The threat is the possibility of distortion of information, stored in large data warehouse, or refuse to conduct conservation when transferring data to it in several formats.
This threat is caused by weakness of technology determine the format of the inp"&amp;"ut data based on the additional service information (header files and network packets, file extensions, etc.), and adaptive technology selection and application of multi-format data processing techniques in large data repositories.
Implementation of this"&amp;" threat can be provided that the additional service information about the database for any reason, does not correspond to their actual content, or in the storage of large data is not implemented data processing method receives format")</f>
        <v>The threat is the possibility of distortion of information, stored in large data warehouse, or refuse to conduct conservation when transferring data to it in several formats.
This threat is caused by weakness of technology determine the format of the input data based on the additional service information (header files and network packets, file extensions, etc.), and adaptive technology selection and application of multi-format data processing techniques in large data repositories.
Implementation of this threat can be provided that the additional service information about the database for any reason, does not correspond to their actual content, or in the storage of large data is not implemented data processing method receives format</v>
      </c>
      <c r="M51" s="114" t="str">
        <f ca="1">IFERROR(__xludf.DUMMYFUNCTION("GOOGLETRANSLATE(F52, ""auto"", ""en"")"),"Insider with a low potential")</f>
        <v>Insider with a low potential</v>
      </c>
      <c r="N51" s="114" t="str">
        <f ca="1">IFERROR(__xludf.DUMMYFUNCTION("GOOGLETRANSLATE(H52, ""auto"", ""en"")"),"Storage of large data, metadata,")</f>
        <v>Storage of large data, metadata,</v>
      </c>
    </row>
    <row r="52" spans="1:14" ht="270">
      <c r="A52" s="168"/>
      <c r="B52" s="93" t="s">
        <v>747</v>
      </c>
      <c r="C52" s="93" t="s">
        <v>1453</v>
      </c>
      <c r="D52" s="93" t="s">
        <v>1454</v>
      </c>
      <c r="E52" s="103" t="s">
        <v>1460</v>
      </c>
      <c r="F52" s="105" t="s">
        <v>1370</v>
      </c>
      <c r="G52" s="93">
        <v>1</v>
      </c>
      <c r="H52" s="93">
        <v>1</v>
      </c>
      <c r="I52" s="168"/>
      <c r="J52" s="114">
        <v>51</v>
      </c>
      <c r="K52" s="114" t="str">
        <f ca="1">IFERROR(__xludf.DUMMYFUNCTION("GOOGLETRANSLATE(B53, ""auto"", ""en"")"),"The threat of impossibility of restoration work session on the PC when outputting of the intermediate power states")</f>
        <v>The threat of impossibility of restoration work session on the PC when outputting of the intermediate power states</v>
      </c>
      <c r="L52" s="114" t="str">
        <f ca="1">IFERROR(__xludf.DUMMYFUNCTION("GOOGLETRANSLATE(D53, ""auto"", ""en"")"),"The threat is the possibility of losing unsaved data processed in the previous session on the computer, as well as the possibility of loss of time for the resumption of work on the computer.
This threat is due to errors in the implementation of computer "&amp;"software and hardware components associated with providing power.
Implementation of this threat is possible while the computer could not derive from the intermediate power state ( ""standby mode"", ""hibernation"", etc.).")</f>
        <v>The threat is the possibility of losing unsaved data processed in the previous session on the computer, as well as the possibility of loss of time for the resumption of work on the computer.
This threat is due to errors in the implementation of computer software and hardware components associated with providing power.
Implementation of this threat is possible while the computer could not derive from the intermediate power state ( "standby mode", "hibernation", etc.).</v>
      </c>
      <c r="M52" s="114" t="str">
        <f ca="1">IFERROR(__xludf.DUMMYFUNCTION("GOOGLETRANSLATE(F53, ""auto"", ""en"")"),"Insider with a low potential")</f>
        <v>Insider with a low potential</v>
      </c>
      <c r="N52" s="114" t="str">
        <f ca="1">IFERROR(__xludf.DUMMYFUNCTION("GOOGLETRANSLATE(H53, ""auto"", ""en"")"),"Workstation, data carrier, system software, metadata, file system objects, the registry")</f>
        <v>Workstation, data carrier, system software, metadata, file system objects, the registry</v>
      </c>
    </row>
    <row r="53" spans="1:14" ht="409.6" thickBot="1">
      <c r="A53" s="168"/>
      <c r="B53" s="93" t="s">
        <v>747</v>
      </c>
      <c r="C53" s="93" t="s">
        <v>1453</v>
      </c>
      <c r="D53" s="106" t="s">
        <v>1454</v>
      </c>
      <c r="E53" s="107" t="s">
        <v>1461</v>
      </c>
      <c r="F53" s="107" t="s">
        <v>1370</v>
      </c>
      <c r="G53" s="106">
        <v>1</v>
      </c>
      <c r="H53" s="106">
        <v>2</v>
      </c>
      <c r="I53" s="168"/>
      <c r="J53" s="114">
        <v>52</v>
      </c>
      <c r="K53" s="114" t="str">
        <f ca="1">IFERROR(__xludf.DUMMYFUNCTION("GOOGLETRANSLATE(B54, ""auto"", ""en"")"),"The threat of inability to migration of virtual machines because of the incompatibility of hardware and software")</f>
        <v>The threat of inability to migration of virtual machines because of the incompatibility of hardware and software</v>
      </c>
      <c r="L53" s="114" t="str">
        <f ca="1">IFERROR(__xludf.DUMMYFUNCTION("GOOGLETRANSLATE(D54, ""auto"", ""en"")"),"The threat is the possibility of the consumer of cloud services insurmountable difficulties to change the provider of cloud services due to technical difficulties in the implementation of procedures migration of virtual machine images from a single vendor"&amp;" cloud system cloud services in the other.
This threat stems from the fact that each provider of cloud-based services are used to implement its activities hardware and software from different manufacturers, some of which may use specific (for the produce"&amp;"r) instructions, protocols, methods, switching circuits and other features of the implementation of its functionality.
Implementation of this threat is possible in case of incompatibility between standard (API) data exchange APIs to implement procedures "&amp;"for migration of virtual machine images between different cloud providers in one or both directions.
Also, this threat stipulates restriction of the possibility of changing hardware manufacturers and software provider of cloud services, which could lead "&amp;"to a breach of the integrity and availability of information on the fault of the supplier of cloud services")</f>
        <v>The threat is the possibility of the consumer of cloud services insurmountable difficulties to change the provider of cloud services due to technical difficulties in the implementation of procedures migration of virtual machine images from a single vendor cloud system cloud services in the other.
This threat stems from the fact that each provider of cloud-based services are used to implement its activities hardware and software from different manufacturers, some of which may use specific (for the producer) instructions, protocols, methods, switching circuits and other features of the implementation of its functionality.
Implementation of this threat is possible in case of incompatibility between standard (API) data exchange APIs to implement procedures for migration of virtual machine images between different cloud providers in one or both directions.
Also, this threat stipulates restriction of the possibility of changing hardware manufacturers and software provider of cloud services, which could lead to a breach of the integrity and availability of information on the fault of the supplier of cloud services</v>
      </c>
      <c r="M53" s="114" t="str">
        <f ca="1">IFERROR(__xludf.DUMMYFUNCTION("GOOGLETRANSLATE(F54, ""auto"", ""en"")"),"External intruder with a low potential")</f>
        <v>External intruder with a low potential</v>
      </c>
      <c r="N53" s="114" t="str">
        <f ca="1">IFERROR(__xludf.DUMMYFUNCTION("GOOGLETRANSLATE(H54, ""auto"", ""en"")"),"Cloud infrastructure, virtual machine hardware, system software")</f>
        <v>Cloud infrastructure, virtual machine hardware, system software</v>
      </c>
    </row>
    <row r="54" spans="1:14" ht="225">
      <c r="I54" s="168"/>
      <c r="J54" s="114">
        <v>53</v>
      </c>
      <c r="K54" s="114" t="str">
        <f ca="1">IFERROR(__xludf.DUMMYFUNCTION("GOOGLETRANSLATE(B55, ""auto"", ""en"")"),"The threat of inability to control user rights BIOS")</f>
        <v>The threat of inability to control user rights BIOS</v>
      </c>
      <c r="L54" s="114" t="str">
        <f ca="1">IFERROR(__xludf.DUMMYFUNCTION("GOOGLETRANSLATE(D55, ""auto"", ""en"")"),"The threat is the possibility of BIOS / UEFI misuse of users declared functional-oriented administrators.
This threat is caused by weakness of access control technology (distribution rights) to the BIOS / UEFI functionality between users and administrato"&amp;"rs.
Implementation of this threat can be provided physical access to the terminal and, if necessary, to the computer system unit")</f>
        <v>The threat is the possibility of BIOS / UEFI misuse of users declared functional-oriented administrators.
This threat is caused by weakness of access control technology (distribution rights) to the BIOS / UEFI functionality between users and administrators.
Implementation of this threat can be provided physical access to the terminal and, if necessary, to the computer system unit</v>
      </c>
      <c r="M54" s="114" t="str">
        <f ca="1">IFERROR(__xludf.DUMMYFUNCTION("GOOGLETRANSLATE(F55, ""auto"", ""en"")"),"Insider with a low potential")</f>
        <v>Insider with a low potential</v>
      </c>
      <c r="N54" s="114" t="str">
        <f ca="1">IFERROR(__xludf.DUMMYFUNCTION("GOOGLETRANSLATE(H55, ""auto"", ""en"")"),"BIOS / UEFI firmware")</f>
        <v>BIOS / UEFI firmware</v>
      </c>
    </row>
    <row r="55" spans="1:14" ht="375">
      <c r="I55" s="168"/>
      <c r="J55" s="114">
        <v>54</v>
      </c>
      <c r="K55" s="114" t="str">
        <f ca="1">IFERROR(__xludf.DUMMYFUNCTION("GOOGLETRANSLATE(B56, ""auto"", ""en"")"),"unfair execution threat of suppliers of cloud services")</f>
        <v>unfair execution threat of suppliers of cloud services</v>
      </c>
      <c r="L55" s="114" t="str">
        <f ca="1">IFERROR(__xludf.DUMMYFUNCTION("GOOGLETRANSLATE(D56, ""auto"", ""en"")"),"The threat is the ability to expand or damage to the integrity of the cloud service provider protected information consumer cloud services, the default quality requirements (accessibility level) provided by cloud consumers access to their services and pro"&amp;"grams to immigrate into the cloud information systems.
This threat is due to the impossibility of direct control over the actions of the supplier of cloud services from their consumers.
Implementation of this threat is possible in cases of negligence on"&amp;" the part of the supplier's cloud services, failure of officials and other employees of these instructions, failure measures for the management and security of cloud services, etc.")</f>
        <v>The threat is the ability to expand or damage to the integrity of the cloud service provider protected information consumer cloud services, the default quality requirements (accessibility level) provided by cloud consumers access to their services and programs to immigrate into the cloud information systems.
This threat is due to the impossibility of direct control over the actions of the supplier of cloud services from their consumers.
Implementation of this threat is possible in cases of negligence on the part of the supplier's cloud services, failure of officials and other employees of these instructions, failure measures for the management and security of cloud services, etc.</v>
      </c>
      <c r="M55" s="114" t="str">
        <f ca="1">IFERROR(__xludf.DUMMYFUNCTION("GOOGLETRANSLATE(F56, ""auto"", ""en"")"),"External intruder with a low potential")</f>
        <v>External intruder with a low potential</v>
      </c>
      <c r="N55" s="114" t="str">
        <f ca="1">IFERROR(__xludf.DUMMYFUNCTION("GOOGLETRANSLATE(H56, ""auto"", ""en"")"),"Information system, server, storage media, metadata, file system objects")</f>
        <v>Information system, server, storage media, metadata, file system objects</v>
      </c>
    </row>
    <row r="56" spans="1:14" ht="375">
      <c r="I56" s="168"/>
      <c r="J56" s="114">
        <v>55</v>
      </c>
      <c r="K56" s="114" t="str">
        <f ca="1">IFERROR(__xludf.DUMMYFUNCTION("GOOGLETRANSLATE(B57, ""auto"", ""en"")"),"The threat of unprotected administration of cloud services")</f>
        <v>The threat of unprotected administration of cloud services</v>
      </c>
      <c r="L56" s="114" t="str">
        <f ca="1">IFERROR(__xludf.DUMMYFUNCTION("GOOGLETRANSLATE(D57, ""auto"", ""en"")"),"The threat is the possibility of indirect destructive effects of the program on a part or all of the information systems operating in the cloud, by getting control over the cloud infrastructure through a remote administration mechanisms.
This threat is c"&amp;"aused by lack of attention given to the input control of the user data cloud services (including authentication data), as well as the vulnerability of unsafe data exchange interface (the API), used by remote administration tools.
Implementation of this t"&amp;"hreat is possible in the case of the infringer authentication information (when entering in public places) legitimate users, or exploitation of vulnerabilities in the means of remote administration")</f>
        <v>The threat is the possibility of indirect destructive effects of the program on a part or all of the information systems operating in the cloud, by getting control over the cloud infrastructure through a remote administration mechanisms.
This threat is caused by lack of attention given to the input control of the user data cloud services (including authentication data), as well as the vulnerability of unsafe data exchange interface (the API), used by remote administration tools.
Implementation of this threat is possible in the case of the infringer authentication information (when entering in public places) legitimate users, or exploitation of vulnerabilities in the means of remote administration</v>
      </c>
      <c r="M56" s="114" t="str">
        <f ca="1">IFERROR(__xludf.DUMMYFUNCTION("GOOGLETRANSLATE(F57, ""auto"", ""en"")"),"External intruder low potential insider with a low potential")</f>
        <v>External intruder low potential insider with a low potential</v>
      </c>
      <c r="N56" s="114" t="str">
        <f ca="1">IFERROR(__xludf.DUMMYFUNCTION("GOOGLETRANSLATE(H57, ""auto"", ""en"")"),"Cloud system, workstation, network software")</f>
        <v>Cloud system, workstation, network software</v>
      </c>
    </row>
    <row r="57" spans="1:14" ht="345">
      <c r="I57" s="168"/>
      <c r="J57" s="114">
        <v>56</v>
      </c>
      <c r="K57" s="114" t="str">
        <f ca="1">IFERROR(__xludf.DUMMYFUNCTION("GOOGLETRANSLATE(B58, ""auto"", ""en"")"),"The threat of poor infrastructure migration to the cloud")</f>
        <v>The threat of poor infrastructure migration to the cloud</v>
      </c>
      <c r="L57" s="114" t="str">
        <f ca="1">IFERROR(__xludf.DUMMYFUNCTION("GOOGLETRANSLATE(D58, ""auto"", ""en"")"),"The threat is the possibility of reducing the real level of security of immigrating to the cloud information system due to errors made in migration in the transformation of its physical infrastructure to the cloud.
This threat stems from the fact that ev"&amp;"en the conversion of the information system infrastructure to the cloud often requires major changes in this infrastructure (eg in security policies and the organization of the network of data exchange).
Implementation of this threat is possible in case "&amp;"of incompatibility of software and network interfaces or inconsistencies in the implementation of security policies in the cloud migration information system")</f>
        <v>The threat is the possibility of reducing the real level of security of immigrating to the cloud information system due to errors made in migration in the transformation of its physical infrastructure to the cloud.
This threat stems from the fact that even the conversion of the information system infrastructure to the cloud often requires major changes in this infrastructure (eg in security policies and the organization of the network of data exchange).
Implementation of this threat is possible in case of incompatibility of software and network interfaces or inconsistencies in the implementation of security policies in the cloud migration information system</v>
      </c>
      <c r="M57" s="114" t="str">
        <f ca="1">IFERROR(__xludf.DUMMYFUNCTION("GOOGLETRANSLATE(F58, ""auto"", ""en"")"),"External intruder with a low potential")</f>
        <v>External intruder with a low potential</v>
      </c>
      <c r="N57" s="114" t="str">
        <f ca="1">IFERROR(__xludf.DUMMYFUNCTION("GOOGLETRANSLATE(H58, ""auto"", ""en"")"),"Information system, immigrated to the cloud, the cloud system")</f>
        <v>Information system, immigrated to the cloud, the cloud system</v>
      </c>
    </row>
    <row r="58" spans="1:14" ht="375">
      <c r="I58" s="168"/>
      <c r="J58" s="114">
        <v>57</v>
      </c>
      <c r="K58" s="114" t="str">
        <f ca="1">IFERROR(__xludf.DUMMYFUNCTION("GOOGLETRANSLATE(B59, ""auto"", ""en"")"),"The threat of uncontrolled copying of data within the storage of large data")</f>
        <v>The threat of uncontrolled copying of data within the storage of large data</v>
      </c>
      <c r="L58" s="114" t="str">
        <f ca="1">IFERROR(__xludf.DUMMYFUNCTION("GOOGLETRANSLATE(D59, ""auto"", ""en"")"),"The threat lies in the complexity of the control of all copies of the automatically generated information in large data warehouse for temporary data inconsistencies operations.
This threat caused by the implementation of the duplication (two- or multiple"&amp;") data on a variety of computing nodes that are part of large data repository, in order to increase access to this data for a large number of read / write requests speed. In this case, the operation is an inner function and ""opaque"" for end users and ad"&amp;"ministrators of large data storage.
Implementation of this threat can be provided insufficient measures to control the automatically generated data copies used in large data warehouse")</f>
        <v>The threat lies in the complexity of the control of all copies of the automatically generated information in large data warehouse for temporary data inconsistencies operations.
This threat caused by the implementation of the duplication (two- or multiple) data on a variety of computing nodes that are part of large data repository, in order to increase access to this data for a large number of read / write requests speed. In this case, the operation is an inner function and "opaque" for end users and administrators of large data storage.
Implementation of this threat can be provided insufficient measures to control the automatically generated data copies used in large data warehouse</v>
      </c>
      <c r="M58" s="114" t="str">
        <f ca="1">IFERROR(__xludf.DUMMYFUNCTION("GOOGLETRANSLATE(F59, ""auto"", ""en"")"),"Insider with a low potential")</f>
        <v>Insider with a low potential</v>
      </c>
      <c r="N58" s="114" t="str">
        <f ca="1">IFERROR(__xludf.DUMMYFUNCTION("GOOGLETRANSLATE(H59, ""auto"", ""en"")"),"Storage of large data, metadata, data is protected")</f>
        <v>Storage of large data, metadata, data is protected</v>
      </c>
    </row>
    <row r="59" spans="1:14" ht="270">
      <c r="I59" s="168"/>
      <c r="J59" s="114">
        <v>58</v>
      </c>
      <c r="K59" s="114" t="str">
        <f ca="1">IFERROR(__xludf.DUMMYFUNCTION("GOOGLETRANSLATE(B60, ""auto"", ""en"")"),"The threat of uncontrolled growth of virtual machines")</f>
        <v>The threat of uncontrolled growth of virtual machines</v>
      </c>
      <c r="L59" s="114" t="str">
        <f ca="1">IFERROR(__xludf.DUMMYFUNCTION("GOOGLETRANSLATE(D60, ""auto"", ""en"")"),"The threat is the possibility of limiting or violation availability virtual resources for consumers of cloud services by accidental or unauthorized deliberate creation violator multiple virtual machines.
This threat is due to a limited amount of disk spa"&amp;"ce allocated for virtual infrastructure, and weaknesses of the process control technology to create virtual machines.
Implementation of this threat is possible on condition that the infringer to create virtual machines in the cloud infrastructure")</f>
        <v>The threat is the possibility of limiting or violation availability virtual resources for consumers of cloud services by accidental or unauthorized deliberate creation violator multiple virtual machines.
This threat is due to a limited amount of disk space allocated for virtual infrastructure, and weaknesses of the process control technology to create virtual machines.
Implementation of this threat is possible on condition that the infringer to create virtual machines in the cloud infrastructure</v>
      </c>
      <c r="M59" s="114" t="str">
        <f ca="1">IFERROR(__xludf.DUMMYFUNCTION("GOOGLETRANSLATE(F60, ""auto"", ""en"")"),"External intruder low potential insider with a low potential")</f>
        <v>External intruder low potential insider with a low potential</v>
      </c>
      <c r="N59" s="114" t="str">
        <f ca="1">IFERROR(__xludf.DUMMYFUNCTION("GOOGLETRANSLATE(H60, ""auto"", ""en"")"),"Cloud system Management Console cloud infrastructure, cloud infrastructure")</f>
        <v>Cloud system Management Console cloud infrastructure, cloud infrastructure</v>
      </c>
    </row>
    <row r="60" spans="1:14" ht="315">
      <c r="I60" s="168"/>
      <c r="J60" s="114">
        <v>59</v>
      </c>
      <c r="K60" s="114" t="str">
        <f ca="1">IFERROR(__xludf.DUMMYFUNCTION("GOOGLETRANSLATE(B61, ""auto"", ""en"")"),"The threat of uncontrolled growth in the number of reserved computing resources")</f>
        <v>The threat of uncontrolled growth in the number of reserved computing resources</v>
      </c>
      <c r="L60" s="114" t="str">
        <f ca="1">IFERROR(__xludf.DUMMYFUNCTION("GOOGLETRANSLATE(D61, ""auto"", ""en"")"),"The threat is the possibility of failure of legal users to allocate computing resources after the offender undue redundancy of all available computing resources (computing resources and storage resources).
This threat is caused by software vulnerabilitie"&amp;"s level of virtual infrastructure management, realizing the function of the distribution of computing resources between users.
Implementation of this threat can be subject to the successful implementation of the intruder unauthorized access to software v"&amp;"irtual infrastructure management level, implements the functions of computing resources between users")</f>
        <v>The threat is the possibility of failure of legal users to allocate computing resources after the offender undue redundancy of all available computing resources (computing resources and storage resources).
This threat is caused by software vulnerabilities level of virtual infrastructure management, realizing the function of the distribution of computing resources between users.
Implementation of this threat can be subject to the successful implementation of the intruder unauthorized access to software virtual infrastructure management level, implements the functions of computing resources between users</v>
      </c>
      <c r="M60" s="114" t="str">
        <f ca="1">IFERROR(__xludf.DUMMYFUNCTION("GOOGLETRANSLATE(F61, ""auto"", ""en"")"),"External intruder low potential insider with a low potential")</f>
        <v>External intruder low potential insider with a low potential</v>
      </c>
      <c r="N60" s="114" t="str">
        <f ca="1">IFERROR(__xludf.DUMMYFUNCTION("GOOGLETRANSLATE(H61, ""auto"", ""en"")"),"Information system server")</f>
        <v>Information system server</v>
      </c>
    </row>
    <row r="61" spans="1:14" ht="285">
      <c r="I61" s="168"/>
      <c r="J61" s="114">
        <v>60</v>
      </c>
      <c r="K61" s="114" t="str">
        <f ca="1">IFERROR(__xludf.DUMMYFUNCTION("GOOGLETRANSLATE(B62, ""auto"", ""en"")"),"The threat of uncontrolled destruction of data storage for large data")</f>
        <v>The threat of uncontrolled destruction of data storage for large data</v>
      </c>
      <c r="L61" s="114" t="str">
        <f ca="1">IFERROR(__xludf.DUMMYFUNCTION("GOOGLETRANSLATE(D62, ""auto"", ""en"")"),"The threat is the possibility of deletion from the repository of some of the processed data, without the end user or the administrator is notified.
This threat is due to the weaknesses of the mechanism of automatic deletion of data that do not meet certa"&amp;"in requirements (limit ""lifetime"" in the store, the ultimate inconsistency with other data, create a copy in a different place, etc.).
Implementation of this threat can be subject to failure, realized in large data storage control measures for the auto"&amp;"matic deletion of data")</f>
        <v>The threat is the possibility of deletion from the repository of some of the processed data, without the end user or the administrator is notified.
This threat is due to the weaknesses of the mechanism of automatic deletion of data that do not meet certain requirements (limit "lifetime" in the store, the ultimate inconsistency with other data, create a copy in a different place, etc.).
Implementation of this threat can be subject to failure, realized in large data storage control measures for the automatic deletion of data</v>
      </c>
      <c r="M61" s="114" t="str">
        <f ca="1">IFERROR(__xludf.DUMMYFUNCTION("GOOGLETRANSLATE(F62, ""auto"", ""en"")"),"Insider with a low potential")</f>
        <v>Insider with a low potential</v>
      </c>
      <c r="N61" s="114" t="str">
        <f ca="1">IFERROR(__xludf.DUMMYFUNCTION("GOOGLETRANSLATE(H62, ""auto"", ""en"")"),"Storage of large data, metadata, data is protected")</f>
        <v>Storage of large data, metadata, data is protected</v>
      </c>
    </row>
    <row r="62" spans="1:14" ht="300">
      <c r="I62" s="168"/>
      <c r="J62" s="114">
        <v>61</v>
      </c>
      <c r="K62" s="114" t="str">
        <f ca="1">IFERROR(__xludf.DUMMYFUNCTION("GOOGLETRANSLATE(B63, ""auto"", ""en"")"),"The threat of incorrect reference data transaction structure")</f>
        <v>The threat of incorrect reference data transaction structure</v>
      </c>
      <c r="L62" s="114" t="str">
        <f ca="1">IFERROR(__xludf.DUMMYFUNCTION("GOOGLETRANSLATE(D63, ""auto"", ""en"")"),"The threat is the possibility of a perpetrator (the database client) fraud by interrupting the transaction or the transaction ID spoofing. In the first case there is an incomplete execution of transactions, and in the second - the user completes the trans"&amp;"action by force, changing its ID, and reported that the transaction was not carried out, thereby causing repeated carrying out the transaction.
This threat is caused by weakness of continuity mechanism to monitor transactions and the integrity of data tr"&amp;"ansmitted during the transaction between the database and its client")</f>
        <v>The threat is the possibility of a perpetrator (the database client) fraud by interrupting the transaction or the transaction ID spoofing. In the first case there is an incomplete execution of transactions, and in the second - the user completes the transaction by force, changing its ID, and reported that the transaction was not carried out, thereby causing repeated carrying out the transaction.
This threat is caused by weakness of continuity mechanism to monitor transactions and the integrity of data transmitted during the transaction between the database and its client</v>
      </c>
      <c r="M62" s="114" t="str">
        <f ca="1">IFERROR(__xludf.DUMMYFUNCTION("GOOGLETRANSLATE(F63, ""auto"", ""en"")"),"The inner middle potential violator")</f>
        <v>The inner middle potential violator</v>
      </c>
      <c r="N62" s="114" t="str">
        <f ca="1">IFERROR(__xludf.DUMMYFUNCTION("GOOGLETRANSLATE(H63, ""auto"", ""en"")"),"Network traffic, database, network software")</f>
        <v>Network traffic, database, network software</v>
      </c>
    </row>
    <row r="63" spans="1:14" ht="240">
      <c r="I63" s="168"/>
      <c r="J63" s="114">
        <v>62</v>
      </c>
      <c r="K63" s="114" t="str">
        <f ca="1">IFERROR(__xludf.DUMMYFUNCTION("GOOGLETRANSLATE(B64, ""auto"", ""en"")"),"The threat of improper use of a transparent proxy server due to browser plugins")</f>
        <v>The threat of improper use of a transparent proxy server due to browser plugins</v>
      </c>
      <c r="L63" s="114" t="str">
        <f ca="1">IFERROR(__xludf.DUMMYFUNCTION("GOOGLETRANSLATE(D64, ""auto"", ""en"")"),"The threat is the ability to redirect or copy data to be processed by the browser through a transparent proxy server, connected to a browser as a plugin.
This threat is caused by weaknesses in access control mechanism browser settings.
Realization is po"&amp;"ssible in the event of the successful implementation of the infringer enable usage mode transparent proxy in the browser settings, for example, as a result of the threat of cross-site scripting")</f>
        <v>The threat is the ability to redirect or copy data to be processed by the browser through a transparent proxy server, connected to a browser as a plugin.
This threat is caused by weaknesses in access control mechanism browser settings.
Realization is possible in the event of the successful implementation of the infringer enable usage mode transparent proxy in the browser settings, for example, as a result of the threat of cross-site scripting</v>
      </c>
      <c r="M63" s="114" t="str">
        <f ca="1">IFERROR(__xludf.DUMMYFUNCTION("GOOGLETRANSLATE(F64, ""auto"", ""en"")"),"External intruder with a low potential")</f>
        <v>External intruder with a low potential</v>
      </c>
      <c r="N63" s="114" t="str">
        <f ca="1">IFERROR(__xludf.DUMMYFUNCTION("GOOGLETRANSLATE(H64, ""auto"", ""en"")"),"Networking software")</f>
        <v>Networking software</v>
      </c>
    </row>
    <row r="64" spans="1:14" ht="240">
      <c r="I64" s="168"/>
      <c r="J64" s="114">
        <v>63</v>
      </c>
      <c r="K64" s="114" t="str">
        <f ca="1">IFERROR(__xludf.DUMMYFUNCTION("GOOGLETRANSLATE(B65, ""auto"", ""en"")"),"The threat of incorrect use of functional software and hardware")</f>
        <v>The threat of incorrect use of functional software and hardware</v>
      </c>
      <c r="L64" s="114" t="str">
        <f ca="1">IFERROR(__xludf.DUMMYFUNCTION("GOOGLETRANSLATE(D65, ""auto"", ""en"")"),"The threat is the possibility of using the declared capabilities of software and hardware specific (non-standard, incorrect) manner to the destructive impact on the information system and processed information it.
This threat associated with weaknesses p"&amp;"rocessing mechanism and commands entered by users.
Implementation of this threat is possible in the case of the offender access to hardware and software")</f>
        <v>The threat is the possibility of using the declared capabilities of software and hardware specific (non-standard, incorrect) manner to the destructive impact on the information system and processed information it.
This threat associated with weaknesses processing mechanism and commands entered by users.
Implementation of this threat is possible in the case of the offender access to hardware and software</v>
      </c>
      <c r="M64" s="114" t="str">
        <f ca="1">IFERROR(__xludf.DUMMYFUNCTION("GOOGLETRANSLATE(F65, ""auto"", ""en"")"),"External intruder with an average potential intruder inner middle potential")</f>
        <v>External intruder with an average potential intruder inner middle potential</v>
      </c>
      <c r="N64" s="114" t="str">
        <f ca="1">IFERROR(__xludf.DUMMYFUNCTION("GOOGLETRANSLATE(H65, ""auto"", ""en"")"),"System software, application software, network software, firmware, hardware,")</f>
        <v>System software, application software, network software, firmware, hardware,</v>
      </c>
    </row>
    <row r="65" spans="9:14" ht="315">
      <c r="I65" s="168"/>
      <c r="J65" s="114">
        <v>64</v>
      </c>
      <c r="K65" s="114" t="str">
        <f ca="1">IFERROR(__xludf.DUMMYFUNCTION("GOOGLETRANSLATE(B66, ""auto"", ""en"")"),"The threat of incorrect implementation of the licensing policies in the cloud")</f>
        <v>The threat of incorrect implementation of the licensing policies in the cloud</v>
      </c>
      <c r="L65" s="114" t="str">
        <f ca="1">IFERROR(__xludf.DUMMYFUNCTION("GOOGLETRANSLATE(D66, ""auto"", ""en"")"),"The threat is the possibility of failure of consumers to cloud services remote access to rented software (ie, there is a loss of availability SaaS cloud services) to the fault provider of cloud-based services.
This threat is caused by insufficient study "&amp;"of the licensing policy management problem using the software from different vendors in the cloud.
Implementation of this threat can be provided that the policy of licensing the use of software based on limiting the number of its units or the number of i"&amp;"ts users, and create a virtual machine with the licensed software used many times")</f>
        <v>The threat is the possibility of failure of consumers to cloud services remote access to rented software (ie, there is a loss of availability SaaS cloud services) to the fault provider of cloud-based services.
This threat is caused by insufficient study of the licensing policy management problem using the software from different vendors in the cloud.
Implementation of this threat can be provided that the policy of licensing the use of software based on limiting the number of its units or the number of its users, and create a virtual machine with the licensed software used many times</v>
      </c>
      <c r="M65" s="114" t="str">
        <f ca="1">IFERROR(__xludf.DUMMYFUNCTION("GOOGLETRANSLATE(F66, ""auto"", ""en"")"),"External intruder low potential insider with a low potential")</f>
        <v>External intruder low potential insider with a low potential</v>
      </c>
      <c r="N65" s="114" t="str">
        <f ca="1">IFERROR(__xludf.DUMMYFUNCTION("GOOGLETRANSLATE(H66, ""auto"", ""en"")"),"System software, application software, networking software")</f>
        <v>System software, application software, networking software</v>
      </c>
    </row>
    <row r="66" spans="9:14" ht="330">
      <c r="I66" s="168"/>
      <c r="J66" s="114">
        <v>65</v>
      </c>
      <c r="K66" s="114" t="str">
        <f ca="1">IFERROR(__xludf.DUMMYFUNCTION("GOOGLETRANSLATE(B67, ""auto"", ""en"")"),"The threat of uncertainty in the distribution of responsibility between the roles in the cloud")</f>
        <v>The threat of uncertainty in the distribution of responsibility between the roles in the cloud</v>
      </c>
      <c r="L66" s="114" t="str">
        <f ca="1">IFERROR(__xludf.DUMMYFUNCTION("GOOGLETRANSLATE(D67, ""auto"", ""en"")"),"The threat is the potential for significant differences between the supplier and the consumer cloud services on issues related to the definition of their rights and obligations in terms of information security.
This threat is caused by lack of sufficient"&amp;" set for the distribution of control measures of responsibility between the different roles of the data ownership, access control, support for cloud infrastructure, and so on. N.
The possibility of realization of the threat is increased when using cloud "&amp;"services provided by other suppliers (ie in the case of schemes providing cloud services with the participation of intermediaries)")</f>
        <v>The threat is the potential for significant differences between the supplier and the consumer cloud services on issues related to the definition of their rights and obligations in terms of information security.
This threat is caused by lack of sufficient set for the distribution of control measures of responsibility between the different roles of the data ownership, access control, support for cloud infrastructure, and so on. N.
The possibility of realization of the threat is increased when using cloud services provided by other suppliers (ie in the case of schemes providing cloud services with the participation of intermediaries)</v>
      </c>
      <c r="M66" s="114" t="str">
        <f ca="1">IFERROR(__xludf.DUMMYFUNCTION("GOOGLETRANSLATE(F67, ""auto"", ""en"")"),"External intruder low potential insider with a low potential")</f>
        <v>External intruder low potential insider with a low potential</v>
      </c>
      <c r="N66" s="114" t="str">
        <f ca="1">IFERROR(__xludf.DUMMYFUNCTION("GOOGLETRANSLATE(H67, ""auto"", ""en"")"),"System Software")</f>
        <v>System Software</v>
      </c>
    </row>
    <row r="67" spans="9:14" ht="315">
      <c r="I67" s="168"/>
      <c r="J67" s="114">
        <v>66</v>
      </c>
      <c r="K67" s="114" t="str">
        <f ca="1">IFERROR(__xludf.DUMMYFUNCTION("GOOGLETRANSLATE(B68, ""auto"", ""en"")"),"The threat of uncertainty responsibility for the security of the cloud")</f>
        <v>The threat of uncertainty responsibility for the security of the cloud</v>
      </c>
      <c r="L67" s="114" t="str">
        <f ca="1">IFERROR(__xludf.DUMMYFUNCTION("GOOGLETRANSLATE(D68, ""auto"", ""en"")"),"The threat is the possibility of failure of a number of measures to protect the information as a provider of cloud services, as well as their customer.
This threat is caused by the lack of a clear division of responsibilities regarding the security of in"&amp;"formation between the consumer and the supplier of cloud-based services.
Implementation of this threat can be subject to failure of the documentary division of responsibilities between the parties involved in the delivery of cloud services, as well as th"&amp;"e lack of documentary determining responsibility for failure to comply with safety requirements")</f>
        <v>The threat is the possibility of failure of a number of measures to protect the information as a provider of cloud services, as well as their customer.
This threat is caused by the lack of a clear division of responsibilities regarding the security of information between the consumer and the supplier of cloud-based services.
Implementation of this threat can be subject to failure of the documentary division of responsibilities between the parties involved in the delivery of cloud services, as well as the lack of documentary determining responsibility for failure to comply with safety requirements</v>
      </c>
      <c r="M67" s="114" t="str">
        <f ca="1">IFERROR(__xludf.DUMMYFUNCTION("GOOGLETRANSLATE(F68, ""auto"", ""en"")"),"External intruder with a low potential")</f>
        <v>External intruder with a low potential</v>
      </c>
      <c r="N67" s="114" t="str">
        <f ca="1">IFERROR(__xludf.DUMMYFUNCTION("GOOGLETRANSLATE(H68, ""auto"", ""en"")"),"cloud system")</f>
        <v>cloud system</v>
      </c>
    </row>
    <row r="68" spans="9:14" ht="375">
      <c r="I68" s="168"/>
      <c r="J68" s="114">
        <v>67</v>
      </c>
      <c r="K68" s="114" t="str">
        <f ca="1">IFERROR(__xludf.DUMMYFUNCTION("GOOGLETRANSLATE(B69, ""auto"", ""en"")"),"The threat of unauthorized familiarization with the protected information")</f>
        <v>The threat of unauthorized familiarization with the protected information</v>
      </c>
      <c r="L68" s="114" t="str">
        <f ca="1">IFERROR(__xludf.DUMMYFUNCTION("GOOGLETRANSLATE(D69, ""auto"", ""en"")"),"The threat is the possibility of accidental or deliberate misuse familiarize the user with information that is not intended for him, and to further its use in order to achieve their own or ask him by other persons (organizations) destructive purposes.
Th"&amp;"is threat is due to vulnerabilities access controls, errors in the configuration parameters of data resources or the lack thereof.
Implementation of this threat does not imply the installation and use of a special offender malicious software. At the same"&amp;" time familiarizing can be performed by viewing the information with other users of display screens, with the printed documents, by eavesdropping on conversations, and others.")</f>
        <v>The threat is the possibility of accidental or deliberate misuse familiarize the user with information that is not intended for him, and to further its use in order to achieve their own or ask him by other persons (organizations) destructive purposes.
This threat is due to vulnerabilities access controls, errors in the configuration parameters of data resources or the lack thereof.
Implementation of this threat does not imply the installation and use of a special offender malicious software. At the same time familiarizing can be performed by viewing the information with other users of display screens, with the printed documents, by eavesdropping on conversations, and others.</v>
      </c>
      <c r="M68" s="114" t="str">
        <f ca="1">IFERROR(__xludf.DUMMYFUNCTION("GOOGLETRANSLATE(F69, ""auto"", ""en"")"),"Insider with a low potential")</f>
        <v>Insider with a low potential</v>
      </c>
      <c r="N68" s="114" t="str">
        <f ca="1">IFERROR(__xludf.DUMMYFUNCTION("GOOGLETRANSLATE(H69, ""auto"", ""en"")"),"Hardware, media, the file system objects")</f>
        <v>Hardware, media, the file system objects</v>
      </c>
    </row>
    <row r="69" spans="9:14" ht="300">
      <c r="I69" s="168"/>
      <c r="J69" s="114">
        <v>68</v>
      </c>
      <c r="K69" s="114" t="str">
        <f ca="1">IFERROR(__xludf.DUMMYFUNCTION("GOOGLETRANSLATE(B70, ""auto"", ""en"")"),"The threat of unauthorized / improper use of the interface with the application")</f>
        <v>The threat of unauthorized / improper use of the interface with the application</v>
      </c>
      <c r="L69" s="114" t="str">
        <f ca="1">IFERROR(__xludf.DUMMYFUNCTION("GOOGLETRANSLATE(D70, ""auto"", ""en"")"),"The threat is the possibility of the perpetrator of a destructive impact on the API software to implement features not originally envisaged diskreditiruemym application (for example, the use of the debugging functions of the API composition).
This threat"&amp;" is caused by the presence of weaknesses in the mechanism of input validation and API commands used software.
Implementation of this threat is possible in terms of having the offender access to the API and lack diskreditiruemogo application input validat"&amp;"ion mechanism and teams")</f>
        <v>The threat is the possibility of the perpetrator of a destructive impact on the API software to implement features not originally envisaged diskreditiruemym application (for example, the use of the debugging functions of the API composition).
This threat is caused by the presence of weaknesses in the mechanism of input validation and API commands used software.
Implementation of this threat is possible in terms of having the offender access to the API and lack diskreditiruemogo application input validation mechanism and teams</v>
      </c>
      <c r="M69" s="114" t="str">
        <f ca="1">IFERROR(__xludf.DUMMYFUNCTION("GOOGLETRANSLATE(F70, ""auto"", ""en"")"),"External intruder with an average potential intruder inner middle potential")</f>
        <v>External intruder with an average potential intruder inner middle potential</v>
      </c>
      <c r="N69" s="114" t="str">
        <f ca="1">IFERROR(__xludf.DUMMYFUNCTION("GOOGLETRANSLATE(H70, ""auto"", ""en"")"),"System software, application software, network software, firmware, registry")</f>
        <v>System software, application software, network software, firmware, registry</v>
      </c>
    </row>
    <row r="70" spans="9:14" ht="285">
      <c r="I70" s="168"/>
      <c r="J70" s="114">
        <v>69</v>
      </c>
      <c r="K70" s="114" t="str">
        <f ca="1">IFERROR(__xludf.DUMMYFUNCTION("GOOGLETRANSLATE(B71, ""auto"", ""en"")"),"The threat of unlawful actions in the communication channels")</f>
        <v>The threat of unlawful actions in the communication channels</v>
      </c>
      <c r="L70" s="114" t="str">
        <f ca="1">IFERROR(__xludf.DUMMYFUNCTION("GOOGLETRANSLATE(D71, ""auto"", ""en"")"),"The threat lies in the possibility of making changes in the violator job network protocols by adding or removing data from the data stream in order to influence work diskreditiruemoy system or gain access to confidential information transmitted over the c"&amp;"ommunication channel.
This threat is caused by weakness of network protocols, is the lack of checking the integrity and authenticity of the data.
Implementation of this threat can be provided of the intruder unauthorized access to the network traffic")</f>
        <v>The threat lies in the possibility of making changes in the violator job network protocols by adding or removing data from the data stream in order to influence work diskreditiruemoy system or gain access to confidential information transmitted over the communication channel.
This threat is caused by weakness of network protocols, is the lack of checking the integrity and authenticity of the data.
Implementation of this threat can be provided of the intruder unauthorized access to the network traffic</v>
      </c>
      <c r="M70" s="114" t="str">
        <f ca="1">IFERROR(__xludf.DUMMYFUNCTION("GOOGLETRANSLATE(F71, ""auto"", ""en"")"),"External intruder with a low potential")</f>
        <v>External intruder with a low potential</v>
      </c>
      <c r="N70" s="114" t="str">
        <f ca="1">IFERROR(__xludf.DUMMYFUNCTION("GOOGLETRANSLATE(H71, ""auto"", ""en"")"),"network traffic")</f>
        <v>network traffic</v>
      </c>
    </row>
    <row r="71" spans="9:14" ht="409.5">
      <c r="I71" s="168"/>
      <c r="J71" s="114">
        <v>70</v>
      </c>
      <c r="K71" s="114" t="str">
        <f ca="1">IFERROR(__xludf.DUMMYFUNCTION("GOOGLETRANSLATE(B72, ""auto"", ""en"")"),"Continuous modernization of cloud infrastructure threat")</f>
        <v>Continuous modernization of cloud infrastructure threat</v>
      </c>
      <c r="L71" s="114" t="str">
        <f ca="1">IFERROR(__xludf.DUMMYFUNCTION("GOOGLETRANSLATE(D72, ""auto"", ""en"")"),"The threat is the possibility of entering into the cloud system vulnerabilities and weaknesses together with the addition of new hardware or software. The system, considered as protected on the stage of putting it into operation, can no longer be consider"&amp;"ed as such after its modernization.
This threat stems from the fact that, firstly, the cloud providers offer the possibility of a consumer cloud service selection and (or) changing the original composition of the software cloud infrastructure in the prov"&amp;"ision of such services and, secondly, under intense connection of new consumers upgrading cloud infrastructure can take place several times a year.
Implementation of this threat is possible if the period until the next modernization does not exceed the p"&amp;"eriod of the assessment requirements of safety compliance in the absence of cloud service management system and security (cloud management system)")</f>
        <v>The threat is the possibility of entering into the cloud system vulnerabilities and weaknesses together with the addition of new hardware or software. The system, considered as protected on the stage of putting it into operation, can no longer be considered as such after its modernization.
This threat stems from the fact that, firstly, the cloud providers offer the possibility of a consumer cloud service selection and (or) changing the original composition of the software cloud infrastructure in the provision of such services and, secondly, under intense connection of new consumers upgrading cloud infrastructure can take place several times a year.
Implementation of this threat is possible if the period until the next modernization does not exceed the period of the assessment requirements of safety compliance in the absence of cloud service management system and security (cloud management system)</v>
      </c>
      <c r="M71" s="114" t="str">
        <f ca="1">IFERROR(__xludf.DUMMYFUNCTION("GOOGLETRANSLATE(F72, ""auto"", ""en"")"),"The inner middle potential violator")</f>
        <v>The inner middle potential violator</v>
      </c>
      <c r="N71" s="114" t="str">
        <f ca="1">IFERROR(__xludf.DUMMYFUNCTION("GOOGLETRANSLATE(H72, ""auto"", ""en"")"),"cloud infrastructure")</f>
        <v>cloud infrastructure</v>
      </c>
    </row>
    <row r="72" spans="9:14" ht="409.5">
      <c r="I72" s="168"/>
      <c r="J72" s="114">
        <v>71</v>
      </c>
      <c r="K72" s="114" t="str">
        <f ca="1">IFERROR(__xludf.DUMMYFUNCTION("GOOGLETRANSLATE(B73, ""auto"", ""en"")"),"The threat of unauthorized recovery of deleted information to be protected")</f>
        <v>The threat of unauthorized recovery of deleted information to be protected</v>
      </c>
      <c r="L72" s="114" t="str">
        <f ca="1">IFERROR(__xludf.DUMMYFUNCTION("GOOGLETRANSLATE(D73, ""auto"", ""en"")"),"The threat lies in the possibility of direct access (access to the lower levels of the architecture with respect to the level of the operating system) to data stored in the machine storage medium, or data read from the recovery of residual information car"&amp;"rier machine.
This threat is due to weaknesses erased mechanism computer media - information, remote from the machine carrier, in most cases, can be restored.
Implementation of this threat is possible under the following conditions:
deleting informatio"&amp;"n from the machine without the use of carrier occurred methods (methods, algorithms) guaranteed data erasure (e.g., physical destruction machine information storage medium);
technological features of computer media do not lead to the guaranteed destructi"&amp;"on of the information when receiving a command for erasing data;
the information is not stored in a cryptographically transformed form")</f>
        <v>The threat lies in the possibility of direct access (access to the lower levels of the architecture with respect to the level of the operating system) to data stored in the machine storage medium, or data read from the recovery of residual information carrier machine.
This threat is due to weaknesses erased mechanism computer media - information, remote from the machine carrier, in most cases, can be restored.
Implementation of this threat is possible under the following conditions:
deleting information from the machine without the use of carrier occurred methods (methods, algorithms) guaranteed data erasure (e.g., physical destruction machine information storage medium);
technological features of computer media do not lead to the guaranteed destruction of the information when receiving a command for erasing data;
the information is not stored in a cryptographically transformed form</v>
      </c>
      <c r="M72" s="114" t="str">
        <f ca="1">IFERROR(__xludf.DUMMYFUNCTION("GOOGLETRANSLATE(F73, ""auto"", ""en"")"),"External intruder low potential insider with a low potential")</f>
        <v>External intruder low potential insider with a low potential</v>
      </c>
      <c r="N72" s="114" t="str">
        <f ca="1">IFERROR(__xludf.DUMMYFUNCTION("GOOGLETRANSLATE(H73, ""auto"", ""en"")"),"Machine data carrier")</f>
        <v>Machine data carrier</v>
      </c>
    </row>
    <row r="73" spans="9:14" ht="409.5">
      <c r="I73" s="168"/>
      <c r="J73" s="114">
        <v>72</v>
      </c>
      <c r="K73" s="114" t="str">
        <f ca="1">IFERROR(__xludf.DUMMYFUNCTION("GOOGLETRANSLATE(B74, ""auto"", ""en"")"),"The threat of unauthorized off or bypass the security mechanisms of the entries in the BIOS")</f>
        <v>The threat of unauthorized off or bypass the security mechanisms of the entries in the BIOS</v>
      </c>
      <c r="L73" s="114" t="str">
        <f ca="1">IFERROR(__xludf.DUMMYFUNCTION("GOOGLETRANSLATE(D74, ""auto"", ""en"")"),"The threat is the possibility of introducing in the BIOS / UEFI malicious code after erroneous or malicious shutdown user BIOS / UEFI protection mechanism on the recording, and the ability to install an unsigned updates to bypass the protection mechanism "&amp;"of the entries in the BIOS / UEFI.
This threat is caused by weakness of measures on restricting access to the management of BIOS / UEFI protection mechanism on the recording, as well as vulnerability BIOS / UEFI update mechanism, resulting in a buffer ov"&amp;"erflow.
Implementation of this threat can be in one of the following conditions:
off mechanism to protect BIOS / UEFI write;
Successful exploitation of the vulnerability of the offender BIOS / UEFI update mechanism, which leads to a buffer overflow")</f>
        <v>The threat is the possibility of introducing in the BIOS / UEFI malicious code after erroneous or malicious shutdown user BIOS / UEFI protection mechanism on the recording, and the ability to install an unsigned updates to bypass the protection mechanism of the entries in the BIOS / UEFI.
This threat is caused by weakness of measures on restricting access to the management of BIOS / UEFI protection mechanism on the recording, as well as vulnerability BIOS / UEFI update mechanism, resulting in a buffer overflow.
Implementation of this threat can be in one of the following conditions:
off mechanism to protect BIOS / UEFI write;
Successful exploitation of the vulnerability of the offender BIOS / UEFI update mechanism, which leads to a buffer overflow</v>
      </c>
      <c r="M73" s="114" t="str">
        <f ca="1">IFERROR(__xludf.DUMMYFUNCTION("GOOGLETRANSLATE(F74, ""auto"", ""en"")"),"Insider with a low potential")</f>
        <v>Insider with a low potential</v>
      </c>
      <c r="N73" s="114" t="str">
        <f ca="1">IFERROR(__xludf.DUMMYFUNCTION("GOOGLETRANSLATE(H74, ""auto"", ""en"")"),"Firmware and BIOS / UEFI hardware")</f>
        <v>Firmware and BIOS / UEFI hardware</v>
      </c>
    </row>
    <row r="74" spans="9:14" ht="315">
      <c r="I74" s="168"/>
      <c r="J74" s="114">
        <v>73</v>
      </c>
      <c r="K74" s="114" t="str">
        <f ca="1">IFERROR(__xludf.DUMMYFUNCTION("GOOGLETRANSLATE(B75, ""auto"", ""en"")"),"The threat of unauthorized access to the active and (or) a virtual passive and (or) the physical network equipment of physical and (or) a virtual network")</f>
        <v>The threat of unauthorized access to the active and (or) a virtual passive and (or) the physical network equipment of physical and (or) a virtual network</v>
      </c>
      <c r="L74" s="114" t="str">
        <f ca="1">IFERROR(__xludf.DUMMYFUNCTION("GOOGLETRANSLATE(D75, ""auto"", ""en"")"),"The threat is the possibility of changing the algorithm of the malware software network equipment and (or) its setting parameters by exploiting the vulnerabilities of software and (or) the firmware of the specified equipment.
This threat is due to the li"&amp;"mited functionality (the presence of weaknesses) and active (or) a virtual passive and (or) the physical network equipment constituting the virtual infrastructure, the presence in the equipment of a fixed network address.
Implementation of this threat ca"&amp;"n be provided in the software for vulnerabilities, and (or) the firmware network equipment")</f>
        <v>The threat is the possibility of changing the algorithm of the malware software network equipment and (or) its setting parameters by exploiting the vulnerabilities of software and (or) the firmware of the specified equipment.
This threat is due to the limited functionality (the presence of weaknesses) and active (or) a virtual passive and (or) the physical network equipment constituting the virtual infrastructure, the presence in the equipment of a fixed network address.
Implementation of this threat can be provided in the software for vulnerabilities, and (or) the firmware network equipment</v>
      </c>
      <c r="M74" s="114" t="str">
        <f ca="1">IFERROR(__xludf.DUMMYFUNCTION("GOOGLETRANSLATE(F75, ""auto"", ""en"")"),"External intruder with an average potential intruder inner middle potential")</f>
        <v>External intruder with an average potential intruder inner middle potential</v>
      </c>
      <c r="N74" s="114" t="str">
        <f ca="1">IFERROR(__xludf.DUMMYFUNCTION("GOOGLETRANSLATE(H75, ""auto"", ""en"")"),"Network equipment, firmware, network software, virtual appliances")</f>
        <v>Network equipment, firmware, network software, virtual appliances</v>
      </c>
    </row>
    <row r="75" spans="9:14" ht="105">
      <c r="I75" s="168"/>
      <c r="J75" s="114">
        <v>74</v>
      </c>
      <c r="K75" s="114" t="str">
        <f ca="1">IFERROR(__xludf.DUMMYFUNCTION("GOOGLETRANSLATE(B76, ""auto"", ""en"")"),"The threat of unauthorized access to the authentication information")</f>
        <v>The threat of unauthorized access to the authentication information</v>
      </c>
      <c r="L75" s="114" t="str">
        <f ca="1">IFERROR(__xludf.DUMMYFUNCTION("GOOGLETRANSLATE(D76, ""auto"", ""en"")"),"The threat is the possibility of extracting passwords, usernames or other credentials of the computer's memory or stolen (copied) password files (including those stored in clear text) with computer media")</f>
        <v>The threat is the possibility of extracting passwords, usernames or other credentials of the computer's memory or stolen (copied) password files (including those stored in clear text) with computer media</v>
      </c>
      <c r="M75" s="114" t="str">
        <f ca="1">IFERROR(__xludf.DUMMYFUNCTION("GOOGLETRANSLATE(F76, ""auto"", ""en"")"),"External intruder low potential insider with a low potential")</f>
        <v>External intruder low potential insider with a low potential</v>
      </c>
      <c r="N75" s="114" t="str">
        <f ca="1">IFERROR(__xludf.DUMMYFUNCTION("GOOGLETRANSLATE(H76, ""auto"", ""en"")"),"System software, file system objects, user credentials, the registry, the machine storage media")</f>
        <v>System software, file system objects, user credentials, the registry, the machine storage media</v>
      </c>
    </row>
    <row r="76" spans="9:14" ht="330">
      <c r="I76" s="168"/>
      <c r="J76" s="114">
        <v>75</v>
      </c>
      <c r="K76" s="114" t="str">
        <f ca="1">IFERROR(__xludf.DUMMYFUNCTION("GOOGLETRANSLATE(B77, ""auto"", ""en"")"),"The threat of unauthorized access to the virtual transmission channels")</f>
        <v>The threat of unauthorized access to the virtual transmission channels</v>
      </c>
      <c r="L76" s="114" t="str">
        <f ca="1">IFERROR(__xludf.DUMMYFUNCTION("GOOGLETRANSLATE(D77, ""auto"", ""en"")"),"The threat is the possibility of unauthorized intruder interception traffic network nodes that are not available through network technologies other than network virtualization technology, through the improper use of such technologies.
This threat is caus"&amp;"ed by weaknesses flow controls, firewall and access control implemented in respect of network virtualization technologies (through which the virtual data channels are being built).
Implementation of this threat is possible in the presence of the offender"&amp;" to exercise the privileges of interaction with network virtualization")</f>
        <v>The threat is the possibility of unauthorized intruder interception traffic network nodes that are not available through network technologies other than network virtualization technology, through the improper use of such technologies.
This threat is caused by weaknesses flow controls, firewall and access control implemented in respect of network virtualization technologies (through which the virtual data channels are being built).
Implementation of this threat is possible in the presence of the offender to exercise the privileges of interaction with network virtualization</v>
      </c>
      <c r="M76" s="114" t="str">
        <f ca="1">IFERROR(__xludf.DUMMYFUNCTION("GOOGLETRANSLATE(F77, ""auto"", ""en"")"),"External intruder low potential insider with a low potential")</f>
        <v>External intruder low potential insider with a low potential</v>
      </c>
      <c r="N76" s="114" t="str">
        <f ca="1">IFERROR(__xludf.DUMMYFUNCTION("GOOGLETRANSLATE(H77, ""auto"", ""en"")"),"Network software, network traffic, virtual devices")</f>
        <v>Network software, network traffic, virtual devices</v>
      </c>
    </row>
    <row r="77" spans="9:14" ht="409.5">
      <c r="I77" s="168"/>
      <c r="J77" s="114">
        <v>76</v>
      </c>
      <c r="K77" s="114" t="str">
        <f ca="1">IFERROR(__xludf.DUMMYFUNCTION("GOOGLETRANSLATE(B78, ""auto"", ""en"")"),"The threat of unauthorized access to the hypervisor of the virtual machine and (or) physical network")</f>
        <v>The threat of unauthorized access to the hypervisor of the virtual machine and (or) physical network</v>
      </c>
      <c r="L77" s="114" t="str">
        <f ca="1">IFERROR(__xludf.DUMMYFUNCTION("GOOGLETRANSLATE(D78, ""auto"", ""en"")"),"The threat is the possibility of bringing the offender whole (if the hypervisor - a) or part (when multiple interacting hypervisors) virtual infrastructure in a state of ""denial of service"" by means of destructive software impact on the hypervisor from "&amp;"running in he created a virtual environment, virtual machines, or of the impact on the hypervisor through its connection to the physical network connection.
This threat is due to the presence of a plurality of interfaces and interactions between hypervis"&amp;"or virtual machine and (or) the physical network vulnerability hypervisor and vulnerabilities of software and the limited functionality of the hardware used to ensure its efficiency.
Implementation of this threat can be in one of the following cases:
th"&amp;"e presence of the offender privileges sufficient to effect the destructive impact of the software virtual machine;
presence of active hypervisor interface interaction with the physical computer network")</f>
        <v>The threat is the possibility of bringing the offender whole (if the hypervisor - a) or part (when multiple interacting hypervisors) virtual infrastructure in a state of "denial of service" by means of destructive software impact on the hypervisor from running in he created a virtual environment, virtual machines, or of the impact on the hypervisor through its connection to the physical network connection.
This threat is due to the presence of a plurality of interfaces and interactions between hypervisor virtual machine and (or) the physical network vulnerability hypervisor and vulnerabilities of software and the limited functionality of the hardware used to ensure its efficiency.
Implementation of this threat can be in one of the following cases:
the presence of the offender privileges sufficient to effect the destructive impact of the software virtual machine;
presence of active hypervisor interface interaction with the physical computer network</v>
      </c>
      <c r="M77" s="114" t="str">
        <f ca="1">IFERROR(__xludf.DUMMYFUNCTION("GOOGLETRANSLATE(F78, ""auto"", ""en"")"),"External intruder with an average potential intruder inner middle potential")</f>
        <v>External intruder with an average potential intruder inner middle potential</v>
      </c>
      <c r="N77" s="114" t="str">
        <f ca="1">IFERROR(__xludf.DUMMYFUNCTION("GOOGLETRANSLATE(H78, ""auto"", ""en"")"),"hypervisor")</f>
        <v>hypervisor</v>
      </c>
    </row>
    <row r="78" spans="9:14" ht="409.5">
      <c r="I78" s="168"/>
      <c r="J78" s="114">
        <v>77</v>
      </c>
      <c r="K78" s="114" t="str">
        <f ca="1">IFERROR(__xludf.DUMMYFUNCTION("GOOGLETRANSLATE(B79, ""auto"", ""en"")"),"The threat of unauthorized access to data outside of the reserved address space, including a dedicated virtual hardware")</f>
        <v>The threat of unauthorized access to data outside of the reserved address space, including a dedicated virtual hardware</v>
      </c>
      <c r="L78" s="114" t="str">
        <f ca="1">IFERROR(__xludf.DUMMYFUNCTION("GOOGLETRANSLATE(D79, ""auto"", ""en"")"),"The threat is the possibility of violations of malicious program operating within a virtual machine, the integrity of its code and (or) other virtual machines, operating under the control of the same hypervisor, as well as change its parameters (their) se"&amp;"ttings.
This threat is due to the presence of software weaknesses hypervisor providing isolation address space used for storing not only the protected data and program code processing its programs, but also a program code that implements virtual hardware"&amp;" (virtual processing apparatus, data storage and transmission) from unauthorized access by a malicious program operating within a virtual machine.
Implementation of this threat can be subject to the successful implementation of unauthorized access by a m"&amp;"alicious program operating within a virtual machine, the data stored outside the space reserved for the user data address space of the virtual machine")</f>
        <v>The threat is the possibility of violations of malicious program operating within a virtual machine, the integrity of its code and (or) other virtual machines, operating under the control of the same hypervisor, as well as change its parameters (their) settings.
This threat is due to the presence of software weaknesses hypervisor providing isolation address space used for storing not only the protected data and program code processing its programs, but also a program code that implements virtual hardware (virtual processing apparatus, data storage and transmission) from unauthorized access by a malicious program operating within a virtual machine.
Implementation of this threat can be subject to the successful implementation of unauthorized access by a malicious program operating within a virtual machine, the data stored outside the space reserved for the user data address space of the virtual machine</v>
      </c>
      <c r="M78" s="114" t="str">
        <f ca="1">IFERROR(__xludf.DUMMYFUNCTION("GOOGLETRANSLATE(F79, ""auto"", ""en"")"),"External intruder with an average potential intruder inner middle potential")</f>
        <v>External intruder with an average potential intruder inner middle potential</v>
      </c>
      <c r="N78" s="114" t="str">
        <f ca="1">IFERROR(__xludf.DUMMYFUNCTION("GOOGLETRANSLATE(H79, ""auto"", ""en"")"),"Server, a workstation, a virtual machine, hypervisor, machine information carrier metadata")</f>
        <v>Server, a workstation, a virtual machine, hypervisor, machine information carrier metadata</v>
      </c>
    </row>
    <row r="79" spans="9:14" ht="315">
      <c r="I79" s="168"/>
      <c r="J79" s="114">
        <v>78</v>
      </c>
      <c r="K79" s="114" t="str">
        <f ca="1">IFERROR(__xludf.DUMMYFUNCTION("GOOGLETRANSLATE(B80, ""auto"", ""en"")"),"The threat of unauthorized access to protected virtual machines of the virtual and (or) the physical network")</f>
        <v>The threat of unauthorized access to protected virtual machines of the virtual and (or) the physical network</v>
      </c>
      <c r="L79" s="114" t="str">
        <f ca="1">IFERROR(__xludf.DUMMYFUNCTION("GOOGLETRANSLATE(D80, ""auto"", ""en"")"),"The threat is the possibility of the offender destructive impact on software virtual machines from the virtual and (or) physical networks as a standard (non-virtual) network technology, as well as through network virtualization.
This threat is due to the"&amp;" presence of virtual machines and the network address to perform their interaction with other network entities.
Implementation of this threat can be provided that the offender information on the network address of the virtual machine, as well as current "&amp;"virtual machine activity at the time of the offender destructive effects software")</f>
        <v>The threat is the possibility of the offender destructive impact on software virtual machines from the virtual and (or) physical networks as a standard (non-virtual) network technology, as well as through network virtualization.
This threat is due to the presence of virtual machines and the network address to perform their interaction with other network entities.
Implementation of this threat can be provided that the offender information on the network address of the virtual machine, as well as current virtual machine activity at the time of the offender destructive effects software</v>
      </c>
      <c r="M79" s="114" t="str">
        <f ca="1">IFERROR(__xludf.DUMMYFUNCTION("GOOGLETRANSLATE(F80, ""auto"", ""en"")"),"External intruder low potential insider with a low potential")</f>
        <v>External intruder low potential insider with a low potential</v>
      </c>
      <c r="N79" s="114" t="str">
        <f ca="1">IFERROR(__xludf.DUMMYFUNCTION("GOOGLETRANSLATE(H80, ""auto"", ""en"")"),"Virtual machine")</f>
        <v>Virtual machine</v>
      </c>
    </row>
    <row r="80" spans="9:14" ht="345">
      <c r="I80" s="168"/>
      <c r="J80" s="114">
        <v>79</v>
      </c>
      <c r="K80" s="114" t="str">
        <f ca="1">IFERROR(__xludf.DUMMYFUNCTION("GOOGLETRANSLATE(B81, ""auto"", ""en"")"),"The threat of unauthorized access to the protected VMs from other VMs")</f>
        <v>The threat of unauthorized access to the protected VMs from other VMs</v>
      </c>
      <c r="L80" s="114" t="str">
        <f ca="1">IFERROR(__xludf.DUMMYFUNCTION("GOOGLETRANSLATE(D81, ""auto"", ""en"")"),"The threat is the possibility of a destructive impact on the software protects virtual machines from other virtual machines using different communication mechanisms between virtual machines, hypervisor implemented and activated on the system.
This threat"&amp;" is due to weaknesses exchange mechanisms between virtual machines and the vulnerability of its implementation in a particular hypervisor.
Implementation of this threat is possible on condition that the intruder privileges sufficient to use different com"&amp;"munication mechanisms between virtual machines, implemented in hypervisor and activated in the system")</f>
        <v>The threat is the possibility of a destructive impact on the software protects virtual machines from other virtual machines using different communication mechanisms between virtual machines, hypervisor implemented and activated on the system.
This threat is due to weaknesses exchange mechanisms between virtual machines and the vulnerability of its implementation in a particular hypervisor.
Implementation of this threat is possible on condition that the intruder privileges sufficient to use different communication mechanisms between virtual machines, implemented in hypervisor and activated in the system</v>
      </c>
      <c r="M80" s="114" t="str">
        <f ca="1">IFERROR(__xludf.DUMMYFUNCTION("GOOGLETRANSLATE(F81, ""auto"", ""en"")"),"External intruder low potential insider with a low potential")</f>
        <v>External intruder low potential insider with a low potential</v>
      </c>
      <c r="N80" s="114" t="str">
        <f ca="1">IFERROR(__xludf.DUMMYFUNCTION("GOOGLETRANSLATE(H81, ""auto"", ""en"")"),"Virtual machine")</f>
        <v>Virtual machine</v>
      </c>
    </row>
    <row r="81" spans="9:14" ht="345">
      <c r="I81" s="168"/>
      <c r="J81" s="114">
        <v>80</v>
      </c>
      <c r="K81" s="114" t="str">
        <f ca="1">IFERROR(__xludf.DUMMYFUNCTION("GOOGLETRANSLATE(B82, ""auto"", ""en"")"),"The threat of unauthorized access to protected virtual device from the virtual and (or) the physical network")</f>
        <v>The threat of unauthorized access to protected virtual device from the virtual and (or) the physical network</v>
      </c>
      <c r="L81" s="114" t="str">
        <f ca="1">IFERROR(__xludf.DUMMYFUNCTION("GOOGLETRANSLATE(D82, ""auto"", ""en"")"),"The threat lies in the possibility of remote intruder unauthorized access to the virtual devices of the virtual and (or) the physical network via various network technologies used for data exchange in a system constructed with the use of virtualization te"&amp;"chnologies.
This threat is due to weaknesses in the presence of network interfaces of the hypervisor software intended for remote control over the composition and configuration of virtual devices created (generated) data hypervisors.
Implementation of t"&amp;"his threat is possible on condition that the intruder sufficient privileges to perform data exchange in a system constructed with the use of virtualization")</f>
        <v>The threat lies in the possibility of remote intruder unauthorized access to the virtual devices of the virtual and (or) the physical network via various network technologies used for data exchange in a system constructed with the use of virtualization technologies.
This threat is due to weaknesses in the presence of network interfaces of the hypervisor software intended for remote control over the composition and configuration of virtual devices created (generated) data hypervisors.
Implementation of this threat is possible on condition that the intruder sufficient privileges to perform data exchange in a system constructed with the use of virtualization</v>
      </c>
      <c r="M81" s="114" t="str">
        <f ca="1">IFERROR(__xludf.DUMMYFUNCTION("GOOGLETRANSLATE(F82, ""auto"", ""en"")"),"External intruder with an average potential intruder inner middle potential")</f>
        <v>External intruder with an average potential intruder inner middle potential</v>
      </c>
      <c r="N81" s="114" t="str">
        <f ca="1">IFERROR(__xludf.DUMMYFUNCTION("GOOGLETRANSLATE(H82, ""auto"", ""en"")"),"Virtual storage devices, data processing and transmission")</f>
        <v>Virtual storage devices, data processing and transmission</v>
      </c>
    </row>
    <row r="82" spans="9:14" ht="409.5">
      <c r="I82" s="168"/>
      <c r="J82" s="114">
        <v>81</v>
      </c>
      <c r="K82" s="114" t="str">
        <f ca="1">IFERROR(__xludf.DUMMYFUNCTION("GOOGLETRANSLATE(B83, ""auto"", ""en"")"),"The threat of unauthorized access to the local computer through a customer's grid system")</f>
        <v>The threat of unauthorized access to the local computer through a customer's grid system</v>
      </c>
      <c r="L82" s="114" t="str">
        <f ca="1">IFERROR(__xludf.DUMMYFUNCTION("GOOGLETRANSLATE(D83, ""auto"", ""en"")"),"The threat lies in the possibility of the intruder network access the grid system assembly with the rights of one user accounts corresponding software processes job management system, followed by obtaining access to the restricted part of cryptographic ce"&amp;"rtificates used for communication in the grid system.
This threat is due to vulnerabilities on the client grid system (client software to be installed at the nodes of the grid system), operation of which allows an attacker to perform read and write opera"&amp;"tions in a computer local file system objects sending software processes signals (including signals termination operation) read and write operations to the memory of program processes the corresponding communications software and grid jobs, opening networ"&amp;"k connections to local and remote nodes grid system.
Implementation of this threat can be subject to the implementation of malicious code in the job control system. In fact, the presence in the grid system node unknown to the owner of software (client gr"&amp;"id system), the conductive unknown computation is a ""black box,"" through which (by exploitation of vulnerabilities or software bookmarks) the intruder may make illegal actions with respect to the stored node Grid system protected information (personal i"&amp;"nformation site owner)")</f>
        <v>The threat lies in the possibility of the intruder network access the grid system assembly with the rights of one user accounts corresponding software processes job management system, followed by obtaining access to the restricted part of cryptographic certificates used for communication in the grid system.
This threat is due to vulnerabilities on the client grid system (client software to be installed at the nodes of the grid system), operation of which allows an attacker to perform read and write operations in a computer local file system objects sending software processes signals (including signals termination operation) read and write operations to the memory of program processes the corresponding communications software and grid jobs, opening network connections to local and remote nodes grid system.
Implementation of this threat can be subject to the implementation of malicious code in the job control system. In fact, the presence in the grid system node unknown to the owner of software (client grid system), the conductive unknown computation is a "black box," through which (by exploitation of vulnerabilities or software bookmarks) the intruder may make illegal actions with respect to the stored node Grid system protected information (personal information site owner)</v>
      </c>
      <c r="M82" s="114" t="str">
        <f ca="1">IFERROR(__xludf.DUMMYFUNCTION("GOOGLETRANSLATE(F83, ""auto"", ""en"")"),"The outer middle potential violator")</f>
        <v>The outer middle potential violator</v>
      </c>
      <c r="N82" s="114" t="str">
        <f ca="1">IFERROR(__xludf.DUMMYFUNCTION("GOOGLETRANSLATE(H83, ""auto"", ""en"")"),"Nodes grid system")</f>
        <v>Nodes grid system</v>
      </c>
    </row>
    <row r="83" spans="9:14" ht="330">
      <c r="I83" s="168"/>
      <c r="J83" s="114">
        <v>82</v>
      </c>
      <c r="K83" s="114" t="str">
        <f ca="1">IFERROR(__xludf.DUMMYFUNCTION("GOOGLETRANSLATE(B84, ""auto"", ""en"")"),"The threat of unauthorized access to the computing field segments")</f>
        <v>The threat of unauthorized access to the computing field segments</v>
      </c>
      <c r="L83" s="114" t="str">
        <f ca="1">IFERROR(__xludf.DUMMYFUNCTION("GOOGLETRANSLATE(D84, ""auto"", ""en"")"),"The threat is the possibility of unauthorized access to the offending source data, intermediate and final results of the calculations of other users of a supercomputer, as well as accidental or deliberate destructive influence decision processes some prob"&amp;"lems on the processes and results of the decisions of other computing tasks.
This threat is caused by weakness of subjects of access control mechanism to segments of computing fields supercomputer.
Implementation of this threat is possible in the perfor"&amp;"mance of tasks of different users on the same supercomputer computing supercomputer field")</f>
        <v>The threat is the possibility of unauthorized access to the offending source data, intermediate and final results of the calculations of other users of a supercomputer, as well as accidental or deliberate destructive influence decision processes some problems on the processes and results of the decisions of other computing tasks.
This threat is caused by weakness of subjects of access control mechanism to segments of computing fields supercomputer.
Implementation of this threat is possible in the performance of tasks of different users on the same supercomputer computing supercomputer field</v>
      </c>
      <c r="M83" s="114" t="str">
        <f ca="1">IFERROR(__xludf.DUMMYFUNCTION("GOOGLETRANSLATE(F84, ""auto"", ""en"")"),"The inner middle potential violator")</f>
        <v>The inner middle potential violator</v>
      </c>
      <c r="N83" s="114" t="str">
        <f ca="1">IFERROR(__xludf.DUMMYFUNCTION("GOOGLETRANSLATE(H84, ""auto"", ""en"")"),"Computing node supercomputer")</f>
        <v>Computing node supercomputer</v>
      </c>
    </row>
    <row r="84" spans="9:14" ht="330">
      <c r="I84" s="168"/>
      <c r="J84" s="114">
        <v>83</v>
      </c>
      <c r="K84" s="114" t="str">
        <f ca="1">IFERROR(__xludf.DUMMYFUNCTION("GOOGLETRANSLATE(B85, ""auto"", ""en"")"),"The threat of unauthorized access to the system wirelessly")</f>
        <v>The threat of unauthorized access to the system wirelessly</v>
      </c>
      <c r="L84" s="114" t="str">
        <f ca="1">IFERROR(__xludf.DUMMYFUNCTION("GOOGLETRANSLATE(D85, ""auto"", ""en"")"),"The threat is the possibility of obtaining the offender access to the resources of the whole information system through diskreditiruemoy used in its composition of wireless data channels.
This threat is due to weaknesses identification / authentication p"&amp;"rotocols (such as WEP, WPA and WPA2, AES), used for access to the wireless equipment.
Implementation of this threat is possible on condition that the intruder specialized software that implements the functions of manual identification / wireless authenti"&amp;"cation protocol vulnerabilities, and finding a reception point diskreditiruemoy wireless signals")</f>
        <v>The threat is the possibility of obtaining the offender access to the resources of the whole information system through diskreditiruemoy used in its composition of wireless data channels.
This threat is due to weaknesses identification / authentication protocols (such as WEP, WPA and WPA2, AES), used for access to the wireless equipment.
Implementation of this threat is possible on condition that the intruder specialized software that implements the functions of manual identification / wireless authentication protocol vulnerabilities, and finding a reception point diskreditiruemoy wireless signals</v>
      </c>
      <c r="M84" s="114" t="str">
        <f ca="1">IFERROR(__xludf.DUMMYFUNCTION("GOOGLETRANSLATE(F85, ""auto"", ""en"")"),"External intruder with a low potential")</f>
        <v>External intruder with a low potential</v>
      </c>
      <c r="N84" s="114" t="str">
        <f ca="1">IFERROR(__xludf.DUMMYFUNCTION("GOOGLETRANSLATE(H85, ""auto"", ""en"")"),"Network node, user credentials, network traffic, hardware")</f>
        <v>Network node, user credentials, network traffic, hardware</v>
      </c>
    </row>
    <row r="85" spans="9:14" ht="409.5">
      <c r="I85" s="168"/>
      <c r="J85" s="114">
        <v>84</v>
      </c>
      <c r="K85" s="114" t="str">
        <f ca="1">IFERROR(__xludf.DUMMYFUNCTION("GOOGLETRANSLATE(B86, ""auto"", ""en"")"),"The threat of unauthorized access to the data from the virtual storage system and (or) the physical network")</f>
        <v>The threat of unauthorized access to the data from the virtual storage system and (or) the physical network</v>
      </c>
      <c r="L85" s="114" t="str">
        <f ca="1">IFERROR(__xludf.DUMMYFUNCTION("GOOGLETRANSLATE(D86, ""auto"", ""en"")"),"The threat lies in the possibility of destructive software impact to virtual data storage devices, and (or) the virtual disks (which are both the segments of the virtual disk space created by a separate virtual device, and a single virtual disk space crea"&amp;"ted by the logical association of multiple virtual data storage devices).
This threat is due to the presence of weaknesses applied to various virtual data storage devices of information distribution techniques and (or) the virtual disk, as well as techno"&amp;"logy weaknesses single virtual space. These weaknesses are related to the high complexity of ensuring coherence of information distribution algorithms within a single virtual space and interact with virtual and physical data channels for operation within "&amp;"a single storage space.
Implementation of this threat is possible on condition that the intruder special software able to exploit weaknesses of the technologies used in the construction of storage systems (network technology, information distribution tec"&amp;"hnologies, etc.).")</f>
        <v>The threat lies in the possibility of destructive software impact to virtual data storage devices, and (or) the virtual disks (which are both the segments of the virtual disk space created by a separate virtual device, and a single virtual disk space created by the logical association of multiple virtual data storage devices).
This threat is due to the presence of weaknesses applied to various virtual data storage devices of information distribution techniques and (or) the virtual disk, as well as technology weaknesses single virtual space. These weaknesses are related to the high complexity of ensuring coherence of information distribution algorithms within a single virtual space and interact with virtual and physical data channels for operation within a single storage space.
Implementation of this threat is possible on condition that the intruder special software able to exploit weaknesses of the technologies used in the construction of storage systems (network technology, information distribution technologies, etc.).</v>
      </c>
      <c r="M85" s="114" t="str">
        <f ca="1">IFERROR(__xludf.DUMMYFUNCTION("GOOGLETRANSLATE(F86, ""auto"", ""en"")"),"External intruder low potential insider with a low potential")</f>
        <v>External intruder low potential insider with a low potential</v>
      </c>
      <c r="N85" s="114" t="str">
        <f ca="1">IFERROR(__xludf.DUMMYFUNCTION("GOOGLETRANSLATE(H86, ""auto"", ""en"")"),"Virtual storage devices, virtual disks")</f>
        <v>Virtual storage devices, virtual disks</v>
      </c>
    </row>
    <row r="86" spans="9:14" ht="409.5">
      <c r="I86" s="168"/>
      <c r="J86" s="114">
        <v>85</v>
      </c>
      <c r="K86" s="114" t="str">
        <f ca="1">IFERROR(__xludf.DUMMYFUNCTION("GOOGLETRANSLATE(B87, ""auto"", ""en"")"),"The threat of unauthorized access to stored in the virtual space of information to be protected")</f>
        <v>The threat of unauthorized access to stored in the virtual space of information to be protected</v>
      </c>
      <c r="L86" s="114" t="str">
        <f ca="1">IFERROR(__xludf.DUMMYFUNCTION("GOOGLETRANSLATE(D87, ""auto"", ""en"")"),"The threat is the possibility of a breach of confidentiality of the information contained in the distributed files containing protected information, by restoring the data files distributed from their many separate fragments with the help of software and i"&amp;"nformation technology for the distributed processing of the information.
This threat is due to the fact that in connection with the use of a plurality of virtualization technologies designed to work with the data (data distribution within the virtual and"&amp;" logical disk, the data distribution between such disks, the distribution of data between physical and virtual drives a single disc space, allocation areas of disk space in as separate drives and al.), virtually all of the files stored in a plurality of s"&amp;"eparate segments.
Implementation of this threat can be subject to failure or lack of measures to ensure the confidentiality of information stored on a separate drive")</f>
        <v>The threat is the possibility of a breach of confidentiality of the information contained in the distributed files containing protected information, by restoring the data files distributed from their many separate fragments with the help of software and information technology for the distributed processing of the information.
This threat is due to the fact that in connection with the use of a plurality of virtualization technologies designed to work with the data (data distribution within the virtual and logical disk, the data distribution between such disks, the distribution of data between physical and virtual drives a single disc space, allocation areas of disk space in as separate drives and al.), virtually all of the files stored in a plurality of separate segments.
Implementation of this threat can be subject to failure or lack of measures to ensure the confidentiality of information stored on a separate drive</v>
      </c>
      <c r="M86" s="114" t="str">
        <f ca="1">IFERROR(__xludf.DUMMYFUNCTION("GOOGLETRANSLATE(F87, ""auto"", ""en"")"),"External intruder with an average potential intruder inner middle potential")</f>
        <v>External intruder with an average potential intruder inner middle potential</v>
      </c>
      <c r="N86" s="114" t="str">
        <f ca="1">IFERROR(__xludf.DUMMYFUNCTION("GOOGLETRANSLATE(H87, ""auto"", ""en"")"),"the media, the file system objects")</f>
        <v>the media, the file system objects</v>
      </c>
    </row>
    <row r="87" spans="9:14" ht="240">
      <c r="I87" s="168"/>
      <c r="J87" s="114">
        <v>86</v>
      </c>
      <c r="K87" s="114" t="str">
        <f ca="1">IFERROR(__xludf.DUMMYFUNCTION("GOOGLETRANSLATE(B88, ""auto"", ""en"")"),"The threat of unauthorized changes to the authentication information")</f>
        <v>The threat of unauthorized changes to the authentication information</v>
      </c>
      <c r="L87" s="114" t="str">
        <f ca="1">IFERROR(__xludf.DUMMYFUNCTION("GOOGLETRANSLATE(D88, ""auto"", ""en"")"),"The threat is the possibility of unauthorized access to the perpetrator of the authentication information of other users by using standard means of operating system and special software.
This threat is caused by the presence of the weaknesses of measures"&amp;" restricting access to the authentication information.
Implementation of this threat may contribute to the further penetration of the offender in the system under the account user discredited")</f>
        <v>The threat is the possibility of unauthorized access to the perpetrator of the authentication information of other users by using standard means of operating system and special software.
This threat is caused by the presence of the weaknesses of measures restricting access to the authentication information.
Implementation of this threat may contribute to the further penetration of the offender in the system under the account user discredited</v>
      </c>
      <c r="M87" s="114" t="str">
        <f ca="1">IFERROR(__xludf.DUMMYFUNCTION("GOOGLETRANSLATE(F88, ""auto"", ""en"")"),"External intruder low potential insider with a low potential")</f>
        <v>External intruder low potential insider with a low potential</v>
      </c>
      <c r="N87" s="114" t="str">
        <f ca="1">IFERROR(__xludf.DUMMYFUNCTION("GOOGLETRANSLATE(H88, ""auto"", ""en"")"),"System software, file system objects, user credentials, the registry")</f>
        <v>System software, file system objects, user credentials, the registry</v>
      </c>
    </row>
    <row r="88" spans="9:14" ht="90">
      <c r="I88" s="168"/>
      <c r="J88" s="114">
        <v>87</v>
      </c>
      <c r="K88" s="114" t="str">
        <f ca="1">IFERROR(__xludf.DUMMYFUNCTION("GOOGLETRANSLATE(B89, ""auto"", ""en"")"),"The threat of unauthorized use of privileged BIOS functions")</f>
        <v>The threat of unauthorized use of privileged BIOS functions</v>
      </c>
      <c r="L88" s="114" t="str">
        <f ca="1">IFERROR(__xludf.DUMMYFUNCTION("GOOGLETRANSLATE(D89, ""auto"", ""en"")"),"The threat is the possibility of the use of potentially dangerous offender BIOS / UEFI features.
This threat is due to the presence in the BIOS / UEFI potentially hazardous functional")</f>
        <v>The threat is the possibility of the use of potentially dangerous offender BIOS / UEFI features.
This threat is due to the presence in the BIOS / UEFI potentially hazardous functional</v>
      </c>
      <c r="M88" s="114" t="str">
        <f ca="1">IFERROR(__xludf.DUMMYFUNCTION("GOOGLETRANSLATE(F89, ""auto"", ""en"")"),"External attackers with a high potential insider with a low potential")</f>
        <v>External attackers with a high potential insider with a low potential</v>
      </c>
      <c r="N88" s="114" t="str">
        <f ca="1">IFERROR(__xludf.DUMMYFUNCTION("GOOGLETRANSLATE(H89, ""auto"", ""en"")"),"Hardware, firmware, BIOS / UEFI")</f>
        <v>Hardware, firmware, BIOS / UEFI</v>
      </c>
    </row>
    <row r="89" spans="9:14" ht="360">
      <c r="I89" s="168"/>
      <c r="J89" s="114">
        <v>88</v>
      </c>
      <c r="K89" s="114" t="str">
        <f ca="1">IFERROR(__xludf.DUMMYFUNCTION("GOOGLETRANSLATE(B90, ""auto"", ""en"")"),"The threat of unauthorized copying of protected information")</f>
        <v>The threat of unauthorized copying of protected information</v>
      </c>
      <c r="L89" s="114" t="str">
        <f ca="1">IFERROR(__xludf.DUMMYFUNCTION("GOOGLETRANSLATE(D90, ""auto"", ""en"")"),"The threat is the possibility of illegal acquisition of the offender a copy of protected information by carrying out a sequence of misconduct, including: unauthorized access to protected information, copy information found on removable media (or other loc"&amp;"ation available violator outside the system).
This threat is caused by weakness of mechanisms of differentiation of access to protected information and access control of persons in the controlled area.
Implementation of this threat is possible in the ab"&amp;"sence of cryptographic protection measures or make copies at the time of the processing of protected information unencrypted")</f>
        <v>The threat is the possibility of illegal acquisition of the offender a copy of protected information by carrying out a sequence of misconduct, including: unauthorized access to protected information, copy information found on removable media (or other location available violator outside the system).
This threat is caused by weakness of mechanisms of differentiation of access to protected information and access control of persons in the controlled area.
Implementation of this threat is possible in the absence of cryptographic protection measures or make copies at the time of the processing of protected information unencrypted</v>
      </c>
      <c r="M89" s="114" t="str">
        <f ca="1">IFERROR(__xludf.DUMMYFUNCTION("GOOGLETRANSLATE(F90, ""auto"", ""en"")"),"External intruder low potential insider with a low potential")</f>
        <v>External intruder low potential insider with a low potential</v>
      </c>
      <c r="N89" s="114" t="str">
        <f ca="1">IFERROR(__xludf.DUMMYFUNCTION("GOOGLETRANSLATE(H90, ""auto"", ""en"")"),"file system objects, machine storage media")</f>
        <v>file system objects, machine storage media</v>
      </c>
    </row>
    <row r="90" spans="9:14" ht="390">
      <c r="I90" s="168"/>
      <c r="J90" s="114">
        <v>89</v>
      </c>
      <c r="K90" s="114" t="str">
        <f ca="1">IFERROR(__xludf.DUMMYFUNCTION("GOOGLETRANSLATE(B91, ""auto"", ""en"")"),"The threat of unauthorized editing registry")</f>
        <v>The threat of unauthorized editing registry</v>
      </c>
      <c r="L90" s="114" t="str">
        <f ca="1">IFERROR(__xludf.DUMMYFUNCTION("GOOGLETRANSLATE(D91, ""auto"", ""en"")"),"The threat is the possibility of making changes to the offender used diskreditiruemym application registry that affect the functioning of certain applications or application services as a whole. In this case, under the registry is meant not only the regis"&amp;"try Microsoft Windows operating system, and any registry used by the application. Registry modification may be either in the implementation of another step of a destructive impact and the main purpose.
This threat is caused by weakness of access control "&amp;"mechanism is to assign implementing its programs is too high privileges when working with the registry.
Implementation of this threat is possible in case of infringement of the rights to work with the program registry editing")</f>
        <v>The threat is the possibility of making changes to the offender used diskreditiruemym application registry that affect the functioning of certain applications or application services as a whole. In this case, under the registry is meant not only the registry Microsoft Windows operating system, and any registry used by the application. Registry modification may be either in the implementation of another step of a destructive impact and the main purpose.
This threat is caused by weakness of access control mechanism is to assign implementing its programs is too high privileges when working with the registry.
Implementation of this threat is possible in case of infringement of the rights to work with the program registry editing</v>
      </c>
      <c r="M90" s="114" t="str">
        <f ca="1">IFERROR(__xludf.DUMMYFUNCTION("GOOGLETRANSLATE(F91, ""auto"", ""en"")"),"External intruder low potential insider with a low potential")</f>
        <v>External intruder low potential insider with a low potential</v>
      </c>
      <c r="N90" s="114" t="str">
        <f ca="1">IFERROR(__xludf.DUMMYFUNCTION("GOOGLETRANSLATE(H91, ""auto"", ""en"")"),"System software using the registry, the registry")</f>
        <v>System software using the registry, the registry</v>
      </c>
    </row>
    <row r="91" spans="9:14" ht="345">
      <c r="I91" s="168"/>
      <c r="J91" s="114">
        <v>90</v>
      </c>
      <c r="K91" s="114" t="str">
        <f ca="1">IFERROR(__xludf.DUMMYFUNCTION("GOOGLETRANSLATE(B92, ""auto"", ""en"")"),"The threat of unauthorized creation of a user account")</f>
        <v>The threat of unauthorized creation of a user account</v>
      </c>
      <c r="L91" s="114" t="str">
        <f ca="1">IFERROR(__xludf.DUMMYFUNCTION("GOOGLETRANSLATE(D92, ""auto"", ""en"")"),"The threat is the possibility of creating the offender in the system more user account and its further use in their own illegal purposes (login with the rights of the account and of the destructive actions with respect to the discredited system or of the "&amp;"discredited system in relation to other systems).
This threat is caused by weakness of mechanisms of differentiation of access to the protected information.
Implementation of this threat is possible in the case of rights and to launch special programs t"&amp;"o edit files containing information about the users of the system (for remote access) or full-time access control of an operating system composition (local access)")</f>
        <v>The threat is the possibility of creating the offender in the system more user account and its further use in their own illegal purposes (login with the rights of the account and of the destructive actions with respect to the discredited system or of the discredited system in relation to other systems).
This threat is caused by weakness of mechanisms of differentiation of access to the protected information.
Implementation of this threat is possible in the case of rights and to launch special programs to edit files containing information about the users of the system (for remote access) or full-time access control of an operating system composition (local access)</v>
      </c>
      <c r="M91" s="114" t="str">
        <f ca="1">IFERROR(__xludf.DUMMYFUNCTION("GOOGLETRANSLATE(F92, ""auto"", ""en"")"),"External intruder low potential insider with a low potential")</f>
        <v>External intruder low potential insider with a low potential</v>
      </c>
      <c r="N91" s="114" t="str">
        <f ca="1">IFERROR(__xludf.DUMMYFUNCTION("GOOGLETRANSLATE(H92, ""auto"", ""en"")"),"System Software")</f>
        <v>System Software</v>
      </c>
    </row>
    <row r="92" spans="9:14" ht="345">
      <c r="I92" s="168"/>
      <c r="J92" s="114">
        <v>91</v>
      </c>
      <c r="K92" s="114" t="str">
        <f ca="1">IFERROR(__xludf.DUMMYFUNCTION("GOOGLETRANSLATE(B93, ""auto"", ""en"")"),"The threat of unauthorized removal of protected information")</f>
        <v>The threat of unauthorized removal of protected information</v>
      </c>
      <c r="L92" s="114" t="str">
        <f ca="1">IFERROR(__xludf.DUMMYFUNCTION("GOOGLETRANSLATE(D93, ""auto"", ""en"")"),"The threat is the possibility of causing the offender economic, informational, moral and other kinds of damage to the owner and the operator wrongly deleted information through the implementation of destructive software or physical impact on the native me"&amp;"dia.
This threat is due to the lack of measures to ensure access to the protected information in the system, as well, and the presence of vulnerabilities in the software that implements these measures.
Implementation of this threat is possible in case o"&amp;"f a system violator of rights to data erasure, or physical access to a machine-readable medium by a distance sufficient to provide an effective destructive impact")</f>
        <v>The threat is the possibility of causing the offender economic, informational, moral and other kinds of damage to the owner and the operator wrongly deleted information through the implementation of destructive software or physical impact on the native media.
This threat is due to the lack of measures to ensure access to the protected information in the system, as well, and the presence of vulnerabilities in the software that implements these measures.
Implementation of this threat is possible in case of a system violator of rights to data erasure, or physical access to a machine-readable medium by a distance sufficient to provide an effective destructive impact</v>
      </c>
      <c r="M92" s="114" t="str">
        <f ca="1">IFERROR(__xludf.DUMMYFUNCTION("GOOGLETRANSLATE(F93, ""auto"", ""en"")"),"External intruder low potential insider with a low potential")</f>
        <v>External intruder low potential insider with a low potential</v>
      </c>
      <c r="N92" s="114" t="str">
        <f ca="1">IFERROR(__xludf.DUMMYFUNCTION("GOOGLETRANSLATE(H93, ""auto"", ""en"")"),"The metadata file system objects, the registry")</f>
        <v>The metadata file system objects, the registry</v>
      </c>
    </row>
    <row r="93" spans="9:14" ht="375">
      <c r="I93" s="168"/>
      <c r="J93" s="114">
        <v>92</v>
      </c>
      <c r="K93" s="114" t="str">
        <f ca="1">IFERROR(__xludf.DUMMYFUNCTION("GOOGLETRANSLATE(B94, ""auto"", ""en"")"),"The threat of unauthorized remote out of band access to hardware")</f>
        <v>The threat of unauthorized remote out of band access to hardware</v>
      </c>
      <c r="L93" s="114" t="str">
        <f ca="1">IFERROR(__xludf.DUMMYFUNCTION("GOOGLETRANSLATE(D94, ""auto"", ""en"")"),"The threat is the possibility of obtaining the offender management system privileges by using the remote out of band (in-band independent TCP / IP) access.
This threat is caused by the inability to control the mechanism that implements remote access func"&amp;"tions in hardware, operating system level as well as the independence of the state of hardware devices, power supply, as This mechanism provides a procedure for remote on / off hardware devices.
Implementation of this threat is possible in the circumstan"&amp;"ces:
the availability of the system hardware that supports out of band remote access technology;
the availability of connecting the system to the public network (Internet)")</f>
        <v>The threat is the possibility of obtaining the offender management system privileges by using the remote out of band (in-band independent TCP / IP) access.
This threat is caused by the inability to control the mechanism that implements remote access functions in hardware, operating system level as well as the independence of the state of hardware devices, power supply, as This mechanism provides a procedure for remote on / off hardware devices.
Implementation of this threat is possible in the circumstances:
the availability of the system hardware that supports out of band remote access technology;
the availability of connecting the system to the public network (Internet)</v>
      </c>
      <c r="M93" s="114" t="str">
        <f ca="1">IFERROR(__xludf.DUMMYFUNCTION("GOOGLETRANSLATE(F94, ""auto"", ""en"")"),"External intruder with a high potential")</f>
        <v>External intruder with a high potential</v>
      </c>
      <c r="N93" s="114" t="str">
        <f ca="1">IFERROR(__xludf.DUMMYFUNCTION("GOOGLETRANSLATE(H94, ""auto"", ""en"")"),"Information system, hardware")</f>
        <v>Information system, hardware</v>
      </c>
    </row>
    <row r="94" spans="9:14" ht="315">
      <c r="I94" s="168"/>
      <c r="J94" s="114">
        <v>93</v>
      </c>
      <c r="K94" s="114" t="str">
        <f ca="1">IFERROR(__xludf.DUMMYFUNCTION("GOOGLETRANSLATE(B95, ""auto"", ""en"")"),"The threat of unauthorized buffer management")</f>
        <v>The threat of unauthorized buffer management</v>
      </c>
      <c r="L94" s="114" t="str">
        <f ca="1">IFERROR(__xludf.DUMMYFUNCTION("GOOGLETRANSLATE(D95, ""auto"", ""en"")"),"The threat is the possibility of wrongdoing unauthorized access to data contained in the clipboard, in the interests of acquaintance with information stored there, or destructive of the impact on the system software (e.g., a buffer overflow to execute arb"&amp;"itrary malicious code).
This threat is due to weakness in the mechanism of restricting access to the clipboard, and weaknesses in the input data verification mechanisms.
Implementation of this threat is possible in case of unauthorized intruder successf"&amp;"ul access to the segment memory diskreditiruemogo object, which is located in clipboard")</f>
        <v>The threat is the possibility of wrongdoing unauthorized access to data contained in the clipboard, in the interests of acquaintance with information stored there, or destructive of the impact on the system software (e.g., a buffer overflow to execute arbitrary malicious code).
This threat is due to weakness in the mechanism of restricting access to the clipboard, and weaknesses in the input data verification mechanisms.
Implementation of this threat is possible in case of unauthorized intruder successful access to the segment memory diskreditiruemogo object, which is located in clipboard</v>
      </c>
      <c r="M94" s="114" t="str">
        <f ca="1">IFERROR(__xludf.DUMMYFUNCTION("GOOGLETRANSLATE(F95, ""auto"", ""en"")"),"External intruder low potential insider with a low potential")</f>
        <v>External intruder low potential insider with a low potential</v>
      </c>
      <c r="N94" s="114" t="str">
        <f ca="1">IFERROR(__xludf.DUMMYFUNCTION("GOOGLETRANSLATE(H95, ""auto"", ""en"")"),"System software, application software, networking software")</f>
        <v>System software, application software, networking software</v>
      </c>
    </row>
    <row r="95" spans="9:14" ht="409.5">
      <c r="I95" s="168"/>
      <c r="J95" s="114">
        <v>94</v>
      </c>
      <c r="K95" s="114" t="str">
        <f ca="1">IFERROR(__xludf.DUMMYFUNCTION("GOOGLETRANSLATE(B96, ""auto"", ""en"")"),"The threat of unauthorized control synchronization and state")</f>
        <v>The threat of unauthorized control synchronization and state</v>
      </c>
      <c r="L95" s="114" t="str">
        <f ca="1">IFERROR(__xludf.DUMMYFUNCTION("GOOGLETRANSLATE(D96, ""auto"", ""en"")"),"The threat lies in the possibility of changing the violator sequence of actions performed diskreditiruemymi applications that use in their work process control technology based on the current time and status information system (e.g., the current values ​​"&amp;"of global variables, the availability of running processes and others.) Or in settings modification capabilities and changing the mode of operation of industrial robots, leading to interference with the production process and theft of the information stor"&amp;"ed in the memory robots (source code, product parameters and others.).
This threat is based on the weaknesses of the control mechanism of synchronization and state, allowing the offender to make changes to his work at certain intervals of time, or lack o"&amp;"f authentication and authorization mechanisms.
Implementation of this threat can be provided that the offender features:
diskreditiruemogo state control application (steps of the algorithm), or industrial robots;
keep track of times when diskreditiruem"&amp;"oe application suspends its work with global data;
perform at certain times destructive actions (for example, to make changes in the data file, or change the contents of a memory cell)")</f>
        <v>The threat lies in the possibility of changing the violator sequence of actions performed diskreditiruemymi applications that use in their work process control technology based on the current time and status information system (e.g., the current values ​​of global variables, the availability of running processes and others.) Or in settings modification capabilities and changing the mode of operation of industrial robots, leading to interference with the production process and theft of the information stored in the memory robots (source code, product parameters and others.).
This threat is based on the weaknesses of the control mechanism of synchronization and state, allowing the offender to make changes to his work at certain intervals of time, or lack of authentication and authorization mechanisms.
Implementation of this threat can be provided that the offender features:
diskreditiruemogo state control application (steps of the algorithm), or industrial robots;
keep track of times when diskreditiruemoe application suspends its work with global data;
perform at certain times destructive actions (for example, to make changes in the data file, or change the contents of a memory cell)</v>
      </c>
      <c r="M95" s="114" t="str">
        <f ca="1">IFERROR(__xludf.DUMMYFUNCTION("GOOGLETRANSLATE(F96, ""auto"", ""en"")"),"External intruder with an average potential intruder inner middle potential")</f>
        <v>External intruder with an average potential intruder inner middle potential</v>
      </c>
      <c r="N95" s="114" t="str">
        <f ca="1">IFERROR(__xludf.DUMMYFUNCTION("GOOGLETRANSLATE(H96, ""auto"", ""en"")"),"System software, application software, network software, firmware")</f>
        <v>System software, application software, network software, firmware</v>
      </c>
    </row>
    <row r="96" spans="9:14" ht="315">
      <c r="I96" s="168"/>
      <c r="J96" s="114">
        <v>95</v>
      </c>
      <c r="K96" s="114" t="str">
        <f ca="1">IFERROR(__xludf.DUMMYFUNCTION("GOOGLETRANSLATE(B97, ""auto"", ""en"")"),"The threat of unauthorized pointer control")</f>
        <v>The threat of unauthorized pointer control</v>
      </c>
      <c r="L96" s="114" t="str">
        <f ca="1">IFERROR(__xludf.DUMMYFUNCTION("GOOGLETRANSLATE(D97, ""auto"", ""en"")"),"The threat is the possibility of performing malicious intruder arbitrary code on behalf of the application or actuation diskreditiruemogo diskreditiruemogo application in the state of ""denial of service"" by changing pointers to memory locations containi"&amp;"ng the certain data used diskreditiruemym application.
This threat is associated with vulnerabilities in the means of access to the memory and control the integrity of the contents of the memory cells.
Implementation of this threat can be provided that "&amp;"the offender privileges to change the pointers used diskreditiruemym application")</f>
        <v>The threat is the possibility of performing malicious intruder arbitrary code on behalf of the application or actuation diskreditiruemogo diskreditiruemogo application in the state of "denial of service" by changing pointers to memory locations containing the certain data used diskreditiruemym application.
This threat is associated with vulnerabilities in the means of access to the memory and control the integrity of the contents of the memory cells.
Implementation of this threat can be provided that the offender privileges to change the pointers used diskreditiruemym application</v>
      </c>
      <c r="M96" s="114" t="str">
        <f ca="1">IFERROR(__xludf.DUMMYFUNCTION("GOOGLETRANSLATE(F97, ""auto"", ""en"")"),"External intruder with an average potential intruder inner middle potential")</f>
        <v>External intruder with an average potential intruder inner middle potential</v>
      </c>
      <c r="N96" s="114" t="str">
        <f ca="1">IFERROR(__xludf.DUMMYFUNCTION("GOOGLETRANSLATE(H97, ""auto"", ""en"")"),"System software, application software, networking software")</f>
        <v>System software, application software, networking software</v>
      </c>
    </row>
    <row r="97" spans="9:14" ht="255">
      <c r="I97" s="168"/>
      <c r="J97" s="114">
        <v>96</v>
      </c>
      <c r="K97" s="114" t="str">
        <f ca="1">IFERROR(__xludf.DUMMYFUNCTION("GOOGLETRANSLATE(B98, ""auto"", ""en"")"),"The threat of security policy inconsistencies cloud infrastructure elements")</f>
        <v>The threat of security policy inconsistencies cloud infrastructure elements</v>
      </c>
      <c r="L97" s="114" t="str">
        <f ca="1">IFERROR(__xludf.DUMMYFUNCTION("GOOGLETRANSLATE(D98, ""auto"", ""en"")"),"The threat is the possibility of destructive intruder software effects both in terms of suppliers and consumers of cloud services.
This threat is caused by insufficient study security policy controls the cloud infrastructure as a result of a large distri"&amp;"buted cloud infrastructure.
Implementation of this threat can be provided using different security policies, inconsistent with each other (for example, one remedy is to refuse access and the other - to provide access)")</f>
        <v>The threat is the possibility of destructive intruder software effects both in terms of suppliers and consumers of cloud services.
This threat is caused by insufficient study security policy controls the cloud infrastructure as a result of a large distributed cloud infrastructure.
Implementation of this threat can be provided using different security policies, inconsistent with each other (for example, one remedy is to refuse access and the other - to provide access)</v>
      </c>
      <c r="M97" s="114" t="str">
        <f ca="1">IFERROR(__xludf.DUMMYFUNCTION("GOOGLETRANSLATE(F98, ""auto"", ""en"")"),"External intruder low potential insider with a low potential")</f>
        <v>External intruder low potential insider with a low potential</v>
      </c>
      <c r="N97" s="114" t="str">
        <f ca="1">IFERROR(__xludf.DUMMYFUNCTION("GOOGLETRANSLATE(H98, ""auto"", ""en"")"),"System software, cloud system")</f>
        <v>System software, cloud system</v>
      </c>
    </row>
    <row r="98" spans="9:14" ht="315">
      <c r="I98" s="168"/>
      <c r="J98" s="114">
        <v>97</v>
      </c>
      <c r="K98" s="114" t="str">
        <f ca="1">IFERROR(__xludf.DUMMYFUNCTION("GOOGLETRANSLATE(B99, ""auto"", ""en"")"),"The threat of regulatory disharmony in large data access")</f>
        <v>The threat of regulatory disharmony in large data access</v>
      </c>
      <c r="L98" s="114" t="str">
        <f ca="1">IFERROR(__xludf.DUMMYFUNCTION("GOOGLETRANSLATE(D99, ""auto"", ""en"")"),"The threat is the possibility of false unauthorized access to protected information or, on the contrary, the possibility of refusing access to the protected information, legal users due to errors made in delegating their privileges other legitimate users "&amp;"of large data storage.
This threat is due to the lack of measures for delineation and harmonization of access to information of different users in large data warehouse.
Implementation of this threat can be provided using different security policies, inc"&amp;"onsistent with each other (for example, one remedy is to refuse access and the other - to provide access)")</f>
        <v>The threat is the possibility of false unauthorized access to protected information or, on the contrary, the possibility of refusing access to the protected information, legal users due to errors made in delegating their privileges other legitimate users of large data storage.
This threat is due to the lack of measures for delineation and harmonization of access to information of different users in large data warehouse.
Implementation of this threat can be provided using different security policies, inconsistent with each other (for example, one remedy is to refuse access and the other - to provide access)</v>
      </c>
      <c r="M98" s="114" t="str">
        <f ca="1">IFERROR(__xludf.DUMMYFUNCTION("GOOGLETRANSLATE(F99, ""auto"", ""en"")"),"Insider with a low potential")</f>
        <v>Insider with a low potential</v>
      </c>
      <c r="N98" s="114" t="str">
        <f ca="1">IFERROR(__xludf.DUMMYFUNCTION("GOOGLETRANSLATE(H99, ""auto"", ""en"")"),"Storage of large data")</f>
        <v>Storage of large data</v>
      </c>
    </row>
    <row r="99" spans="9:14" ht="409.5">
      <c r="I99" s="168"/>
      <c r="J99" s="114">
        <v>98</v>
      </c>
      <c r="K99" s="114" t="str">
        <f ca="1">IFERROR(__xludf.DUMMYFUNCTION("GOOGLETRANSLATE(B100, ""auto"", ""en"")"),"The threat of open ports detection and identification of the associated increased networking services")</f>
        <v>The threat of open ports detection and identification of the associated increased networking services</v>
      </c>
      <c r="L99" s="114" t="str">
        <f ca="1">IFERROR(__xludf.DUMMYFUNCTION("GOOGLETRANSLATE(D100, ""auto"", ""en"")"),"The threat is the ability to determine the status of network ports violator diskreditiruemoy system (so-called port scanning) to obtain information about the possibility of establishing a connection with diskreditiruemoy system according to the ports, the"&amp;" configuration of the system and protect the installed media, and other information allowing to determine the offender on which ports the destructive effects of the program can be implemented directly, but for some - only by using special techniques bypas"&amp;"s firewalls.
This threat associated with vulnerabilities and configuration errors means firewall and filtering network traffic used in diskreditiruemoy system.
Implementation of this threat is possible on condition that the intruder diskreditiruemoy con"&amp;"nection to the computer network and specialized software that implements the functions of the port scan and analyze network traffic")</f>
        <v>The threat is the ability to determine the status of network ports violator diskreditiruemoy system (so-called port scanning) to obtain information about the possibility of establishing a connection with diskreditiruemoy system according to the ports, the configuration of the system and protect the installed media, and other information allowing to determine the offender on which ports the destructive effects of the program can be implemented directly, but for some - only by using special techniques bypass firewalls.
This threat associated with vulnerabilities and configuration errors means firewall and filtering network traffic used in diskreditiruemoy system.
Implementation of this threat is possible on condition that the intruder diskreditiruemoy connection to the computer network and specialized software that implements the functions of the port scan and analyze network traffic</v>
      </c>
      <c r="M99" s="114" t="str">
        <f ca="1">IFERROR(__xludf.DUMMYFUNCTION("GOOGLETRANSLATE(F100, ""auto"", ""en"")"),"External intruder with a low potential")</f>
        <v>External intruder with a low potential</v>
      </c>
      <c r="N99" s="114" t="str">
        <f ca="1">IFERROR(__xludf.DUMMYFUNCTION("GOOGLETRANSLATE(H100, ""auto"", ""en"")"),"Network node, network software, network traffic")</f>
        <v>Network node, network software, network traffic</v>
      </c>
    </row>
    <row r="100" spans="9:14" ht="345">
      <c r="I100" s="168"/>
      <c r="J100" s="114">
        <v>99</v>
      </c>
      <c r="K100" s="114" t="str">
        <f ca="1">IFERROR(__xludf.DUMMYFUNCTION("GOOGLETRANSLATE(B101, ""auto"", ""en"")"),"Threat Detection hosts")</f>
        <v>Threat Detection hosts</v>
      </c>
      <c r="L100" s="114" t="str">
        <f ca="1">IFERROR(__xludf.DUMMYFUNCTION("GOOGLETRANSLATE(D101, ""auto"", ""en"")"),"The threat is the ability to scan a computer network intruder to identify operating network nodes.
This threat is related to the weakness of mechanisms of networking, providing customers with an open network technical information about network nodes, as "&amp;"well as the vulnerabilities and mistakes means firewall configuration and network traffic filtering used in diskreditiruemoy system.
Implementation of this threat can be provided that the offender diskreditiruemoy connection to the computer network and s"&amp;"pecialized software that implements the functions of network traffic analysis")</f>
        <v>The threat is the ability to scan a computer network intruder to identify operating network nodes.
This threat is related to the weakness of mechanisms of networking, providing customers with an open network technical information about network nodes, as well as the vulnerabilities and mistakes means firewall configuration and network traffic filtering used in diskreditiruemoy system.
Implementation of this threat can be provided that the offender diskreditiruemoy connection to the computer network and specialized software that implements the functions of network traffic analysis</v>
      </c>
      <c r="M100" s="114" t="str">
        <f ca="1">IFERROR(__xludf.DUMMYFUNCTION("GOOGLETRANSLATE(F101, ""auto"", ""en"")"),"External intruder with a low potential")</f>
        <v>External intruder with a low potential</v>
      </c>
      <c r="N100" s="114" t="str">
        <f ca="1">IFERROR(__xludf.DUMMYFUNCTION("GOOGLETRANSLATE(H101, ""auto"", ""en"")"),"Network node, network software, network traffic")</f>
        <v>Network node, network software, network traffic</v>
      </c>
    </row>
    <row r="101" spans="9:14" ht="300">
      <c r="I101" s="168"/>
      <c r="J101" s="114">
        <v>100</v>
      </c>
      <c r="K101" s="114" t="str">
        <f ca="1">IFERROR(__xludf.DUMMYFUNCTION("GOOGLETRANSLATE(B102, ""auto"", ""en"")"),"Bypass threat incorrectly configured authentication mechanisms")</f>
        <v>Bypass threat incorrectly configured authentication mechanisms</v>
      </c>
      <c r="L101" s="114" t="str">
        <f ca="1">IFERROR(__xludf.DUMMYFUNCTION("GOOGLETRANSLATE(D102, ""auto"", ""en"")"),"The threat is the possibility of obtaining the offender privileges on a system without going through the authentication procedure at the expense of performing actions that violate the conditions of the correct operation of the authentication means (for ex"&amp;"ample, data entry unsupported format).
This threat is due in the case of incorrect configuration parameter values ​​authentication means and / or lack of input controls.
Implementation of this threat can be provided for errors in the given values ​​of a"&amp;"uthentication mechanisms settings")</f>
        <v>The threat is the possibility of obtaining the offender privileges on a system without going through the authentication procedure at the expense of performing actions that violate the conditions of the correct operation of the authentication means (for example, data entry unsupported format).
This threat is due in the case of incorrect configuration parameter values ​​authentication means and / or lack of input controls.
Implementation of this threat can be provided for errors in the given values ​​of authentication mechanisms settings</v>
      </c>
      <c r="M101" s="114" t="str">
        <f ca="1">IFERROR(__xludf.DUMMYFUNCTION("GOOGLETRANSLATE(F102, ""auto"", ""en"")"),"External intruder low potential insider with a low potential")</f>
        <v>External intruder low potential insider with a low potential</v>
      </c>
      <c r="N101" s="114" t="str">
        <f ca="1">IFERROR(__xludf.DUMMYFUNCTION("GOOGLETRANSLATE(H102, ""auto"", ""en"")"),"System software, network software")</f>
        <v>System software, network software</v>
      </c>
    </row>
    <row r="102" spans="9:14" ht="270">
      <c r="I102" s="168"/>
      <c r="J102" s="114">
        <v>101</v>
      </c>
      <c r="K102" s="114" t="str">
        <f ca="1">IFERROR(__xludf.DUMMYFUNCTION("GOOGLETRANSLATE(B103, ""auto"", ""en"")"),"The threat of public cloud infrastructure")</f>
        <v>The threat of public cloud infrastructure</v>
      </c>
      <c r="L102" s="114" t="str">
        <f ca="1">IFERROR(__xludf.DUMMYFUNCTION("GOOGLETRANSLATE(D103, ""auto"", ""en"")"),"The threat is the possibility of unauthorized access to protected information of the consumer cloud services from another.
This threat stems from the fact that due to the nature of cloud computing cloud services consumers have to share the same cloud inf"&amp;"rastructure.
Implementation of this threat is possible in case of errors in the separation of the elements of cloud infrastructure between consumers of cloud services, as well as the isolation of their resources and data isolation from each other")</f>
        <v>The threat is the possibility of unauthorized access to protected information of the consumer cloud services from another.
This threat stems from the fact that due to the nature of cloud computing cloud services consumers have to share the same cloud infrastructure.
Implementation of this threat is possible in case of errors in the separation of the elements of cloud infrastructure between consumers of cloud services, as well as the isolation of their resources and data isolation from each other</v>
      </c>
      <c r="M102" s="114" t="str">
        <f ca="1">IFERROR(__xludf.DUMMYFUNCTION("GOOGLETRANSLATE(F103, ""auto"", ""en"")"),"The outer middle potential violator")</f>
        <v>The outer middle potential violator</v>
      </c>
      <c r="N102" s="114" t="str">
        <f ca="1">IFERROR(__xludf.DUMMYFUNCTION("GOOGLETRANSLATE(H103, ""auto"", ""en"")"),"file system objects, the hardware, the cloud server")</f>
        <v>file system objects, the hardware, the cloud server</v>
      </c>
    </row>
    <row r="103" spans="9:14" ht="315">
      <c r="I103" s="168"/>
      <c r="J103" s="114">
        <v>102</v>
      </c>
      <c r="K103" s="114" t="str">
        <f ca="1">IFERROR(__xludf.DUMMYFUNCTION("GOOGLETRANSLATE(B104, ""auto"", ""en"")"),"mediated Threat Management Group programs via the shared data")</f>
        <v>mediated Threat Management Group programs via the shared data</v>
      </c>
      <c r="L103" s="114" t="str">
        <f ca="1">IFERROR(__xludf.DUMMYFUNCTION("GOOGLETRANSLATE(D104, ""auto"", ""en"")"),"The threat is the possibility of changes in indirect infringer algorithm of the group of programs that use the shared data at the same time, through the control over the interception of one of them (the memory cell, global variables, configuration files, "&amp;"etc.).
This threat is caused by the presence of weaknesses in the control mechanism introduced changes in the general data of each of the programs in the group.
Implementation of this threat is possible in case of a successful intercept intruder control"&amp;" over one of the programs in the group of programs that use common data")</f>
        <v>The threat is the possibility of changes in indirect infringer algorithm of the group of programs that use the shared data at the same time, through the control over the interception of one of them (the memory cell, global variables, configuration files, etc.).
This threat is caused by the presence of weaknesses in the control mechanism introduced changes in the general data of each of the programs in the group.
Implementation of this threat is possible in case of a successful intercept intruder control over one of the programs in the group of programs that use common data</v>
      </c>
      <c r="M103" s="114" t="str">
        <f ca="1">IFERROR(__xludf.DUMMYFUNCTION("GOOGLETRANSLATE(F104, ""auto"", ""en"")"),"External intruder with an average potential intruder inner middle potential")</f>
        <v>External intruder with an average potential intruder inner middle potential</v>
      </c>
      <c r="N103" s="114" t="str">
        <f ca="1">IFERROR(__xludf.DUMMYFUNCTION("GOOGLETRANSLATE(H104, ""auto"", ""en"")"),"System software, application software, networking software")</f>
        <v>System software, application software, networking software</v>
      </c>
    </row>
    <row r="104" spans="9:14" ht="409.5">
      <c r="I104" s="168"/>
      <c r="J104" s="114">
        <v>103</v>
      </c>
      <c r="K104" s="114" t="str">
        <f ca="1">IFERROR(__xludf.DUMMYFUNCTION("GOOGLETRANSLATE(B105, ""auto"", ""en"")"),"Threat definitions of types of objects of protection")</f>
        <v>Threat definitions of types of objects of protection</v>
      </c>
      <c r="L104" s="114" t="str">
        <f ca="1">IFERROR(__xludf.DUMMYFUNCTION("GOOGLETRANSLATE(D105, ""auto"", ""en"")"),"The threat is the possibility of wrongdoing output diskreditiruemoy analysis system using a method to determine the exact values ​​of the parameters and properties inherent uniquely diskreditiruemoy system (this method is known as «fingerprinting», from E"&amp;"nglish. ""Fingerprinting""). Using this method does not cause any direct damage to diskreditiruemoy system. However, the information gathered in this way, allows an attacker to identify weaknesses diskreditiruemoy system that can be used in the future for"&amp;" the implementation of other threats.
This threat is due to errors in the parameters means firewall configuration, as well as the lack of control of input and output mechanisms.
Implementation of this threat is possible in case of the offender details o"&amp;"n the relationship with the configuration of output data diskreditiruemoy system (software documentation, data transmission standards, specifications, etc.)")</f>
        <v>The threat is the possibility of wrongdoing output diskreditiruemoy analysis system using a method to determine the exact values ​​of the parameters and properties inherent uniquely diskreditiruemoy system (this method is known as «fingerprinting», from English. "Fingerprinting"). Using this method does not cause any direct damage to diskreditiruemoy system. However, the information gathered in this way, allows an attacker to identify weaknesses diskreditiruemoy system that can be used in the future for the implementation of other threats.
This threat is due to errors in the parameters means firewall configuration, as well as the lack of control of input and output mechanisms.
Implementation of this threat is possible in case of the offender details on the relationship with the configuration of output data diskreditiruemoy system (software documentation, data transmission standards, specifications, etc.)</v>
      </c>
      <c r="M104" s="114" t="str">
        <f ca="1">IFERROR(__xludf.DUMMYFUNCTION("GOOGLETRANSLATE(F105, ""auto"", ""en"")"),"External intruder with a low potential")</f>
        <v>External intruder with a low potential</v>
      </c>
      <c r="N104" s="114" t="str">
        <f ca="1">IFERROR(__xludf.DUMMYFUNCTION("GOOGLETRANSLATE(H105, ""auto"", ""en"")"),"Network node, network software, network traffic")</f>
        <v>Network node, network software, network traffic</v>
      </c>
    </row>
    <row r="105" spans="9:14" ht="405">
      <c r="I105" s="168"/>
      <c r="J105" s="114">
        <v>104</v>
      </c>
      <c r="K105" s="114" t="str">
        <f ca="1">IFERROR(__xludf.DUMMYFUNCTION("GOOGLETRANSLATE(B106, ""auto"", ""en"")"),"The threat of determining the topology of the computer network")</f>
        <v>The threat of determining the topology of the computer network</v>
      </c>
      <c r="L105" s="114" t="str">
        <f ca="1">IFERROR(__xludf.DUMMYFUNCTION("GOOGLETRANSLATE(D106, ""auto"", ""en"")"),"The threat is the ability to determine the status of network nodes violator diskreditiruemoy system (so-called network scan) to obtain information about the topology diskreditiruemoy computer network that may be used in the future when trying to implement"&amp;" other threats.
This threat is related to the weakness of mechanisms of networking, providing customers with an open network technical information about network nodes, as well as the vulnerability of firewall (the algorithm of the configuration of filter"&amp;"ing rules and network traffic).
Implementation of this threat is possible in the case of the offender is able to connect to the study of computer networks and the availability of specialized software that implements the function of network traffic analys"&amp;"is")</f>
        <v>The threat is the ability to determine the status of network nodes violator diskreditiruemoy system (so-called network scan) to obtain information about the topology diskreditiruemoy computer network that may be used in the future when trying to implement other threats.
This threat is related to the weakness of mechanisms of networking, providing customers with an open network technical information about network nodes, as well as the vulnerability of firewall (the algorithm of the configuration of filtering rules and network traffic).
Implementation of this threat is possible in the case of the offender is able to connect to the study of computer networks and the availability of specialized software that implements the function of network traffic analysis</v>
      </c>
      <c r="M105" s="114" t="str">
        <f ca="1">IFERROR(__xludf.DUMMYFUNCTION("GOOGLETRANSLATE(F106, ""auto"", ""en"")"),"External intruder with a low potential")</f>
        <v>External intruder with a low potential</v>
      </c>
      <c r="N105" s="114" t="str">
        <f ca="1">IFERROR(__xludf.DUMMYFUNCTION("GOOGLETRANSLATE(H106, ""auto"", ""en"")"),"Network node, network software, network traffic")</f>
        <v>Network node, network software, network traffic</v>
      </c>
    </row>
    <row r="106" spans="9:14" ht="210">
      <c r="I106" s="168"/>
      <c r="J106" s="114">
        <v>105</v>
      </c>
      <c r="K106" s="114" t="str">
        <f ca="1">IFERROR(__xludf.DUMMYFUNCTION("GOOGLETRANSLATE(B107, ""auto"", ""en"")"),"failure threat to load the input data of unknown format large data storage")</f>
        <v>failure threat to load the input data of unknown format large data storage</v>
      </c>
      <c r="L106" s="114" t="str">
        <f ca="1">IFERROR(__xludf.DUMMYFUNCTION("GOOGLETRANSLATE(D107, ""auto"", ""en"")"),"The threat is the possibility of failure of large data storage in the reception of the input data of unknown format of the legitimate user.
This threat is caused by lack of storage for large data independent mechanism (automatic) adaptation to new data f"&amp;"ormats.
Implementation of this threat can be subject to a request for loading in the storage of the input data of unknown format")</f>
        <v>The threat is the possibility of failure of large data storage in the reception of the input data of unknown format of the legitimate user.
This threat is caused by lack of storage for large data independent mechanism (automatic) adaptation to new data formats.
Implementation of this threat can be subject to a request for loading in the storage of the input data of unknown format</v>
      </c>
      <c r="M106" s="114" t="str">
        <f ca="1">IFERROR(__xludf.DUMMYFUNCTION("GOOGLETRANSLATE(F107, ""auto"", ""en"")"),"Insider with a low potential")</f>
        <v>Insider with a low potential</v>
      </c>
      <c r="N106" s="114" t="str">
        <f ca="1">IFERROR(__xludf.DUMMYFUNCTION("GOOGLETRANSLATE(H107, ""auto"", ""en"")"),"Storage of large data, metadata,")</f>
        <v>Storage of large data, metadata,</v>
      </c>
    </row>
    <row r="107" spans="9:14" ht="285">
      <c r="I107" s="168"/>
      <c r="J107" s="114">
        <v>106</v>
      </c>
      <c r="K107" s="114" t="str">
        <f ca="1">IFERROR(__xludf.DUMMYFUNCTION("GOOGLETRANSLATE(B108, ""auto"", ""en"")"),"The threat of denial of service data storage system supercomputer")</f>
        <v>The threat of denial of service data storage system supercomputer</v>
      </c>
      <c r="L107" s="114" t="str">
        <f ca="1">IFERROR(__xludf.DUMMYFUNCTION("GOOGLETRANSLATE(D108, ""auto"", ""en"")"),"The threat is the possibility of a significant slowdown of the terminal sessions for all users of a supercomputer, until a state of all supercomputer ""denial of service"" in excess of the maximum achievable load on the parallel file system supercomputer."&amp;"
This threat is caused by a significant increase in the number and volume of data stored on the drive for some computing tasks.
Implementation of this threat can be subject to intense file IO subsystem in the cluster file supercomputer, based on the use"&amp;" of a parallel file system")</f>
        <v>The threat is the possibility of a significant slowdown of the terminal sessions for all users of a supercomputer, until a state of all supercomputer "denial of service" in excess of the maximum achievable load on the parallel file system supercomputer.
This threat is caused by a significant increase in the number and volume of data stored on the drive for some computing tasks.
Implementation of this threat can be subject to intense file IO subsystem in the cluster file supercomputer, based on the use of a parallel file system</v>
      </c>
      <c r="M107" s="114" t="str">
        <f ca="1">IFERROR(__xludf.DUMMYFUNCTION("GOOGLETRANSLATE(F108, ""auto"", ""en"")"),"Insider with a low potential")</f>
        <v>Insider with a low potential</v>
      </c>
      <c r="N107" s="114" t="str">
        <f ca="1">IFERROR(__xludf.DUMMYFUNCTION("GOOGLETRANSLATE(H108, ""auto"", ""en"")"),"data storage system supercomputer")</f>
        <v>data storage system supercomputer</v>
      </c>
    </row>
    <row r="108" spans="9:14" ht="409.5">
      <c r="I108" s="168"/>
      <c r="J108" s="114">
        <v>107</v>
      </c>
      <c r="K108" s="114" t="str">
        <f ca="1">IFERROR(__xludf.DUMMYFUNCTION("GOOGLETRANSLATE(B109, ""auto"", ""en"")"),"Threat disable control probes")</f>
        <v>Threat disable control probes</v>
      </c>
      <c r="L108" s="114" t="str">
        <f ca="1">IFERROR(__xludf.DUMMYFUNCTION("GOOGLETRANSLATE(D109, ""auto"", ""en"")"),"The threat lies in the possibility of providing intruder information isolation by channel interrupt security communication with the control sensors, monitoring the parameters of the system state, or abnormality in the sensors themselves. The system ceases"&amp;" to respond to both security incidents (if offline sensors were part of the security system, e.g., motion sensors) as well as to other types of incidents (e.g., disabling fire alarm sensors, pressure increase in the hydraulic units and others.).
This thr"&amp;"eat is caused by weakness of information security measures of automated process control systems, as well as the presence of vulnerabilities in the software that implements these measures.
Implementation of this threat can be provided access (physical or "&amp;"software) to the lines of connection with the security system control sensors or by sensors")</f>
        <v>The threat lies in the possibility of providing intruder information isolation by channel interrupt security communication with the control sensors, monitoring the parameters of the system state, or abnormality in the sensors themselves. The system ceases to respond to both security incidents (if offline sensors were part of the security system, e.g., motion sensors) as well as to other types of incidents (e.g., disabling fire alarm sensors, pressure increase in the hydraulic units and others.).
This threat is caused by weakness of information security measures of automated process control systems, as well as the presence of vulnerabilities in the software that implements these measures.
Implementation of this threat can be provided access (physical or software) to the lines of connection with the security system control sensors or by sensors</v>
      </c>
      <c r="M108" s="114" t="str">
        <f ca="1">IFERROR(__xludf.DUMMYFUNCTION("GOOGLETRANSLATE(F109, ""auto"", ""en"")"),"External attackers with a high potential insider with a low potential")</f>
        <v>External attackers with a high potential insider with a low potential</v>
      </c>
      <c r="N108" s="114" t="str">
        <f ca="1">IFERROR(__xludf.DUMMYFUNCTION("GOOGLETRANSLATE(H109, ""auto"", ""en"")"),"System Software")</f>
        <v>System Software</v>
      </c>
    </row>
    <row r="109" spans="9:14" ht="409.5">
      <c r="I109" s="168"/>
      <c r="J109" s="114">
        <v>108</v>
      </c>
      <c r="K109" s="114" t="str">
        <f ca="1">IFERROR(__xludf.DUMMYFUNCTION("GOOGLETRANSLATE(B110, ""auto"", ""en"")"),"The threat of an update error hypervisor")</f>
        <v>The threat of an update error hypervisor</v>
      </c>
      <c r="L109" s="114" t="str">
        <f ca="1">IFERROR(__xludf.DUMMYFUNCTION("GOOGLETRANSLATE(D110, ""auto"", ""en"")"),"The threat is the possibility of discrediting the offender functioning hypervisor-based security mechanisms to prevent unauthorized access to a virtual machine image, due to errors of its renovation.
This threat is due to the dependence of the functionin"&amp;"g of each virtual device and each subject access virtualized and the entire virtual infrastructure (or parts of it, if more than one hypervisor) hypervisor efficiency.
Implementation of this threat can be subject to errors in the process of updating the "&amp;"hypervisor:
failures in the process of updating it;
updates, during which introduced new bugs in the hypervisor code;
updates, during which the hypervisor embedded software code that calls the hypervisor incompatibility with its operational environment"&amp;";
other information security incidents")</f>
        <v>The threat is the possibility of discrediting the offender functioning hypervisor-based security mechanisms to prevent unauthorized access to a virtual machine image, due to errors of its renovation.
This threat is due to the dependence of the functioning of each virtual device and each subject access virtualized and the entire virtual infrastructure (or parts of it, if more than one hypervisor) hypervisor efficiency.
Implementation of this threat can be subject to errors in the process of updating the hypervisor:
failures in the process of updating it;
updates, during which introduced new bugs in the hypervisor code;
updates, during which the hypervisor embedded software code that calls the hypervisor incompatibility with its operational environment;
other information security incidents</v>
      </c>
      <c r="M109" s="114" t="str">
        <f ca="1">IFERROR(__xludf.DUMMYFUNCTION("GOOGLETRANSLATE(F110, ""auto"", ""en"")"),"Insider with a low potential")</f>
        <v>Insider with a low potential</v>
      </c>
      <c r="N109" s="114" t="str">
        <f ca="1">IFERROR(__xludf.DUMMYFUNCTION("GOOGLETRANSLATE(H110, ""auto"", ""en"")"),"System software, the hypervisor")</f>
        <v>System software, the hypervisor</v>
      </c>
    </row>
    <row r="110" spans="9:14" ht="360">
      <c r="I110" s="168"/>
      <c r="J110" s="114">
        <v>109</v>
      </c>
      <c r="K110" s="114" t="str">
        <f ca="1">IFERROR(__xludf.DUMMYFUNCTION("GOOGLETRANSLATE(B111, ""auto"", ""en"")"),"busting threat of all settings and application settings")</f>
        <v>busting threat of all settings and application settings</v>
      </c>
      <c r="L110" s="114" t="str">
        <f ca="1">IFERROR(__xludf.DUMMYFUNCTION("GOOGLETRANSLATE(D111, ""auto"", ""en"")"),"The threat is the possibility of obtaining the offender access to additional functionality hidden (details of which had not been published by the developer) or bring the system into a state of ""denial of service"" when setting the offender some configura"&amp;"tion parameters of the program, reaching such parameter values ​​by trying all possible combinations.
This threat is caused by software vulnerabilities, manifested by its irregular configuration.
Implementation of this threat can be provided that the of"&amp;"fender privileges to change the software configuration. Implementation of this threat, unlike other similar threats, the offender acts ""blindly"" - a simple sorting through all possible combinations")</f>
        <v>The threat is the possibility of obtaining the offender access to additional functionality hidden (details of which had not been published by the developer) or bring the system into a state of "denial of service" when setting the offender some configuration parameters of the program, reaching such parameter values ​​by trying all possible combinations.
This threat is caused by software vulnerabilities, manifested by its irregular configuration.
Implementation of this threat can be provided that the offender privileges to change the software configuration. Implementation of this threat, unlike other similar threats, the offender acts "blindly" - a simple sorting through all possible combinations</v>
      </c>
      <c r="M110" s="114" t="str">
        <f ca="1">IFERROR(__xludf.DUMMYFUNCTION("GOOGLETRANSLATE(F111, ""auto"", ""en"")"),"External intruder with an average potential intruder inner middle potential")</f>
        <v>External intruder with an average potential intruder inner middle potential</v>
      </c>
      <c r="N110" s="114" t="str">
        <f ca="1">IFERROR(__xludf.DUMMYFUNCTION("GOOGLETRANSLATE(H111, ""auto"", ""en"")"),"System software, application software, network software, firmware, registry")</f>
        <v>System software, application software, network software, firmware, registry</v>
      </c>
    </row>
    <row r="111" spans="9:14" ht="270">
      <c r="I111" s="168"/>
      <c r="J111" s="114">
        <v>110</v>
      </c>
      <c r="K111" s="114" t="str">
        <f ca="1">IFERROR(__xludf.DUMMYFUNCTION("GOOGLETRANSLATE(B112, ""auto"", ""en"")"),"The threat of overloading of grid computing system tasks")</f>
        <v>The threat of overloading of grid computing system tasks</v>
      </c>
      <c r="L111" s="114" t="str">
        <f ca="1">IFERROR(__xludf.DUMMYFUNCTION("GOOGLETRANSLATE(D112, ""auto"", ""en"")"),"The threat is the ability to reduce bandwidth and resource centers, if a large number of jobs by one user (the offender) accidentally or intentionally, it may make it impossible for the formulation of tasks by other users of grid system in place to perfor"&amp;"m.
This threat is due to the weaknesses of control measures in the grid system for the amount of computing tasks, users run grid systems.
Implementation of this threat is possible on condition that the infringer on the queuing of tasks to perform grid s"&amp;"ystem")</f>
        <v>The threat is the ability to reduce bandwidth and resource centers, if a large number of jobs by one user (the offender) accidentally or intentionally, it may make it impossible for the formulation of tasks by other users of grid system in place to perform.
This threat is due to the weaknesses of control measures in the grid system for the amount of computing tasks, users run grid systems.
Implementation of this threat is possible on condition that the infringer on the queuing of tasks to perform grid system</v>
      </c>
      <c r="M111" s="114" t="str">
        <f ca="1">IFERROR(__xludf.DUMMYFUNCTION("GOOGLETRANSLATE(F112, ""auto"", ""en"")"),"Insider with a low potential")</f>
        <v>Insider with a low potential</v>
      </c>
      <c r="N111" s="114" t="str">
        <f ca="1">IFERROR(__xludf.DUMMYFUNCTION("GOOGLETRANSLATE(H112, ""auto"", ""en"")"),"Resource Centers grid system")</f>
        <v>Resource Centers grid system</v>
      </c>
    </row>
    <row r="112" spans="9:14" ht="409.5">
      <c r="I112" s="168"/>
      <c r="J112" s="114">
        <v>111</v>
      </c>
      <c r="K112" s="114" t="str">
        <f ca="1">IFERROR(__xludf.DUMMYFUNCTION("GOOGLETRANSLATE(B113, ""auto"", ""en"")"),"The threat data for hidden channels")</f>
        <v>The threat data for hidden channels</v>
      </c>
      <c r="L112" s="114" t="str">
        <f ca="1">IFERROR(__xludf.DUMMYFUNCTION("GOOGLETRANSLATE(D113, ""auto"", ""en"")"),"The threat is the possibility of the perpetrator of unlawful withdrawal of protected information from the system, as well as the transfer of control commands by means of its non-standard (undetectable, hidden) accommodation legitimately transferred over a"&amp;" network (or stored on a transferable media) open data through its concealment for office protocols, hiding in other data stream (steganography) using hidden pixels ( ""pixel tracking""), etc.
This threat is caused by lack of information protection again"&amp;"st leakage, as well as control data streams.
Realization of this is possible with the threat:
presence in the infringer rights diskreditiruemoy system to install special software that implements the functions of the introduction into data packets genera"&amp;"ted for transmission to the system, its own information;
Access to the data channels;
a user visits a site on the Internet and opening emails containing hidden pixels")</f>
        <v>The threat is the possibility of the perpetrator of unlawful withdrawal of protected information from the system, as well as the transfer of control commands by means of its non-standard (undetectable, hidden) accommodation legitimately transferred over a network (or stored on a transferable media) open data through its concealment for office protocols, hiding in other data stream (steganography) using hidden pixels ( "pixel tracking"), etc.
This threat is caused by lack of information protection against leakage, as well as control data streams.
Realization of this is possible with the threat:
presence in the infringer rights diskreditiruemoy system to install special software that implements the functions of the introduction into data packets generated for transmission to the system, its own information;
Access to the data channels;
a user visits a site on the Internet and opening emails containing hidden pixels</v>
      </c>
      <c r="M112" s="114" t="str">
        <f ca="1">IFERROR(__xludf.DUMMYFUNCTION("GOOGLETRANSLATE(F113, ""auto"", ""en"")"),"External intruder with an average potential intruder inner middle potential")</f>
        <v>External intruder with an average potential intruder inner middle potential</v>
      </c>
      <c r="N112" s="114" t="str">
        <f ca="1">IFERROR(__xludf.DUMMYFUNCTION("GOOGLETRANSLATE(H113, ""auto"", ""en"")"),"Network node, network software, network traffic")</f>
        <v>Network node, network software, network traffic</v>
      </c>
    </row>
    <row r="113" spans="9:14" ht="360">
      <c r="I113" s="168"/>
      <c r="J113" s="114">
        <v>112</v>
      </c>
      <c r="K113" s="114" t="str">
        <f ca="1">IFERROR(__xludf.DUMMYFUNCTION("GOOGLETRANSLATE(B114, ""auto"", ""en"")"),"The threat of transfer of forbidden commands to the equipment with computer numerical control")</f>
        <v>The threat of transfer of forbidden commands to the equipment with computer numerical control</v>
      </c>
      <c r="L113" s="114" t="str">
        <f ca="1">IFERROR(__xludf.DUMMYFUNCTION("GOOGLETRANSLATE(D114, ""auto"", ""en"")"),"The threat lies in the possibility of damage to the violator of the actuators, and the workpiece (or) the processing equipment tool with numerical control by transmitting to it commands, leading to the displacement of the machining tool of tolerance (i.e."&amp;", commands are denied for equipment with numerical control) .
This threat is caused by weakness of measures to protect equipment with numerical control by performing the forbidden commands.
Implementation of this threat is possible in the presence of th"&amp;"e offender privilege to transmit commands to the equipment with computer numerical control, or the possibility of changing commands transmitted legal user")</f>
        <v>The threat lies in the possibility of damage to the violator of the actuators, and the workpiece (or) the processing equipment tool with numerical control by transmitting to it commands, leading to the displacement of the machining tool of tolerance (i.e., commands are denied for equipment with numerical control) .
This threat is caused by weakness of measures to protect equipment with numerical control by performing the forbidden commands.
Implementation of this threat is possible in the presence of the offender privilege to transmit commands to the equipment with computer numerical control, or the possibility of changing commands transmitted legal user</v>
      </c>
      <c r="M113" s="114" t="str">
        <f ca="1">IFERROR(__xludf.DUMMYFUNCTION("GOOGLETRANSLATE(F114, ""auto"", ""en"")"),"Insider with a low potential")</f>
        <v>Insider with a low potential</v>
      </c>
      <c r="N113" s="114" t="str">
        <f ca="1">IFERROR(__xludf.DUMMYFUNCTION("GOOGLETRANSLATE(H114, ""auto"", ""en"")"),"System software, application software")</f>
        <v>System software, application software</v>
      </c>
    </row>
    <row r="114" spans="9:14" ht="300">
      <c r="I114" s="168"/>
      <c r="J114" s="114">
        <v>113</v>
      </c>
      <c r="K114" s="114" t="str">
        <f ca="1">IFERROR(__xludf.DUMMYFUNCTION("GOOGLETRANSLATE(B115, ""auto"", ""en"")"),"Threat rebooting the hardware and software and hardware computing")</f>
        <v>Threat rebooting the hardware and software and hardware computing</v>
      </c>
      <c r="L114" s="114" t="str">
        <f ca="1">IFERROR(__xludf.DUMMYFUNCTION("GOOGLETRANSLATE(D115, ""auto"", ""en"")"),"The threat is reset user capabilities (intruder) state memory (memory reset) by accidental or intentional reload of individual devices, units or systems in general.
This threat is caused by memory property reset its state when you turn off and restart.
"&amp;"Implementation of this threat is possible both in hardware (pressing) and software (locally or remotely) under the following conditions:
the presence of open sessions of system users;
the presence of the offender's rights in the system (or physical abil"&amp;"ity) to carry out a forced reboot")</f>
        <v>The threat is reset user capabilities (intruder) state memory (memory reset) by accidental or intentional reload of individual devices, units or systems in general.
This threat is caused by memory property reset its state when you turn off and restart.
Implementation of this threat is possible both in hardware (pressing) and software (locally or remotely) under the following conditions:
the presence of open sessions of system users;
the presence of the offender's rights in the system (or physical ability) to carry out a forced reboot</v>
      </c>
      <c r="M114" s="114" t="str">
        <f ca="1">IFERROR(__xludf.DUMMYFUNCTION("GOOGLETRANSLATE(F115, ""auto"", ""en"")"),"External intruder low potential insider with a low potential")</f>
        <v>External intruder low potential insider with a low potential</v>
      </c>
      <c r="N114" s="114" t="str">
        <f ca="1">IFERROR(__xludf.DUMMYFUNCTION("GOOGLETRANSLATE(H115, ""auto"", ""en"")"),"System software, hardware,")</f>
        <v>System software, hardware,</v>
      </c>
    </row>
    <row r="115" spans="9:14" ht="409.5">
      <c r="I115" s="168"/>
      <c r="J115" s="114">
        <v>114</v>
      </c>
      <c r="K115" s="114" t="str">
        <f ca="1">IFERROR(__xludf.DUMMYFUNCTION("GOOGLETRANSLATE(B116, ""auto"", ""en"")"),"The threat of overflow of integer variables")</f>
        <v>The threat of overflow of integer variables</v>
      </c>
      <c r="L115" s="114" t="str">
        <f ca="1">IFERROR(__xludf.DUMMYFUNCTION("GOOGLETRANSLATE(D116, ""auto"", ""en"")"),"The threat lies in the possibility of bringing the violator diskreditiruemogo application to malfunction by supplying at its input interfaces unsupported format data or perform transactions with it, as a result of which data will be obtained diskreditirue"&amp;"mym unsupported format application.
This threat is due to vulnerabilities of software associated with insufficient check of the correctness of such applications the input data and the fact that the operators of any software capable of correctly handle on"&amp;"ly certain types of data (e.g., only integers or positive numbers only).
Implementation of this threat can be provided that the offender:
information on the range of supported input formats diskreditiruemym application (or processed) data;
possible int"&amp;"eractions with input interface application diskreditiruemogo")</f>
        <v>The threat lies in the possibility of bringing the violator diskreditiruemogo application to malfunction by supplying at its input interfaces unsupported format data or perform transactions with it, as a result of which data will be obtained diskreditiruemym unsupported format application.
This threat is due to vulnerabilities of software associated with insufficient check of the correctness of such applications the input data and the fact that the operators of any software capable of correctly handle only certain types of data (e.g., only integers or positive numbers only).
Implementation of this threat can be provided that the offender:
information on the range of supported input formats diskreditiruemym application (or processed) data;
possible interactions with input interface application diskreditiruemogo</v>
      </c>
      <c r="M115" s="114" t="str">
        <f ca="1">IFERROR(__xludf.DUMMYFUNCTION("GOOGLETRANSLATE(F116, ""auto"", ""en"")"),"External intruder with an average potential intruder inner middle potential")</f>
        <v>External intruder with an average potential intruder inner middle potential</v>
      </c>
      <c r="N115" s="114" t="str">
        <f ca="1">IFERROR(__xludf.DUMMYFUNCTION("GOOGLETRANSLATE(H116, ""auto"", ""en"")"),"System software, application software, networking software")</f>
        <v>System software, application software, networking software</v>
      </c>
    </row>
    <row r="116" spans="9:14" ht="409.5">
      <c r="I116" s="168"/>
      <c r="J116" s="114">
        <v>115</v>
      </c>
      <c r="K116" s="114" t="str">
        <f ca="1">IFERROR(__xludf.DUMMYFUNCTION("GOOGLETRANSLATE(B117, ""auto"", ""en"")"),"The threat of interception input and output information to the peripherals")</f>
        <v>The threat of interception input and output information to the peripherals</v>
      </c>
      <c r="L116" s="114" t="str">
        <f ca="1">IFERROR(__xludf.DUMMYFUNCTION("GOOGLETRANSLATE(D117, ""auto"", ""en"")"),"The threat lies in the possibility of unauthorized intruder access information input and output to the peripheral device by intercepting data processed by controllers of peripheral devices.
This threat is due to insufficient information protection measur"&amp;"es against leakage control and data flows, as well as the inability of the protection input and output to the peripheral device information via cryptographic means (since presentation of information to users of the system must be in an accessible form for"&amp;" understanding).
Implementation of this threat can be provided that the offender installation privileges and run specialized malware realizing functions ""keyloggers"" (for the offender passwords), virtual printer driver (interception documents containin"&amp;"g protected information), and others.")</f>
        <v>The threat lies in the possibility of unauthorized intruder access information input and output to the peripheral device by intercepting data processed by controllers of peripheral devices.
This threat is due to insufficient information protection measures against leakage control and data flows, as well as the inability of the protection input and output to the peripheral device information via cryptographic means (since presentation of information to users of the system must be in an accessible form for understanding).
Implementation of this threat can be provided that the offender installation privileges and run specialized malware realizing functions "keyloggers" (for the offender passwords), virtual printer driver (interception documents containing protected information), and others.</v>
      </c>
      <c r="M116" s="114" t="str">
        <f ca="1">IFERROR(__xludf.DUMMYFUNCTION("GOOGLETRANSLATE(F117, ""auto"", ""en"")"),"External intruder low potential insider with a low potential")</f>
        <v>External intruder low potential insider with a low potential</v>
      </c>
      <c r="N116" s="114" t="str">
        <f ca="1">IFERROR(__xludf.DUMMYFUNCTION("GOOGLETRANSLATE(H117, ""auto"", ""en"")"),"System software, application software, hardware,")</f>
        <v>System software, application software, hardware,</v>
      </c>
    </row>
    <row r="117" spans="9:14" ht="409.5">
      <c r="I117" s="168"/>
      <c r="J117" s="114">
        <v>116</v>
      </c>
      <c r="K117" s="114" t="str">
        <f ca="1">IFERROR(__xludf.DUMMYFUNCTION("GOOGLETRANSLATE(B118, ""auto"", ""en"")"),"eavesdropping threat sent over a computer network")</f>
        <v>eavesdropping threat sent over a computer network</v>
      </c>
      <c r="L117" s="114" t="str">
        <f ca="1">IFERROR(__xludf.DUMMYFUNCTION("GOOGLETRANSLATE(D118, ""auto"", ""en"")"),"The threat is the possibility of wrongdoing unauthorized access to the network traffic diskreditiruemoy computer network in a passive (sometimes active) mode (i.e. ""listening network traffic"") for collecting and analyzing information which may be used l"&amp;"ater to implement other threats remaining in the implementation of this threat invisible (covert) recipient of intercepted data. Additionally, an intruder may conduct studies of other types of data streams, e.g., radio.
This threat is caused by weakness "&amp;"of mechanisms of networking, providing third-party users to open data diskreditiruemoy system and configuration errors of network software.
Implementation of this threat is possible under the following conditions:
the presence of the intruder access to "&amp;"the computer network diskreditiruemoy;
inability technologies are implemented via data transmission, to prevent the possibility of listening to the data stream secretive")</f>
        <v>The threat is the possibility of wrongdoing unauthorized access to the network traffic diskreditiruemoy computer network in a passive (sometimes active) mode (i.e. "listening network traffic") for collecting and analyzing information which may be used later to implement other threats remaining in the implementation of this threat invisible (covert) recipient of intercepted data. Additionally, an intruder may conduct studies of other types of data streams, e.g., radio.
This threat is caused by weakness of mechanisms of networking, providing third-party users to open data diskreditiruemoy system and configuration errors of network software.
Implementation of this threat is possible under the following conditions:
the presence of the intruder access to the computer network diskreditiruemoy;
inability technologies are implemented via data transmission, to prevent the possibility of listening to the data stream secretive</v>
      </c>
      <c r="M117" s="114" t="str">
        <f ca="1">IFERROR(__xludf.DUMMYFUNCTION("GOOGLETRANSLATE(F118, ""auto"", ""en"")"),"External intruder with a low potential")</f>
        <v>External intruder with a low potential</v>
      </c>
      <c r="N117" s="114" t="str">
        <f ca="1">IFERROR(__xludf.DUMMYFUNCTION("GOOGLETRANSLATE(H118, ""auto"", ""en"")"),"A network node, network traffic")</f>
        <v>A network node, network traffic</v>
      </c>
    </row>
    <row r="118" spans="9:14" ht="409.5">
      <c r="I118" s="168"/>
      <c r="J118" s="114">
        <v>117</v>
      </c>
      <c r="K118" s="114" t="str">
        <f ca="1">IFERROR(__xludf.DUMMYFUNCTION("GOOGLETRANSLATE(B119, ""auto"", ""en"")"),"The threat of interception privileged stream")</f>
        <v>The threat of interception privileged stream</v>
      </c>
      <c r="L118" s="114" t="str">
        <f ca="1">IFERROR(__xludf.DUMMYFUNCTION("GOOGLETRANSLATE(D119, ""auto"", ""en"")"),"The threat lies in the possibility of the unauthorized intruder access to a data stream generated with the application of additional privileges (to privileged data stream) by a synchronous (call the privileged function that returns an incorrect value) or "&amp;"asynchronous (create callback pointers manipulation, etc.) the destructive effects of the program on it.
This threat is due to vulnerabilities of software, in their work using code sections executable with additional rights inheritable preferred flow pos"&amp;"ed (presence of error pointers, incorrectly free memory, etc.).
Implementation of this threat is possible under the following conditions:
diskreditiruemom in application code, there are areas that require execution with the rights extend beyond the righ"&amp;"ts of ordinary users;
violator has privileges that allow to make changes in the input data diskreditiruemogo applications")</f>
        <v>The threat lies in the possibility of the unauthorized intruder access to a data stream generated with the application of additional privileges (to privileged data stream) by a synchronous (call the privileged function that returns an incorrect value) or asynchronous (create callback pointers manipulation, etc.) the destructive effects of the program on it.
This threat is due to vulnerabilities of software, in their work using code sections executable with additional rights inheritable preferred flow posed (presence of error pointers, incorrectly free memory, etc.).
Implementation of this threat is possible under the following conditions:
diskreditiruemom in application code, there are areas that require execution with the rights extend beyond the rights of ordinary users;
violator has privileges that allow to make changes in the input data diskreditiruemogo applications</v>
      </c>
      <c r="M118" s="114" t="str">
        <f ca="1">IFERROR(__xludf.DUMMYFUNCTION("GOOGLETRANSLATE(F119, ""auto"", ""en"")"),"External intruder with an average potential intruder inner middle potential")</f>
        <v>External intruder with an average potential intruder inner middle potential</v>
      </c>
      <c r="N118" s="114" t="str">
        <f ca="1">IFERROR(__xludf.DUMMYFUNCTION("GOOGLETRANSLATE(H119, ""auto"", ""en"")"),"System software, application software, networking software")</f>
        <v>System software, application software, networking software</v>
      </c>
    </row>
    <row r="119" spans="9:14" ht="409.5">
      <c r="I119" s="168"/>
      <c r="J119" s="114">
        <v>118</v>
      </c>
      <c r="K119" s="114" t="str">
        <f ca="1">IFERROR(__xludf.DUMMYFUNCTION("GOOGLETRANSLATE(B120, ""auto"", ""en"")"),"The threat of interception privileged process")</f>
        <v>The threat of interception privileged process</v>
      </c>
      <c r="L119" s="114" t="str">
        <f ca="1">IFERROR(__xludf.DUMMYFUNCTION("GOOGLETRANSLATE(D120, ""auto"", ""en"")"),"The threat lies in the possibility of obtaining process control law violator having high privileges (e.g., inherited from a user or group of users performing a role diskreditiruemoy system administrator) to execute arbitrary code with human discredited pr"&amp;"ocess.
This threat is due to vulnerabilities of software that performs access control function (algorithm or configuration settings), leading to incorrect distribution of access rights within the tree inherited processes.
Implementation of this threat i"&amp;"s possible if one of the conditions:
Successful introduction violator incorrect data resulting in a buffer overflow or a software implementation of some types of injections;
the presence of the offender privileges to run the system utilities designed fo"&amp;"r process control")</f>
        <v>The threat lies in the possibility of obtaining process control law violator having high privileges (e.g., inherited from a user or group of users performing a role diskreditiruemoy system administrator) to execute arbitrary code with human discredited process.
This threat is due to vulnerabilities of software that performs access control function (algorithm or configuration settings), leading to incorrect distribution of access rights within the tree inherited processes.
Implementation of this threat is possible if one of the conditions:
Successful introduction violator incorrect data resulting in a buffer overflow or a software implementation of some types of injections;
the presence of the offender privileges to run the system utilities designed for process control</v>
      </c>
      <c r="M119" s="114" t="str">
        <f ca="1">IFERROR(__xludf.DUMMYFUNCTION("GOOGLETRANSLATE(F120, ""auto"", ""en"")"),"External intruder with an average potential intruder inner middle potential")</f>
        <v>External intruder with an average potential intruder inner middle potential</v>
      </c>
      <c r="N119" s="114" t="str">
        <f ca="1">IFERROR(__xludf.DUMMYFUNCTION("GOOGLETRANSLATE(H120, ""auto"", ""en"")"),"System software, application software, networking software")</f>
        <v>System software, application software, networking software</v>
      </c>
    </row>
    <row r="120" spans="9:14" ht="375">
      <c r="I120" s="168"/>
      <c r="J120" s="114">
        <v>119</v>
      </c>
      <c r="K120" s="114" t="str">
        <f ca="1">IFERROR(__xludf.DUMMYFUNCTION("GOOGLETRANSLATE(B121, ""auto"", ""en"")"),"The threat of the hypervisor failover")</f>
        <v>The threat of the hypervisor failover</v>
      </c>
      <c r="L120" s="114" t="str">
        <f ca="1">IFERROR(__xludf.DUMMYFUNCTION("GOOGLETRANSLATE(D121, ""auto"", ""en"")"),"The threat is the possibility of the perpetrator of unauthorized access to information, software and computing resources, reserved and controlled by the hypervisor, at the expense of the infringer receiving hypervisor by exploiting vulnerabilities hypervi"&amp;"sor management console.
This threat is due to the presence of APIs hypervisor control console interaction with other access entities (processes, programs) and, consequently, the possibility of unauthorized access to this console (level virtualization sof"&amp;"tware), and the failure on differentiation measures access this console.
Implementation of this threat is possible on condition that the infringer to conduct interaction with the hypervisor management console")</f>
        <v>The threat is the possibility of the perpetrator of unauthorized access to information, software and computing resources, reserved and controlled by the hypervisor, at the expense of the infringer receiving hypervisor by exploiting vulnerabilities hypervisor management console.
This threat is due to the presence of APIs hypervisor control console interaction with other access entities (processes, programs) and, consequently, the possibility of unauthorized access to this console (level virtualization software), and the failure on differentiation measures access this console.
Implementation of this threat is possible on condition that the infringer to conduct interaction with the hypervisor management console</v>
      </c>
      <c r="M120" s="114" t="str">
        <f ca="1">IFERROR(__xludf.DUMMYFUNCTION("GOOGLETRANSLATE(F121, ""auto"", ""en"")"),"External intruder with an average potential intruder inner middle potential")</f>
        <v>External intruder with an average potential intruder inner middle potential</v>
      </c>
      <c r="N120" s="114" t="str">
        <f ca="1">IFERROR(__xludf.DUMMYFUNCTION("GOOGLETRANSLATE(H121, ""auto"", ""en"")"),"System software, the hypervisor, the hypervisor management console")</f>
        <v>System software, the hypervisor, the hypervisor management console</v>
      </c>
    </row>
    <row r="121" spans="9:14" ht="409.5">
      <c r="I121" s="168"/>
      <c r="J121" s="114">
        <v>120</v>
      </c>
      <c r="K121" s="114" t="str">
        <f ca="1">IFERROR(__xludf.DUMMYFUNCTION("GOOGLETRANSLATE(B122, ""auto"", ""en"")"),"virtualization management environment interception threat")</f>
        <v>virtualization management environment interception threat</v>
      </c>
      <c r="L121" s="114" t="str">
        <f ca="1">IFERROR(__xludf.DUMMYFUNCTION("GOOGLETRANSLATE(D122, ""auto"", ""en"")"),"The threat is the possibility of the perpetrator of unauthorized access to information, software and computing resources reserved, and manage all hypervisors, implementing virtualization environment, by obtaining the infringer to manage these hypervisors "&amp;"by exploiting vulnerabilities console virtual infrastructure management tools.
This threat is caused by the presence of the console controls the virtual infrastructure, implemented within a virtual machine, software interfaces, interaction with other acc"&amp;"ess entities (processes, programs) and, as a consequence, the possibility of unauthorized access to this console (software virtualization management level), and the inadequate measures to limit access to this console.
Implementation of this threat is pos"&amp;"sible on condition that the infringer to conduct interaction with the console virtual infrastructure management tools")</f>
        <v>The threat is the possibility of the perpetrator of unauthorized access to information, software and computing resources reserved, and manage all hypervisors, implementing virtualization environment, by obtaining the infringer to manage these hypervisors by exploiting vulnerabilities console virtual infrastructure management tools.
This threat is caused by the presence of the console controls the virtual infrastructure, implemented within a virtual machine, software interfaces, interaction with other access entities (processes, programs) and, as a consequence, the possibility of unauthorized access to this console (software virtualization management level), and the inadequate measures to limit access to this console.
Implementation of this threat is possible on condition that the infringer to conduct interaction with the console virtual infrastructure management tools</v>
      </c>
      <c r="M121" s="114" t="str">
        <f ca="1">IFERROR(__xludf.DUMMYFUNCTION("GOOGLETRANSLATE(F122, ""auto"", ""en"")"),"External intruder with an average potential intruder inner middle potential")</f>
        <v>External intruder with an average potential intruder inner middle potential</v>
      </c>
      <c r="N121" s="114" t="str">
        <f ca="1">IFERROR(__xludf.DUMMYFUNCTION("GOOGLETRANSLATE(H122, ""auto"", ""en"")"),"Information system, the system software")</f>
        <v>Information system, the system software</v>
      </c>
    </row>
    <row r="122" spans="9:14" ht="409.5">
      <c r="I122" s="168"/>
      <c r="J122" s="114">
        <v>121</v>
      </c>
      <c r="K122" s="114" t="str">
        <f ca="1">IFERROR(__xludf.DUMMYFUNCTION("GOOGLETRANSLATE(B123, ""auto"", ""en"")"),"The threat of damage to the registry")</f>
        <v>The threat of damage to the registry</v>
      </c>
      <c r="L122" s="114" t="str">
        <f ca="1">IFERROR(__xludf.DUMMYFUNCTION("GOOGLETRANSLATE(D123, ""auto"", ""en"")"),"The threat is the possibility of a violation of the functional availability of or the entire information system because of the damage it is used in the registry due to improper shutdown of the operating system (uncontrolled restart, errors in device drive"&amp;"rs, etc.), violation of the integrity of files, containing Statement data registry, file system errors occurrence data carrier or as a result of the perpetrator of a destructive impact on the software file objects containing the registry.
This threat is "&amp;"caused by weaknesses registry data file access controls, containing, backup policies and monitoring the integrity of these files, and restore the registry efficiency measures due to failures in the operating system.
Implementation of this threat is possi"&amp;"ble if one of the following conditions:
errors in the work of the individual processes or the entire operating system;
presence in the infringer access rights to the registry or files containing a data register")</f>
        <v>The threat is the possibility of a violation of the functional availability of or the entire information system because of the damage it is used in the registry due to improper shutdown of the operating system (uncontrolled restart, errors in device drivers, etc.), violation of the integrity of files, containing Statement data registry, file system errors occurrence data carrier or as a result of the perpetrator of a destructive impact on the software file objects containing the registry.
This threat is caused by weaknesses registry data file access controls, containing, backup policies and monitoring the integrity of these files, and restore the registry efficiency measures due to failures in the operating system.
Implementation of this threat is possible if one of the following conditions:
errors in the work of the individual processes or the entire operating system;
presence in the infringer access rights to the registry or files containing a data register</v>
      </c>
      <c r="M122" s="114" t="str">
        <f ca="1">IFERROR(__xludf.DUMMYFUNCTION("GOOGLETRANSLATE(F123, ""auto"", ""en"")"),"External intruder low potential insider with a low potential")</f>
        <v>External intruder low potential insider with a low potential</v>
      </c>
      <c r="N122" s="114" t="str">
        <f ca="1">IFERROR(__xludf.DUMMYFUNCTION("GOOGLETRANSLATE(H123, ""auto"", ""en"")"),"file system objects, the registry")</f>
        <v>file system objects, the registry</v>
      </c>
    </row>
    <row r="123" spans="9:14" ht="330">
      <c r="I123" s="168"/>
      <c r="J123" s="114">
        <v>122</v>
      </c>
      <c r="K123" s="114" t="str">
        <f ca="1">IFERROR(__xludf.DUMMYFUNCTION("GOOGLETRANSLATE(B124, ""auto"", ""en"")"),"The threat elevation of privilege")</f>
        <v>The threat elevation of privilege</v>
      </c>
      <c r="L123" s="114" t="str">
        <f ca="1">IFERROR(__xludf.DUMMYFUNCTION("GOOGLETRANSLATE(D124, ""auto"", ""en"")"),"The threat is the possibility of the perpetrator of a destructive impact on the software diskreditiruemy process (or system) or other processes (or systems) of his (her) name by operating unlawfully obtained by the infringer additional rights to discredit"&amp;"ed object management.
This threat is due to vulnerabilities of software that performs access control function (algorithm or configuration settings).
Implementation of this threat is possible in the presence of the offender to the software (such as ""exp"&amp;"loit""), specially developed for the realization of this threat diskreditiruemoy system")</f>
        <v>The threat is the possibility of the perpetrator of a destructive impact on the software diskreditiruemy process (or system) or other processes (or systems) of his (her) name by operating unlawfully obtained by the infringer additional rights to discredited object management.
This threat is due to vulnerabilities of software that performs access control function (algorithm or configuration settings).
Implementation of this threat is possible in the presence of the offender to the software (such as "exploit"), specially developed for the realization of this threat diskreditiruemoy system</v>
      </c>
      <c r="M123" s="114" t="str">
        <f ca="1">IFERROR(__xludf.DUMMYFUNCTION("GOOGLETRANSLATE(F124, ""auto"", ""en"")"),"External intruder with an average potential intruder inner middle potential")</f>
        <v>External intruder with an average potential intruder inner middle potential</v>
      </c>
      <c r="N123" s="114" t="str">
        <f ca="1">IFERROR(__xludf.DUMMYFUNCTION("GOOGLETRANSLATE(H124, ""auto"", ""en"")"),"System software, network software, information system")</f>
        <v>System software, network software, information system</v>
      </c>
    </row>
    <row r="124" spans="9:14" ht="330">
      <c r="I124" s="168"/>
      <c r="J124" s="114">
        <v>123</v>
      </c>
      <c r="K124" s="114" t="str">
        <f ca="1">IFERROR(__xludf.DUMMYFUNCTION("GOOGLETRANSLATE(B125, ""auto"", ""en"")"),"BIOS password guessing threat")</f>
        <v>BIOS password guessing threat</v>
      </c>
      <c r="L124" s="114" t="str">
        <f ca="1">IFERROR(__xludf.DUMMYFUNCTION("GOOGLETRANSLATE(D125, ""auto"", ""en"")"),"The threat lies in the possibility of unauthorized access to the violator BIOS / UEFI settings input by a BIOS / UEFI console by password, program matched or ""manually"" by the methods of total variants, or dictionary matching.
This threat is caused by "&amp;"weakness of authentication mechanisms implemented in the BIOS / UEFI consoles.
Implementation of this threat can be in one of the following cases:
the offender may make physical access to the computer and has the ability to reboot;
intruder has special"&amp;" software sorting BIOS / UEFI passwords and privileges in the system to install and run such tools")</f>
        <v>The threat lies in the possibility of unauthorized access to the violator BIOS / UEFI settings input by a BIOS / UEFI console by password, program matched or "manually" by the methods of total variants, or dictionary matching.
This threat is caused by weakness of authentication mechanisms implemented in the BIOS / UEFI consoles.
Implementation of this threat can be in one of the following cases:
the offender may make physical access to the computer and has the ability to reboot;
intruder has special software sorting BIOS / UEFI passwords and privileges in the system to install and run such tools</v>
      </c>
      <c r="M124" s="114" t="str">
        <f ca="1">IFERROR(__xludf.DUMMYFUNCTION("GOOGLETRANSLATE(F125, ""auto"", ""en"")"),"Insider with a low potential")</f>
        <v>Insider with a low potential</v>
      </c>
      <c r="N124" s="114" t="str">
        <f ca="1">IFERROR(__xludf.DUMMYFUNCTION("GOOGLETRANSLATE(H125, ""auto"", ""en"")"),"BIOS / UEFI firmware")</f>
        <v>BIOS / UEFI firmware</v>
      </c>
    </row>
    <row r="125" spans="9:14" ht="409.5">
      <c r="I125" s="168"/>
      <c r="J125" s="114">
        <v>124</v>
      </c>
      <c r="K125" s="114" t="str">
        <f ca="1">IFERROR(__xludf.DUMMYFUNCTION("GOOGLETRANSLATE(B126, ""auto"", ""en"")"),"counterfeiting threat event log records")</f>
        <v>counterfeiting threat event log records</v>
      </c>
      <c r="L125" s="114" t="str">
        <f ca="1">IFERROR(__xludf.DUMMYFUNCTION("GOOGLETRANSLATE(D126, ""auto"", ""en"")"),"The threat is the possibility of making changes to the offender logs security events diskreditiruemoy system (removing compromising offender records or forgery of records about not past events) in order to mislead its administrators or hide the implementa"&amp;"tion of other threats.
This threat is caused by failure on the delimitation of access to the Security event log registration measures.
Implementation of this threat can be in one of the following cases:
technologies of registration of security event lo"&amp;"gs implies the possibility to edit them and the offender has the correct access rights;
conducting security event logs of the technology does not involve the possibility of editing, but the offender has the privileges necessary for recording in the log f"&amp;"iles, as well as special software capable of processing the log files used to format the system diskreditiruemoy")</f>
        <v>The threat is the possibility of making changes to the offender logs security events diskreditiruemoy system (removing compromising offender records or forgery of records about not past events) in order to mislead its administrators or hide the implementation of other threats.
This threat is caused by failure on the delimitation of access to the Security event log registration measures.
Implementation of this threat can be in one of the following cases:
technologies of registration of security event logs implies the possibility to edit them and the offender has the correct access rights;
conducting security event logs of the technology does not involve the possibility of editing, but the offender has the privileges necessary for recording in the log files, as well as special software capable of processing the log files used to format the system diskreditiruemoy</v>
      </c>
      <c r="M125" s="114" t="str">
        <f ca="1">IFERROR(__xludf.DUMMYFUNCTION("GOOGLETRANSLATE(F126, ""auto"", ""en"")"),"External intruder low potential insider with a low potential")</f>
        <v>External intruder low potential insider with a low potential</v>
      </c>
      <c r="N125" s="114" t="str">
        <f ca="1">IFERROR(__xludf.DUMMYFUNCTION("GOOGLETRANSLATE(H126, ""auto"", ""en"")"),"System Software")</f>
        <v>System Software</v>
      </c>
    </row>
    <row r="126" spans="9:14" ht="300">
      <c r="I126" s="168"/>
      <c r="J126" s="114">
        <v>125</v>
      </c>
      <c r="K126" s="114" t="str">
        <f ca="1">IFERROR(__xludf.DUMMYFUNCTION("GOOGLETRANSLATE(B127, ""auto"", ""en"")"),"Threat to connect a wireless network to bypass the authentication procedure")</f>
        <v>Threat to connect a wireless network to bypass the authentication procedure</v>
      </c>
      <c r="L126" s="114" t="str">
        <f ca="1">IFERROR(__xludf.DUMMYFUNCTION("GOOGLETRANSLATE(D127, ""auto"", ""en"")"),"The threat is the ability of the offender to intercept wireless network traffic or other illegal actions by the legalization of the offender's own connection to the wireless network in semi-automatic mode (eg, WPS) without entering the encryption key.
Th"&amp;"is threat is caused by weaknesses of procedure of authentication of wireless devices in the semi-automatic connection.
Implementation of this threat is possible on condition that the intruder physical access to the wireless access point supporting connec"&amp;"tivity semiautomatic mode")</f>
        <v>The threat is the ability of the offender to intercept wireless network traffic or other illegal actions by the legalization of the offender's own connection to the wireless network in semi-automatic mode (eg, WPS) without entering the encryption key.
This threat is caused by weaknesses of procedure of authentication of wireless devices in the semi-automatic connection.
Implementation of this threat is possible on condition that the intruder physical access to the wireless access point supporting connectivity semiautomatic mode</v>
      </c>
      <c r="M126" s="114" t="str">
        <f ca="1">IFERROR(__xludf.DUMMYFUNCTION("GOOGLETRANSLATE(F127, ""auto"", ""en"")"),"External intruder with a low potential")</f>
        <v>External intruder with a low potential</v>
      </c>
      <c r="N126" s="114" t="str">
        <f ca="1">IFERROR(__xludf.DUMMYFUNCTION("GOOGLETRANSLATE(H127, ""auto"", ""en"")"),"Network node, network software")</f>
        <v>Network node, network software</v>
      </c>
    </row>
    <row r="127" spans="9:14" ht="345">
      <c r="I127" s="168"/>
      <c r="J127" s="114">
        <v>126</v>
      </c>
      <c r="K127" s="114" t="str">
        <f ca="1">IFERROR(__xludf.DUMMYFUNCTION("GOOGLETRANSLATE(B128, ""auto"", ""en"")"),"The threat of substitution of the wireless client or access point")</f>
        <v>The threat of substitution of the wireless client or access point</v>
      </c>
      <c r="L127" s="114" t="str">
        <f ca="1">IFERROR(__xludf.DUMMYFUNCTION("GOOGLETRANSLATE(D128, ""auto"", ""en"")"),"The threat is the possibility of obtaining the infringer or other protected authentication information transmitted in the course of an automatic wireless connection or client software points to the trusted entities networking, podmenonnym offender.
This "&amp;"threat is caused by weaknesses authentication mechanism networking subjects with wireless access.
Implementation of this threat is possible in case of placing the client intruder or a wireless access point with specially formed work parameters (such as a"&amp;" MAC-address, name, used data transmission standard, and the like) in access zone for wireless devices diskreditiruemyh")</f>
        <v>The threat is the possibility of obtaining the infringer or other protected authentication information transmitted in the course of an automatic wireless connection or client software points to the trusted entities networking, podmenonnym offender.
This threat is caused by weaknesses authentication mechanism networking subjects with wireless access.
Implementation of this threat is possible in case of placing the client intruder or a wireless access point with specially formed work parameters (such as a MAC-address, name, used data transmission standard, and the like) in access zone for wireless devices diskreditiruemyh</v>
      </c>
      <c r="M127" s="114" t="str">
        <f ca="1">IFERROR(__xludf.DUMMYFUNCTION("GOOGLETRANSLATE(F128, ""auto"", ""en"")"),"External intruder with a low potential")</f>
        <v>External intruder with a low potential</v>
      </c>
      <c r="N127" s="114" t="str">
        <f ca="1">IFERROR(__xludf.DUMMYFUNCTION("GOOGLETRANSLATE(H128, ""auto"", ""en"")"),"Network node, network software, hardware, wireless access point")</f>
        <v>Network node, network software, hardware, wireless access point</v>
      </c>
    </row>
    <row r="128" spans="9:14" ht="315">
      <c r="I128" s="168"/>
      <c r="J128" s="114">
        <v>127</v>
      </c>
      <c r="K128" s="114" t="str">
        <f ca="1">IFERROR(__xludf.DUMMYFUNCTION("GOOGLETRANSLATE(B129, ""auto"", ""en"")"),"The threat of substitution of the user's actions by deception")</f>
        <v>The threat of substitution of the user's actions by deception</v>
      </c>
      <c r="L128" s="114" t="str">
        <f ca="1">IFERROR(__xludf.DUMMYFUNCTION("GOOGLETRANSLATE(D129, ""auto"", ""en"")"),"The threat is the possibility of the offender perform illegal actions in the system on behalf of another user by using the methods of social engineering (member's deception, the imposition of false beliefs) or technical methods (use of transparent buttons"&amp;", the substitution of the inscriptions on the management and other elements.)
This threat is due to weakness of the interface with the user or user errors.
Implementation of this threat is possible on condition that diskreditiruemogo user's authority to"&amp;" conduct the necessary operations by violator he")</f>
        <v>The threat is the possibility of the offender perform illegal actions in the system on behalf of another user by using the methods of social engineering (member's deception, the imposition of false beliefs) or technical methods (use of transparent buttons, the substitution of the inscriptions on the management and other elements.)
This threat is due to weakness of the interface with the user or user errors.
Implementation of this threat is possible on condition that diskreditiruemogo user's authority to conduct the necessary operations by violator he</v>
      </c>
      <c r="M128" s="114" t="str">
        <f ca="1">IFERROR(__xludf.DUMMYFUNCTION("GOOGLETRANSLATE(F129, ""auto"", ""en"")"),"The outer middle potential violator")</f>
        <v>The outer middle potential violator</v>
      </c>
      <c r="N128" s="114" t="str">
        <f ca="1">IFERROR(__xludf.DUMMYFUNCTION("GOOGLETRANSLATE(H129, ""auto"", ""en"")"),"Application software, network software")</f>
        <v>Application software, network software</v>
      </c>
    </row>
    <row r="129" spans="9:14" ht="300">
      <c r="I129" s="168"/>
      <c r="J129" s="114">
        <v>128</v>
      </c>
      <c r="K129" s="114" t="str">
        <f ca="1">IFERROR(__xludf.DUMMYFUNCTION("GOOGLETRANSLATE(B130, ""auto"", ""en"")"),"The threat of spoofing a trusted user")</f>
        <v>The threat of spoofing a trusted user</v>
      </c>
      <c r="L129" s="114" t="str">
        <f ca="1">IFERROR(__xludf.DUMMYFUNCTION("GOOGLETRANSLATE(D130, ""auto"", ""en"")"),"The threat is the possibility of the offender to impersonate a legitimate user, and perform the reception / transmission of data on its behalf. This threat can be described as ""customer action imitation.""
This threat is caused by weakness of networking"&amp;" technologies, often allows you to test the source / recipient authentication information.
Implementation of this threat is possible in the presence of the offender to the network connection, as well as information about the configuration of network devi"&amp;"ces, the type of software used, etc.")</f>
        <v>The threat is the possibility of the offender to impersonate a legitimate user, and perform the reception / transmission of data on its behalf. This threat can be described as "customer action imitation."
This threat is caused by weakness of networking technologies, often allows you to test the source / recipient authentication information.
Implementation of this threat is possible in the presence of the offender to the network connection, as well as information about the configuration of network devices, the type of software used, etc.</v>
      </c>
      <c r="M129" s="114" t="str">
        <f ca="1">IFERROR(__xludf.DUMMYFUNCTION("GOOGLETRANSLATE(F130, ""auto"", ""en"")"),"External intruder with a low potential")</f>
        <v>External intruder with a low potential</v>
      </c>
      <c r="N129" s="114" t="str">
        <f ca="1">IFERROR(__xludf.DUMMYFUNCTION("GOOGLETRANSLATE(H130, ""auto"", ""en"")"),"Network node, network software")</f>
        <v>Network node, network software</v>
      </c>
    </row>
    <row r="130" spans="9:14" ht="375">
      <c r="I130" s="168"/>
      <c r="J130" s="114">
        <v>129</v>
      </c>
      <c r="K130" s="114" t="str">
        <f ca="1">IFERROR(__xludf.DUMMYFUNCTION("GOOGLETRANSLATE(B131, ""auto"", ""en"")"),"The threat of substitute backup software BIOS")</f>
        <v>The threat of substitute backup software BIOS</v>
      </c>
      <c r="L130" s="114" t="str">
        <f ca="1">IFERROR(__xludf.DUMMYFUNCTION("GOOGLETRANSLATE(D131, ""auto"", ""en"")"),"The threat is the possibility of indirect implementation of the offender in the BIOS / UEFI diskreditiruemogo malware computer by creating expectations or need to perform the recovery process of the previous version of BIOS / UEFI software pre podmenonnoy"&amp;" offender.
This threat is caused by lack of backup access control measures and monitoring the integrity of the BIOS / UEFI software.
Implementation of this threat is possible under the following conditions:
the offender has successfully replaced the ba"&amp;"ckup BIOS / UEFI software;
it became necessary to restore the previous version of the BIOS / UEFI software (this condition may occur either accidentally or be triggered by the offender)")</f>
        <v>The threat is the possibility of indirect implementation of the offender in the BIOS / UEFI diskreditiruemogo malware computer by creating expectations or need to perform the recovery process of the previous version of BIOS / UEFI software pre podmenonnoy offender.
This threat is caused by lack of backup access control measures and monitoring the integrity of the BIOS / UEFI software.
Implementation of this threat is possible under the following conditions:
the offender has successfully replaced the backup BIOS / UEFI software;
it became necessary to restore the previous version of the BIOS / UEFI software (this condition may occur either accidentally or be triggered by the offender)</v>
      </c>
      <c r="M130" s="114" t="str">
        <f ca="1">IFERROR(__xludf.DUMMYFUNCTION("GOOGLETRANSLATE(F131, ""auto"", ""en"")"),"Insider with a low potential")</f>
        <v>Insider with a low potential</v>
      </c>
      <c r="N130" s="114" t="str">
        <f ca="1">IFERROR(__xludf.DUMMYFUNCTION("GOOGLETRANSLATE(H131, ""auto"", ""en"")"),"Firmware and BIOS / UEFI hardware")</f>
        <v>Firmware and BIOS / UEFI hardware</v>
      </c>
    </row>
    <row r="131" spans="9:14" ht="285">
      <c r="I131" s="168"/>
      <c r="J131" s="114">
        <v>130</v>
      </c>
      <c r="K131" s="114" t="str">
        <f ca="1">IFERROR(__xludf.DUMMYFUNCTION("GOOGLETRANSLATE(B132, ""auto"", ""en"")"),"The threat of substitution of the contents of network resources")</f>
        <v>The threat of substitution of the contents of network resources</v>
      </c>
      <c r="L131" s="114" t="str">
        <f ca="1">IFERROR(__xludf.DUMMYFUNCTION("GOOGLETRANSLATE(D132, ""auto"", ""en"")"),"The threat is the network to be protected according to the ability of users of the intruder or unauthorized access of the various fraud by substitution of the contents stored secretive (websites, web pages) or transmitted (emails, network packets) data ne"&amp;"twork.
This threat is caused by weakness of networking technologies, often allowing to authenticate the e-mail content.
Implementation of this threat is possible on condition that the infringer access to network resources and the user does not have a ne"&amp;"twork of measures to ensure their integrity")</f>
        <v>The threat is the network to be protected according to the ability of users of the intruder or unauthorized access of the various fraud by substitution of the contents stored secretive (websites, web pages) or transmitted (emails, network packets) data network.
This threat is caused by weakness of networking technologies, often allowing to authenticate the e-mail content.
Implementation of this threat is possible on condition that the infringer access to network resources and the user does not have a network of measures to ensure their integrity</v>
      </c>
      <c r="M131" s="114" t="str">
        <f ca="1">IFERROR(__xludf.DUMMYFUNCTION("GOOGLETRANSLATE(F132, ""auto"", ""en"")"),"External intruder with a low potential")</f>
        <v>External intruder with a low potential</v>
      </c>
      <c r="N131" s="114" t="str">
        <f ca="1">IFERROR(__xludf.DUMMYFUNCTION("GOOGLETRANSLATE(H132, ""auto"", ""en"")"),"Application software, network software, network traffic")</f>
        <v>Application software, network software, network traffic</v>
      </c>
    </row>
    <row r="132" spans="9:14" ht="409.5">
      <c r="I132" s="168"/>
      <c r="J132" s="114">
        <v>131</v>
      </c>
      <c r="K132" s="114" t="str">
        <f ca="1">IFERROR(__xludf.DUMMYFUNCTION("GOOGLETRANSLATE(B133, ""auto"", ""en"")"),"The threat of substitution of the subject network access")</f>
        <v>The threat of substitution of the subject network access</v>
      </c>
      <c r="L132" s="114" t="str">
        <f ca="1">IFERROR(__xludf.DUMMYFUNCTION("GOOGLETRANSLATE(D133, ""auto"", ""en"")"),"The threat is the possibility of the perpetrator of unauthorized access to protected data network users or various fraud by substitution in a secretive sent diskreditiruemym network user requests information about the sender of the message. This threat ca"&amp;"n be described as ""an imitation of the server action.""
This threat is caused by weakness of networking technologies, often allows you to test the authenticity of the source of information.
Implementation of this threat can be provided successfully imp"&amp;"ersonate a legitimate sender for intruder (e.g. by a spurious phishing websites). The key difference from ""the threat of substitution of the contents of network resources"" is that in this case the offender does not alter the original contents of an elec"&amp;"tronic resource (website, e-mail), and the only official information")</f>
        <v>The threat is the possibility of the perpetrator of unauthorized access to protected data network users or various fraud by substitution in a secretive sent diskreditiruemym network user requests information about the sender of the message. This threat can be described as "an imitation of the server action."
This threat is caused by weakness of networking technologies, often allows you to test the authenticity of the source of information.
Implementation of this threat can be provided successfully impersonate a legitimate sender for intruder (e.g. by a spurious phishing websites). The key difference from "the threat of substitution of the contents of network resources" is that in this case the offender does not alter the original contents of an electronic resource (website, e-mail), and the only official information</v>
      </c>
      <c r="M132" s="114" t="str">
        <f ca="1">IFERROR(__xludf.DUMMYFUNCTION("GOOGLETRANSLATE(F133, ""auto"", ""en"")"),"The outer middle potential violator")</f>
        <v>The outer middle potential violator</v>
      </c>
      <c r="N132" s="114" t="str">
        <f ca="1">IFERROR(__xludf.DUMMYFUNCTION("GOOGLETRANSLATE(H133, ""auto"", ""en"")"),"Application software, network software, network traffic")</f>
        <v>Application software, network software, network traffic</v>
      </c>
    </row>
    <row r="133" spans="9:14" ht="409.5">
      <c r="I133" s="168"/>
      <c r="J133" s="114">
        <v>132</v>
      </c>
      <c r="K133" s="114" t="str">
        <f ca="1">IFERROR(__xludf.DUMMYFUNCTION("GOOGLETRANSLATE(B134, ""auto"", ""en"")"),"Risk of preliminary information about the object of protection")</f>
        <v>Risk of preliminary information about the object of protection</v>
      </c>
      <c r="L133" s="114" t="str">
        <f ca="1">IFERROR(__xludf.DUMMYFUNCTION("GOOGLETRANSLATE(D134, ""auto"", ""en"")"),"The threat is the possibility of the disclosure of the offender protected status information diskreditiruemoy security of the system, its configuration and potential vulnerabilities, etc., By carrying out activities related to collection and analysis of i"&amp;"nformation available about the system.
This threat is caused by the presence of vulnerabilities in network software, which allows to get information about specific programs or configuration of the overall system (lack of control input data for open netwo"&amp;"rk ports are configured incorrectly, security policies, etc.).
Implementation of this threat can be provided information on diskreditiruemoy system using at least one of the following ways to study diskreditiruemoy system:
analysis of the reaction syste"&amp;"m on the network (including syntactically invalid or non-standard) requests to an open system network services, which may cause call unhandled exceptions with detailed error messages that contain protected information (about the stack trace, the system co"&amp;"nfiguration of route of the network packets)
analysis of the reaction system at the URI-string queries (including invalid SQL-queries, alternative ways to access your files).
This threat is different from the threat of eavesdropping and other data gathe"&amp;"ring threat that the offender actively interrogates diskreditiruemuyu system, rather than just watching her")</f>
        <v>The threat is the possibility of the disclosure of the offender protected status information diskreditiruemoy security of the system, its configuration and potential vulnerabilities, etc., By carrying out activities related to collection and analysis of information available about the system.
This threat is caused by the presence of vulnerabilities in network software, which allows to get information about specific programs or configuration of the overall system (lack of control input data for open network ports are configured incorrectly, security policies, etc.).
Implementation of this threat can be provided information on diskreditiruemoy system using at least one of the following ways to study diskreditiruemoy system:
analysis of the reaction system on the network (including syntactically invalid or non-standard) requests to an open system network services, which may cause call unhandled exceptions with detailed error messages that contain protected information (about the stack trace, the system configuration of route of the network packets)
analysis of the reaction system at the URI-string queries (including invalid SQL-queries, alternative ways to access your files).
This threat is different from the threat of eavesdropping and other data gathering threat that the offender actively interrogates diskreditiruemuyu system, rather than just watching her</v>
      </c>
      <c r="M133" s="114" t="str">
        <f ca="1">IFERROR(__xludf.DUMMYFUNCTION("GOOGLETRANSLATE(F134, ""auto"", ""en"")"),"The outer middle potential violator")</f>
        <v>The outer middle potential violator</v>
      </c>
      <c r="N133" s="114" t="str">
        <f ca="1">IFERROR(__xludf.DUMMYFUNCTION("GOOGLETRANSLATE(H134, ""auto"", ""en"")"),"Network node, network software, network traffic, application software")</f>
        <v>Network node, network software, network traffic, application software</v>
      </c>
    </row>
    <row r="134" spans="9:14" ht="375">
      <c r="I134" s="168"/>
      <c r="J134" s="114">
        <v>133</v>
      </c>
      <c r="K134" s="114" t="str">
        <f ca="1">IFERROR(__xludf.DUMMYFUNCTION("GOOGLETRANSLATE(B135, ""auto"", ""en"")"),"Threat information about the wireless device owner")</f>
        <v>Threat information about the wireless device owner</v>
      </c>
      <c r="L134" s="114" t="str">
        <f ca="1">IFERROR(__xludf.DUMMYFUNCTION("GOOGLETRANSLATE(D135, ""auto"", ""en"")"),"The threat is the possibility of disclosure of information about the offender geographical movements diskreditiruemogo user in regular intervals, including the identification of his place of work, residence, etc. Obtaining such information can be used by "&amp;"the offender in the future for the implementation of threats in information systems, access to which has diskreditiruemy user.
This threat is caused by the weakness of the protection of identity of wireless access points when they are connected to the In"&amp;"ternet.
Implementation of this threat can be subject to availability of access to the offender identification data of stationary wireless access points, which automatically interacts wireless device user diskreditiruemogo")</f>
        <v>The threat is the possibility of disclosure of information about the offender geographical movements diskreditiruemogo user in regular intervals, including the identification of his place of work, residence, etc. Obtaining such information can be used by the offender in the future for the implementation of threats in information systems, access to which has diskreditiruemy user.
This threat is caused by the weakness of the protection of identity of wireless access points when they are connected to the Internet.
Implementation of this threat can be subject to availability of access to the offender identification data of stationary wireless access points, which automatically interacts wireless device user diskreditiruemogo</v>
      </c>
      <c r="M134" s="114" t="str">
        <f ca="1">IFERROR(__xludf.DUMMYFUNCTION("GOOGLETRANSLATE(F135, ""auto"", ""en"")"),"External intruder with a low potential")</f>
        <v>External intruder with a low potential</v>
      </c>
      <c r="N134" s="114" t="str">
        <f ca="1">IFERROR(__xludf.DUMMYFUNCTION("GOOGLETRANSLATE(H135, ""auto"", ""en"")"),"Network node, the metadata")</f>
        <v>Network node, the metadata</v>
      </c>
    </row>
    <row r="135" spans="9:14" ht="409.5">
      <c r="I135" s="168"/>
      <c r="J135" s="114">
        <v>134</v>
      </c>
      <c r="K135" s="114" t="str">
        <f ca="1">IFERROR(__xludf.DUMMYFUNCTION("GOOGLETRANSLATE(B136, ""auto"", ""en"")"),"The threat of loss of confidence in the cloud services provider")</f>
        <v>The threat of loss of confidence in the cloud services provider</v>
      </c>
      <c r="L135" s="114" t="str">
        <f ca="1">IFERROR(__xludf.DUMMYFUNCTION("GOOGLETRANSLATE(D136, ""auto"", ""en"")"),"The threat is the possibility of reducing the level of security and the assumption of additional errors in security protected in the cloud system information due to irreparable outflow provider of cloud services the necessary resources in connection with "&amp;"the loss of consumer confidence in cloud services to their provider.
This threat stems from the fact that due to the disclosure of evidence about information security incidents related to cloud providers, there is a loss of confidence in this provider of"&amp;" consumer cloud services, and as a result, there is a need for avalanche release supplier of cloud resources services (human, technical, financial) to address emerging in this situation tasks (multiple consulting users, emergency review of security polici"&amp;"es, modernization of protection systems, etc..), which not only can cause a lack of resources to provide the current level of security of information, but also to provoke tolerance ""in a hurry ""new bugs.
Implementation of this threat is possible in the"&amp;" case of disclosure of single or multiple facts about information security incidents related to cloud providers, povlokshih significant losses for its clients")</f>
        <v>The threat is the possibility of reducing the level of security and the assumption of additional errors in security protected in the cloud system information due to irreparable outflow provider of cloud services the necessary resources in connection with the loss of consumer confidence in cloud services to their provider.
This threat stems from the fact that due to the disclosure of evidence about information security incidents related to cloud providers, there is a loss of confidence in this provider of consumer cloud services, and as a result, there is a need for avalanche release supplier of cloud resources services (human, technical, financial) to address emerging in this situation tasks (multiple consulting users, emergency review of security policies, modernization of protection systems, etc..), which not only can cause a lack of resources to provide the current level of security of information, but also to provoke tolerance "in a hurry "new bugs.
Implementation of this threat is possible in the case of disclosure of single or multiple facts about information security incidents related to cloud providers, povlokshih significant losses for its clients</v>
      </c>
      <c r="M135" s="114" t="str">
        <f ca="1">IFERROR(__xludf.DUMMYFUNCTION("GOOGLETRANSLATE(F136, ""auto"", ""en"")"),"The inner middle potential violator")</f>
        <v>The inner middle potential violator</v>
      </c>
      <c r="N135" s="114" t="str">
        <f ca="1">IFERROR(__xludf.DUMMYFUNCTION("GOOGLETRANSLATE(H136, ""auto"", ""en"")"),"file system objects, the information system, immigrated to the cloud")</f>
        <v>file system objects, the information system, immigrated to the cloud</v>
      </c>
    </row>
    <row r="136" spans="9:14" ht="300">
      <c r="I136" s="168"/>
      <c r="J136" s="114">
        <v>135</v>
      </c>
      <c r="K136" s="114" t="str">
        <f ca="1">IFERROR(__xludf.DUMMYFUNCTION("GOOGLETRANSLATE(B137, ""auto"", ""en"")"),"The threat of loss and leakage of data processed in the cloud")</f>
        <v>The threat of loss and leakage of data processed in the cloud</v>
      </c>
      <c r="L136" s="114" t="str">
        <f ca="1">IFERROR(__xludf.DUMMYFUNCTION("GOOGLETRANSLATE(D137, ""auto"", ""en"")"),"The threat is the possibility of a breach of confidentiality, integrity and availability of information to be protected consumers of cloud services, processed in the cloud system.
This threat is caused by weakness protection for information processed in "&amp;"the cloud system.
Implementation of this threat is possible in case of approval by the supplier (the incorrect choice or security setting) or customer (the loss of a password, electronic key entry to unsafe console) cloud service errors, while ensuring t"&amp;"he security of protected information")</f>
        <v>The threat is the possibility of a breach of confidentiality, integrity and availability of information to be protected consumers of cloud services, processed in the cloud system.
This threat is caused by weakness protection for information processed in the cloud system.
Implementation of this threat is possible in case of approval by the supplier (the incorrect choice or security setting) or customer (the loss of a password, electronic key entry to unsafe console) cloud service errors, while ensuring the security of protected information</v>
      </c>
      <c r="M136" s="114" t="str">
        <f ca="1">IFERROR(__xludf.DUMMYFUNCTION("GOOGLETRANSLATE(F137, ""auto"", ""en"")"),"Insider with a low potential")</f>
        <v>Insider with a low potential</v>
      </c>
      <c r="N136" s="114" t="str">
        <f ca="1">IFERROR(__xludf.DUMMYFUNCTION("GOOGLETRANSLATE(H137, ""auto"", ""en"")"),"System software, metadata, file system objects")</f>
        <v>System software, metadata, file system objects</v>
      </c>
    </row>
    <row r="137" spans="9:14" ht="345">
      <c r="I137" s="168"/>
      <c r="J137" s="114">
        <v>136</v>
      </c>
      <c r="K137" s="114" t="str">
        <f ca="1">IFERROR(__xludf.DUMMYFUNCTION("GOOGLETRANSLATE(B138, ""auto"", ""en"")"),"The threat of loss of information due to the inconsistency of the work units of large data storage")</f>
        <v>The threat of loss of information due to the inconsistency of the work units of large data storage</v>
      </c>
      <c r="L137" s="114" t="str">
        <f ca="1">IFERROR(__xludf.DUMMYFUNCTION("GOOGLETRANSLATE(D138, ""auto"", ""en"")"),"The threat is possible tolerance errors when copying the protected information with a distributed storage of data on various storage units of large data inconsistencies due to their work, entailing the impossibility of legitimate user access to the blocks"&amp;" or all of the protected information.
This threat is caused by weakness of data replication mechanisms implemented in the nodes store large data.
Implementation of this threat is possible in disabling or removing the conditions of the failure of one or "&amp;"more nodes due to special programming effects on large data storage nodes, as well as any technical or software failures of their components")</f>
        <v>The threat is possible tolerance errors when copying the protected information with a distributed storage of data on various storage units of large data inconsistencies due to their work, entailing the impossibility of legitimate user access to the blocks or all of the protected information.
This threat is caused by weakness of data replication mechanisms implemented in the nodes store large data.
Implementation of this threat is possible in disabling or removing the conditions of the failure of one or more nodes due to special programming effects on large data storage nodes, as well as any technical or software failures of their components</v>
      </c>
      <c r="M137" s="114" t="str">
        <f ca="1">IFERROR(__xludf.DUMMYFUNCTION("GOOGLETRANSLATE(F138, ""auto"", ""en"")"),"Insider with a low potential")</f>
        <v>Insider with a low potential</v>
      </c>
      <c r="N137" s="114" t="str">
        <f ca="1">IFERROR(__xludf.DUMMYFUNCTION("GOOGLETRANSLATE(H138, ""auto"", ""en"")"),"Information system, units of large data storage")</f>
        <v>Information system, units of large data storage</v>
      </c>
    </row>
    <row r="138" spans="9:14" ht="409.5">
      <c r="I138" s="168"/>
      <c r="J138" s="114">
        <v>137</v>
      </c>
      <c r="K138" s="114" t="str">
        <f ca="1">IFERROR(__xludf.DUMMYFUNCTION("GOOGLETRANSLATE(B139, ""auto"", ""en"")"),"The threat of losing control of cloud resources")</f>
        <v>The threat of losing control of cloud resources</v>
      </c>
      <c r="L138" s="114" t="str">
        <f ca="1">IFERROR(__xludf.DUMMYFUNCTION("GOOGLETRANSLATE(D139, ""auto"", ""en"")"),"The threat is the possibility of breach of contract by the supplier of cloud services in terms of their consumer due to the considerable complexity of building an effective cloud management system cloud system, especially using cloud resources from other "&amp;"providers of cloud services.
This threat is due to the difficulty in determining the logical and the physical location of cloud resources, inadequate measures of physical control access to data storage, backup, et al., As well as the necessity of taking "&amp;"into account the features of legislation in the field of information security countries, residents are cloud providers that act as subcontractors providing cloud services ordered.
Implementation of this threat can be provided that the fulfillment of the "&amp;"requirements to the functional cloud system is difficult (or becomes impossible) because of the legal norms of other countries participating in the cross-border transfer of cloud traffic")</f>
        <v>The threat is the possibility of breach of contract by the supplier of cloud services in terms of their consumer due to the considerable complexity of building an effective cloud management system cloud system, especially using cloud resources from other providers of cloud services.
This threat is due to the difficulty in determining the logical and the physical location of cloud resources, inadequate measures of physical control access to data storage, backup, et al., As well as the necessity of taking into account the features of legislation in the field of information security countries, residents are cloud providers that act as subcontractors providing cloud services ordered.
Implementation of this threat can be provided that the fulfillment of the requirements to the functional cloud system is difficult (or becomes impossible) because of the legal norms of other countries participating in the cross-border transfer of cloud traffic</v>
      </c>
      <c r="M138" s="114" t="str">
        <f ca="1">IFERROR(__xludf.DUMMYFUNCTION("GOOGLETRANSLATE(F139, ""auto"", ""en"")"),"External intruder with a high potential")</f>
        <v>External intruder with a high potential</v>
      </c>
      <c r="N138" s="114" t="str">
        <f ca="1">IFERROR(__xludf.DUMMYFUNCTION("GOOGLETRANSLATE(H139, ""auto"", ""en"")"),"Network traffic, file system objects")</f>
        <v>Network traffic, file system objects</v>
      </c>
    </row>
    <row r="139" spans="9:14" ht="409.5">
      <c r="I139" s="168"/>
      <c r="J139" s="114">
        <v>138</v>
      </c>
      <c r="K139" s="114" t="str">
        <f ca="1">IFERROR(__xludf.DUMMYFUNCTION("GOOGLETRANSLATE(B140, ""auto"", ""en"")"),"The threat of losing control of its own infrastructure when moving it to the cloud")</f>
        <v>The threat of losing control of its own infrastructure when moving it to the cloud</v>
      </c>
      <c r="L139" s="114" t="str">
        <f ca="1">IFERROR(__xludf.DUMMYFUNCTION("GOOGLETRANSLATE(D140, ""auto"", ""en"")"),"The threat is the possibility of making mistakes in the management of infrastructure systems of the consumer cloud services, to immigrate to the cloud, from cloud providers because of his lack of information about a particular system management features, "&amp;"as well as due to lack of consumer cloud services, having such information , ability to conduct the full range of system management infrastructure of their own due to her immigration to the cloud.
This threat is due to the impossibility of a reliable ass"&amp;"essment of cloud services to consumers the real level of the vulnerability provided by the supplier of cloud services in respect of protected information of the consumer of cloud services, in connection with the closure to consumers information on applica"&amp;"ble supplier of cloud services technologies, software and hardware solutions, as well as specific settings means setting protection of information.
Implementation of this threat is possible in cases of transfer of part of the cloud service provider syste"&amp;"m management functions of the consumer cloud services (when migrating a part or the entire system to the cloud)")</f>
        <v>The threat is the possibility of making mistakes in the management of infrastructure systems of the consumer cloud services, to immigrate to the cloud, from cloud providers because of his lack of information about a particular system management features, as well as due to lack of consumer cloud services, having such information , ability to conduct the full range of system management infrastructure of their own due to her immigration to the cloud.
This threat is due to the impossibility of a reliable assessment of cloud services to consumers the real level of the vulnerability provided by the supplier of cloud services in respect of protected information of the consumer of cloud services, in connection with the closure to consumers information on applicable supplier of cloud services technologies, software and hardware solutions, as well as specific settings means setting protection of information.
Implementation of this threat is possible in cases of transfer of part of the cloud service provider system management functions of the consumer cloud services (when migrating a part or the entire system to the cloud)</v>
      </c>
      <c r="M139" s="114" t="str">
        <f ca="1">IFERROR(__xludf.DUMMYFUNCTION("GOOGLETRANSLATE(F140, ""auto"", ""en"")"),"The inner middle potential violator")</f>
        <v>The inner middle potential violator</v>
      </c>
      <c r="N139" s="114" t="str">
        <f ca="1">IFERROR(__xludf.DUMMYFUNCTION("GOOGLETRANSLATE(H140, ""auto"", ""en"")"),"Information system, immigrated to the cloud system software, application software, networking software")</f>
        <v>Information system, immigrated to the cloud system software, application software, networking software</v>
      </c>
    </row>
    <row r="140" spans="9:14" ht="315">
      <c r="I140" s="168"/>
      <c r="J140" s="114">
        <v>139</v>
      </c>
      <c r="K140" s="114" t="str">
        <f ca="1">IFERROR(__xludf.DUMMYFUNCTION("GOOGLETRANSLATE(B141, ""auto"", ""en"")"),"The threat of overcoming physical protection")</f>
        <v>The threat of overcoming physical protection</v>
      </c>
      <c r="L140" s="114" t="str">
        <f ca="1">IFERROR(__xludf.DUMMYFUNCTION("GOOGLETRANSLATE(D141, ""auto"", ""en"")"),"The threat is the possibility of the perpetrator almost any destructive actions against diskreditiruemoy information system on receipt of physical access to the computer hardware system by overcoming the physical access control system, organized in the en"&amp;"terprise building.
This threat is due to vulnerabilities in the physical access control system (lack of locks in the premises, human error, etc.).
Implementation of this possible threat to the successful application of any of the violator intrusion meth"&amp;"ods on the object (deception personnel breaking locks, etc.).")</f>
        <v>The threat is the possibility of the perpetrator almost any destructive actions against diskreditiruemoy information system on receipt of physical access to the computer hardware system by overcoming the physical access control system, organized in the enterprise building.
This threat is due to vulnerabilities in the physical access control system (lack of locks in the premises, human error, etc.).
Implementation of this possible threat to the successful application of any of the violator intrusion methods on the object (deception personnel breaking locks, etc.).</v>
      </c>
      <c r="M140" s="114" t="str">
        <f ca="1">IFERROR(__xludf.DUMMYFUNCTION("GOOGLETRANSLATE(F141, ""auto"", ""en"")"),"The outer middle potential violator")</f>
        <v>The outer middle potential violator</v>
      </c>
      <c r="N140" s="114" t="str">
        <f ca="1">IFERROR(__xludf.DUMMYFUNCTION("GOOGLETRANSLATE(H141, ""auto"", ""en"")"),"Servers, workstations, storage media, hardware")</f>
        <v>Servers, workstations, storage media, hardware</v>
      </c>
    </row>
    <row r="141" spans="9:14" ht="409.5">
      <c r="I141" s="168"/>
      <c r="J141" s="114">
        <v>140</v>
      </c>
      <c r="K141" s="114" t="str">
        <f ca="1">IFERROR(__xludf.DUMMYFUNCTION("GOOGLETRANSLATE(B142, ""auto"", ""en"")"),"The threat of bringing the system into a state of ""denial of service""")</f>
        <v>The threat of bringing the system into a state of "denial of service"</v>
      </c>
      <c r="L141" s="114" t="str">
        <f ca="1">IFERROR(__xludf.DUMMYFUNCTION("GOOGLETRANSLATE(D142, ""auto"", ""en"")"),"The threat is the possibility of failure of the discredited system access legal users under avalanche increase in the number of network connections with the system or by using the shortcomings of the implementation of network protocols.
This threat stems"&amp;" from the fact that in order to process each network request system consumes a part of its resources, as well as the weaknesses of network technologies related to the limited processing of network requests the flow rates and the lack of controls on the co"&amp;"ntrol links and errors implementation of network protocols.
Implementation of this threat is possible while the excess volume of queries on the volumes available for processing resources diskreditiruemoy system or having network protocols implementing er"&amp;"ror (e.g., the formation of IP-address version 6 on the basis of MAC-addresses, determining availability of IP-addresses, using PPP integrity function IR interface, etc.).")</f>
        <v>The threat is the possibility of failure of the discredited system access legal users under avalanche increase in the number of network connections with the system or by using the shortcomings of the implementation of network protocols.
This threat stems from the fact that in order to process each network request system consumes a part of its resources, as well as the weaknesses of network technologies related to the limited processing of network requests the flow rates and the lack of controls on the control links and errors implementation of network protocols.
Implementation of this threat is possible while the excess volume of queries on the volumes available for processing resources diskreditiruemoy system or having network protocols implementing error (e.g., the formation of IP-address version 6 on the basis of MAC-addresses, determining availability of IP-addresses, using PPP integrity function IR interface, etc.).</v>
      </c>
      <c r="M141" s="114" t="str">
        <f ca="1">IFERROR(__xludf.DUMMYFUNCTION("GOOGLETRANSLATE(F142, ""auto"", ""en"")"),"External intruder low potential insider with a low potential")</f>
        <v>External intruder low potential insider with a low potential</v>
      </c>
      <c r="N141" s="114" t="str">
        <f ca="1">IFERROR(__xludf.DUMMYFUNCTION("GOOGLETRANSLATE(H142, ""auto"", ""en"")"),"Information System, a network node, the system software, network software, network traffic, telecommunication device")</f>
        <v>Information System, a network node, the system software, network software, network traffic, telecommunication device</v>
      </c>
    </row>
    <row r="142" spans="9:14" ht="345">
      <c r="I142" s="168"/>
      <c r="J142" s="114">
        <v>141</v>
      </c>
      <c r="K142" s="114" t="str">
        <f ca="1">IFERROR(__xludf.DUMMYFUNCTION("GOOGLETRANSLATE(B143, ""auto"", ""en"")"),"binding threat to the cloud service provider")</f>
        <v>binding threat to the cloud service provider</v>
      </c>
      <c r="L142" s="114" t="str">
        <f ca="1">IFERROR(__xludf.DUMMYFUNCTION("GOOGLETRANSLATE(D143, ""auto"", ""en"")"),"The threat is the possibility of intractable (or even unsolvable) problems of a technical, organizational, legal or other nature, impede the implementation of the consumer cloud services change their supplier.
This threat is caused by the lack of compati"&amp;"bility between data formats and programming interfaces used in a variety of cloud infrastructure providers of cloud services.
Implementation of this threat can be subject to the use of cloud services provider of nonstandard software or format of virtual "&amp;"machine images and lack of funds the conversion of a virtual machine image used them in another format (used by another supplier)")</f>
        <v>The threat is the possibility of intractable (or even unsolvable) problems of a technical, organizational, legal or other nature, impede the implementation of the consumer cloud services change their supplier.
This threat is caused by the lack of compatibility between data formats and programming interfaces used in a variety of cloud infrastructure providers of cloud services.
Implementation of this threat can be subject to the use of cloud services provider of nonstandard software or format of virtual machine images and lack of funds the conversion of a virtual machine image used them in another format (used by another supplier)</v>
      </c>
      <c r="M142" s="114" t="str">
        <f ca="1">IFERROR(__xludf.DUMMYFUNCTION("GOOGLETRANSLATE(F143, ""auto"", ""en"")"),"Insider with a low potential")</f>
        <v>Insider with a low potential</v>
      </c>
      <c r="N142" s="114" t="str">
        <f ca="1">IFERROR(__xludf.DUMMYFUNCTION("GOOGLETRANSLATE(H143, ""auto"", ""en"")"),"Information system, immigrated to the cloud system software, network software, network traffic, file system objects")</f>
        <v>Information system, immigrated to the cloud system software, network software, network traffic, file system objects</v>
      </c>
    </row>
    <row r="143" spans="9:14" ht="405">
      <c r="I143" s="168"/>
      <c r="J143" s="114">
        <v>142</v>
      </c>
      <c r="K143" s="114" t="str">
        <f ca="1">IFERROR(__xludf.DUMMYFUNCTION("GOOGLETRANSLATE(B144, ""auto"", ""en"")"),"The threat of suspension of the provision of cloud services as a result of technical failure")</f>
        <v>The threat of suspension of the provision of cloud services as a result of technical failure</v>
      </c>
      <c r="L143" s="114" t="str">
        <f ca="1">IFERROR(__xludf.DUMMYFUNCTION("GOOGLETRANSLATE(D144, ""auto"", ""en"")"),"The threat lies in the decline in the quality of cloud services opportunities (or even denying the provision to end-users) because of technical failures in at least one of the cloud service providers (members of the chain of intermediaries in providing cl"&amp;"oud services to their end users), as well as due the occurrence of significant delays or losses of data transmission channels, leased or consumer cloud providers.
This threat is caused by weaknesses control procedures for performing maintenance and obser"&amp;"vance of the operating modes cloud hardware information system.
Implementation of this threat is possible in the absence of mechanisms for redundant processing means, storage and transmission of information included in the cloud information system")</f>
        <v>The threat lies in the decline in the quality of cloud services opportunities (or even denying the provision to end-users) because of technical failures in at least one of the cloud service providers (members of the chain of intermediaries in providing cloud services to their end users), as well as due the occurrence of significant delays or losses of data transmission channels, leased or consumer cloud providers.
This threat is caused by weaknesses control procedures for performing maintenance and observance of the operating modes cloud hardware information system.
Implementation of this threat is possible in the absence of mechanisms for redundant processing means, storage and transmission of information included in the cloud information system</v>
      </c>
      <c r="M143" s="114" t="str">
        <f ca="1">IFERROR(__xludf.DUMMYFUNCTION("GOOGLETRANSLATE(F144, ""auto"", ""en"")"),"#VALUE!")</f>
        <v>#VALUE!</v>
      </c>
      <c r="N143" s="114" t="str">
        <f ca="1">IFERROR(__xludf.DUMMYFUNCTION("GOOGLETRANSLATE(H144, ""auto"", ""en"")"),"System software, hardware, communications channel")</f>
        <v>System software, hardware, communications channel</v>
      </c>
    </row>
    <row r="144" spans="9:14" ht="409.5">
      <c r="I144" s="168"/>
      <c r="J144" s="114">
        <v>143</v>
      </c>
      <c r="K144" s="114" t="str">
        <f ca="1">IFERROR(__xludf.DUMMYFUNCTION("GOOGLETRANSLATE(B145, ""auto"", ""en"")"),"software excretion threat of failure storing means, processing and (or) the input / output / transmission")</f>
        <v>software excretion threat of failure storing means, processing and (or) the input / output / transmission</v>
      </c>
      <c r="L144" s="114" t="str">
        <f ca="1">IFERROR(__xludf.DUMMYFUNCTION("GOOGLETRANSLATE(D145, ""auto"", ""en"")"),"The threat is the possibility of wrongdoing information processing system interrupt diskreditiruemoy destructive way of software (locally or remotely) effects on storage means (external, internal and removable storage) processing (processor, controller de"&amp;"vices, etc.) and (or) input / output / transmission (keyboard, etc.), which resulted in the protection object goes into the state ""denial of service"". Thus it concluded from this state may not be possible by rebooting the system, and would require the r"&amp;"epair work.
This threat is due to the presence of vulnerabilities firmware storage means, processing and (or) the input / output / communication, as well as the impossibility of long-term presence of storage means, processing and (or) the input / output "&amp;"/ transmit information in the limiting values ​​mode (frequency of the system bus , CPU, amount of requests for reading and / or recording and other parameters).
Implementation of this threat is possible in the presence of the offender rights to send com"&amp;"mands or specially crafted input data storage means, processing and (or) I / O / transmission")</f>
        <v>The threat is the possibility of wrongdoing information processing system interrupt diskreditiruemoy destructive way of software (locally or remotely) effects on storage means (external, internal and removable storage) processing (processor, controller devices, etc.) and (or) input / output / transmission (keyboard, etc.), which resulted in the protection object goes into the state "denial of service". Thus it concluded from this state may not be possible by rebooting the system, and would require the repair work.
This threat is due to the presence of vulnerabilities firmware storage means, processing and (or) the input / output / communication, as well as the impossibility of long-term presence of storage means, processing and (or) the input / output / transmit information in the limiting values ​​mode (frequency of the system bus , CPU, amount of requests for reading and / or recording and other parameters).
Implementation of this threat is possible in the presence of the offender rights to send commands or specially crafted input data storage means, processing and (or) I / O / transmission</v>
      </c>
      <c r="M144" s="114" t="str">
        <f ca="1">IFERROR(__xludf.DUMMYFUNCTION("GOOGLETRANSLATE(F145, ""auto"", ""en"")"),"External intruder with an average potential intruder inner middle potential")</f>
        <v>External intruder with an average potential intruder inner middle potential</v>
      </c>
      <c r="N144" s="114" t="str">
        <f ca="1">IFERROR(__xludf.DUMMYFUNCTION("GOOGLETRANSLATE(H145, ""auto"", ""en"")"),"Information carrier, firmware, hardware, telecommunication device")</f>
        <v>Information carrier, firmware, hardware, telecommunication device</v>
      </c>
    </row>
    <row r="145" spans="9:14" ht="330">
      <c r="I145" s="168"/>
      <c r="J145" s="114">
        <v>144</v>
      </c>
      <c r="K145" s="114" t="str">
        <f ca="1">IFERROR(__xludf.DUMMYFUNCTION("GOOGLETRANSLATE(B146, ""auto"", ""en"")"),"Software BIOS password reset threat")</f>
        <v>Software BIOS password reset threat</v>
      </c>
      <c r="L145" s="114" t="str">
        <f ca="1">IFERROR(__xludf.DUMMYFUNCTION("GOOGLETRANSLATE(D146, ""auto"", ""en"")"),"The threat is the possibility of unauthorized access to the offender BIOS / UEFI settings after rebooting the computer by entering a ""blank"" password.
This threat is caused by weakness of measures restricting access to the operating system to the BIOS "&amp;"/ UEFI password reset function.
Implementation of this threat is possible under the conditions:
availability in a software BIOS / UEFI providing active interface software password reset function directly from an operating system;
the presence of the of"&amp;"fender of special software, realizing the password reset, as well as rights to the operating system to install and run these tools")</f>
        <v>The threat is the possibility of unauthorized access to the offender BIOS / UEFI settings after rebooting the computer by entering a "blank" password.
This threat is caused by weakness of measures restricting access to the operating system to the BIOS / UEFI password reset function.
Implementation of this threat is possible under the conditions:
availability in a software BIOS / UEFI providing active interface software password reset function directly from an operating system;
the presence of the offender of special software, realizing the password reset, as well as rights to the operating system to install and run these tools</v>
      </c>
      <c r="M145" s="114" t="str">
        <f ca="1">IFERROR(__xludf.DUMMYFUNCTION("GOOGLETRANSLATE(F146, ""auto"", ""en"")"),"Insider with a low potential")</f>
        <v>Insider with a low potential</v>
      </c>
      <c r="N145" s="114" t="str">
        <f ca="1">IFERROR(__xludf.DUMMYFUNCTION("GOOGLETRANSLATE(H146, ""auto"", ""en"")"),"Firmware BIOS / UEFI, the system software")</f>
        <v>Firmware BIOS / UEFI, the system software</v>
      </c>
    </row>
    <row r="146" spans="9:14" ht="409.5">
      <c r="I146" s="168"/>
      <c r="J146" s="114">
        <v>145</v>
      </c>
      <c r="K146" s="114" t="str">
        <f ca="1">IFERROR(__xludf.DUMMYFUNCTION("GOOGLETRANSLATE(B147, ""auto"", ""en"")"),"The threat passes test software integrity")</f>
        <v>The threat passes test software integrity</v>
      </c>
      <c r="L146" s="114" t="str">
        <f ca="1">IFERROR(__xludf.DUMMYFUNCTION("GOOGLETRANSLATE(D147, ""auto"", ""en"")"),"The threat is the possibility of the introduction of the offender in diskreditiruemuyu system of malicious software through deceptive redirects user requests or programs on its own network share containing a malicious software, for its ""manual"" or ""aut"&amp;"omatic"" download and then install in diskreditiruemuyu system as a user or its programs.
This threat is due to weaknesses mechanisms integrity check software files, and / or authenticate the source of their production.
Implementation of this threat can"&amp;" be subject to the successful use of deceptive techniques of one of the following methods:
""Manual method"" - the offender, using fraudulent mechanisms, convinces the user to link to a network share of the offender, and this leads to malicious code on t"&amp;"he user's computer, or convinces the user can manually download and install a malicious program (for example, under the guise of a game or an antiviral agent) ;
""Automatic method"" - the offender carries out destructive effect redirect Automatic Updates"&amp;" diskreditiruemoy program on its own malicious server")</f>
        <v>The threat is the possibility of the introduction of the offender in diskreditiruemuyu system of malicious software through deceptive redirects user requests or programs on its own network share containing a malicious software, for its "manual" or "automatic" download and then install in diskreditiruemuyu system as a user or its programs.
This threat is due to weaknesses mechanisms integrity check software files, and / or authenticate the source of their production.
Implementation of this threat can be subject to the successful use of deceptive techniques of one of the following methods:
"Manual method" - the offender, using fraudulent mechanisms, convinces the user to link to a network share of the offender, and this leads to malicious code on the user's computer, or convinces the user can manually download and install a malicious program (for example, under the guise of a game or an antiviral agent) ;
"Automatic method" - the offender carries out destructive effect redirect Automatic Updates diskreditiruemoy program on its own malicious server</v>
      </c>
      <c r="M146" s="114" t="str">
        <f ca="1">IFERROR(__xludf.DUMMYFUNCTION("GOOGLETRANSLATE(F147, ""auto"", ""en"")"),"External intruder low potential insider with a low potential")</f>
        <v>External intruder low potential insider with a low potential</v>
      </c>
      <c r="N146" s="114" t="str">
        <f ca="1">IFERROR(__xludf.DUMMYFUNCTION("GOOGLETRANSLATE(H147, ""auto"", ""en"")"),"System software, application software, networking software")</f>
        <v>System software, application software, networking software</v>
      </c>
    </row>
    <row r="147" spans="9:14" ht="330">
      <c r="I147" s="168"/>
      <c r="J147" s="114">
        <v>146</v>
      </c>
      <c r="K147" s="114" t="str">
        <f ca="1">IFERROR(__xludf.DUMMYFUNCTION("GOOGLETRANSLATE(B148, ""auto"", ""en"")"),"The threat of a direct memory access computing field supercomputer")</f>
        <v>The threat of a direct memory access computing field supercomputer</v>
      </c>
      <c r="L147" s="114" t="str">
        <f ca="1">IFERROR(__xludf.DUMMYFUNCTION("GOOGLETRANSLATE(D148, ""auto"", ""en"")"),"The threat lies in the possibility of offending process functioning in the computing field supercomputer reading of protected data from the RAM allocated for the parallel (diskreditiruemogo) process, using a remote direct memory access operations.
This t"&amp;"hreat is due to weaknesses protocol directly access the RAM, by which accesses the memory segment dedicated for remote parallel process operating in the computing field supercomputer.
Implementation of this threat can be subject to the successful impleme"&amp;"ntation of the violator to the input / output data of the parallel processes in the computing field supercomputer")</f>
        <v>The threat lies in the possibility of offending process functioning in the computing field supercomputer reading of protected data from the RAM allocated for the parallel (diskreditiruemogo) process, using a remote direct memory access operations.
This threat is due to weaknesses protocol directly access the RAM, by which accesses the memory segment dedicated for remote parallel process operating in the computing field supercomputer.
Implementation of this threat can be subject to the successful implementation of the violator to the input / output data of the parallel processes in the computing field supercomputer</v>
      </c>
      <c r="M147" s="114" t="str">
        <f ca="1">IFERROR(__xludf.DUMMYFUNCTION("GOOGLETRANSLATE(F148, ""auto"", ""en"")"),"External intruder with an average potential intruder inner middle potential")</f>
        <v>External intruder with an average potential intruder inner middle potential</v>
      </c>
      <c r="N147" s="114" t="str">
        <f ca="1">IFERROR(__xludf.DUMMYFUNCTION("GOOGLETRANSLATE(H148, ""auto"", ""en"")"),"Supercomputer computing nodes, data links supercomputer system software")</f>
        <v>Supercomputer computing nodes, data links supercomputer system software</v>
      </c>
    </row>
    <row r="148" spans="9:14" ht="240">
      <c r="I148" s="168"/>
      <c r="J148" s="114">
        <v>147</v>
      </c>
      <c r="K148" s="114" t="str">
        <f ca="1">IFERROR(__xludf.DUMMYFUNCTION("GOOGLETRANSLATE(B149, ""auto"", ""en"")"),"The threat of proliferation unauthorized elevated privileges for the rest of the grid system")</f>
        <v>The threat of proliferation unauthorized elevated privileges for the rest of the grid system</v>
      </c>
      <c r="L148" s="114" t="str">
        <f ca="1">IFERROR(__xludf.DUMMYFUNCTION("GOOGLETRANSLATE(D149, ""auto"", ""en"")"),"The threat lies in the possibility of automatically distributing the entire grid system unauthorized intruder received at one node privileges.
This threat is caused by the presence of vulnerabilities in client software, grid systems and weaknesses in the"&amp;" mechanism of user rights assignment, implemented in connection software.
Implementation of this threat can be subject to the successful increase of the offender's rights on one node grid system")</f>
        <v>The threat lies in the possibility of automatically distributing the entire grid system unauthorized intruder received at one node privileges.
This threat is caused by the presence of vulnerabilities in client software, grid systems and weaknesses in the mechanism of user rights assignment, implemented in connection software.
Implementation of this threat can be subject to the successful increase of the offender's rights on one node grid system</v>
      </c>
      <c r="M148" s="114" t="str">
        <f ca="1">IFERROR(__xludf.DUMMYFUNCTION("GOOGLETRANSLATE(F149, ""auto"", ""en"")"),"The inner middle potential violator")</f>
        <v>The inner middle potential violator</v>
      </c>
      <c r="N148" s="114" t="str">
        <f ca="1">IFERROR(__xludf.DUMMYFUNCTION("GOOGLETRANSLATE(H149, ""auto"", ""en"")"),"Resource Centers grid system, grid-system components, grid system, networking software")</f>
        <v>Resource Centers grid system, grid-system components, grid system, networking software</v>
      </c>
    </row>
    <row r="149" spans="9:14" ht="285">
      <c r="I149" s="168"/>
      <c r="J149" s="114">
        <v>148</v>
      </c>
      <c r="K149" s="114" t="str">
        <f ca="1">IFERROR(__xludf.DUMMYFUNCTION("GOOGLETRANSLATE(B150, ""auto"", ""en"")"),"automatic control system failure, the threat of access control storage of large data")</f>
        <v>automatic control system failure, the threat of access control storage of large data</v>
      </c>
      <c r="L149" s="114" t="str">
        <f ca="1">IFERROR(__xludf.DUMMYFUNCTION("GOOGLETRANSLATE(D150, ""auto"", ""en"")"),"The threat is the possibility of situations c automatically assign error to the user access rights (granting additional powers, erroneous inheritance, random restoration of ""dormant"" accounts, etc.).
This threat is caused by weakness of the large numbe"&amp;"r of control measures (by the thousands, and in some cases up to several millions) user accounts by security administrators.
Implementation of this threat can be subject to the occurrence of failures or errors in the access control storage of large data "&amp;"systems")</f>
        <v>The threat is the possibility of situations c automatically assign error to the user access rights (granting additional powers, erroneous inheritance, random restoration of "dormant" accounts, etc.).
This threat is caused by weakness of the large number of control measures (by the thousands, and in some cases up to several millions) user accounts by security administrators.
Implementation of this threat can be subject to the occurrence of failures or errors in the access control storage of large data systems</v>
      </c>
      <c r="M149" s="114" t="str">
        <f ca="1">IFERROR(__xludf.DUMMYFUNCTION("GOOGLETRANSLATE(F150, ""auto"", ""en"")"),"#VALUE!")</f>
        <v>#VALUE!</v>
      </c>
      <c r="N149" s="114" t="str">
        <f ca="1">IFERROR(__xludf.DUMMYFUNCTION("GOOGLETRANSLATE(H150, ""auto"", ""en"")"),"Information systems, access control storage of large data")</f>
        <v>Information systems, access control storage of large data</v>
      </c>
    </row>
    <row r="150" spans="9:14" ht="390">
      <c r="I150" s="168"/>
      <c r="J150" s="114">
        <v>149</v>
      </c>
      <c r="K150" s="114" t="str">
        <f ca="1">IFERROR(__xludf.DUMMYFUNCTION("GOOGLETRANSLATE(B151, ""auto"", ""en"")"),"treatment failure, the threat of a specially modified files")</f>
        <v>treatment failure, the threat of a specially modified files</v>
      </c>
      <c r="L150" s="114" t="str">
        <f ca="1">IFERROR(__xludf.DUMMYFUNCTION("GOOGLETRANSLATE(D151, ""auto"", ""en"")"),"The threat is the possibility of the perpetrator of various illegal actions on behalf of the discredited application by calling the failure in their work due to changes in the processed diskreditiruemymi program files or their metadata.
This threat is ca"&amp;"used by weaknesses mechanism to verify the integrity of files processed and correctness of data they contain.
Implementation of this threat is possible in the circumstances:
the presence of the offender information on file formats and values, causing a "&amp;"failure of functioning applications discredited as they are processed;
successfully established in diskreditiruemoy system control gear on the interception processing violator software failure")</f>
        <v>The threat is the possibility of the perpetrator of various illegal actions on behalf of the discredited application by calling the failure in their work due to changes in the processed diskreditiruemymi program files or their metadata.
This threat is caused by weaknesses mechanism to verify the integrity of files processed and correctness of data they contain.
Implementation of this threat is possible in the circumstances:
the presence of the offender information on file formats and values, causing a failure of functioning applications discredited as they are processed;
successfully established in diskreditiruemoy system control gear on the interception processing violator software failure</v>
      </c>
      <c r="M150" s="114" t="str">
        <f ca="1">IFERROR(__xludf.DUMMYFUNCTION("GOOGLETRANSLATE(F151, ""auto"", ""en"")"),"External intruder with an average potential intruder inner middle potential")</f>
        <v>External intruder with an average potential intruder inner middle potential</v>
      </c>
      <c r="N150" s="114" t="str">
        <f ca="1">IFERROR(__xludf.DUMMYFUNCTION("GOOGLETRANSLATE(H151, ""auto"", ""en"")"),"The metadata file system objects, system software")</f>
        <v>The metadata file system objects, system software</v>
      </c>
    </row>
    <row r="151" spans="9:14" ht="300">
      <c r="I151" s="168"/>
      <c r="J151" s="114">
        <v>150</v>
      </c>
      <c r="K151" s="114" t="str">
        <f ca="1">IFERROR(__xludf.DUMMYFUNCTION("GOOGLETRANSLATE(B152, ""auto"", ""en"")"),"BIOS update failure threat")</f>
        <v>BIOS update failure threat</v>
      </c>
      <c r="L151" s="114" t="str">
        <f ca="1">IFERROR(__xludf.DUMMYFUNCTION("GOOGLETRANSLATE(D152, ""auto"", ""en"")"),"The threat is the possibility of disabling the computer because of making critical errors in the BIOS / UEFI software as a result of violating the update process.
This threat is due to the weaknesses of control technologies for updating BIOS / UEFI softw"&amp;"are.
Implementation of this threat is possible in the course of repair and computer maintenance both when installing the correct / compatible version upgrade (due to failures, interference, etc.) and damaged during installation / upgrade an incompatible "&amp;"version (due to lack of integrity verification mechanism and compatibility)")</f>
        <v>The threat is the possibility of disabling the computer because of making critical errors in the BIOS / UEFI software as a result of violating the update process.
This threat is due to the weaknesses of control technologies for updating BIOS / UEFI software.
Implementation of this threat is possible in the course of repair and computer maintenance both when installing the correct / compatible version upgrade (due to failures, interference, etc.) and damaged during installation / upgrade an incompatible version (due to lack of integrity verification mechanism and compatibility)</v>
      </c>
      <c r="M151" s="114" t="str">
        <f ca="1">IFERROR(__xludf.DUMMYFUNCTION("GOOGLETRANSLATE(F152, ""auto"", ""en"")"),"The inner middle potential violator")</f>
        <v>The inner middle potential violator</v>
      </c>
      <c r="N151" s="114" t="str">
        <f ca="1">IFERROR(__xludf.DUMMYFUNCTION("GOOGLETRANSLATE(H152, ""auto"", ""en"")"),"Firmware and hardware BIOS / UEFI software, communication channels")</f>
        <v>Firmware and hardware BIOS / UEFI software, communication channels</v>
      </c>
    </row>
    <row r="152" spans="9:14" ht="315">
      <c r="I152" s="168"/>
      <c r="J152" s="114">
        <v>151</v>
      </c>
      <c r="K152" s="114" t="str">
        <f ca="1">IFERROR(__xludf.DUMMYFUNCTION("GOOGLETRANSLATE(B153, ""auto"", ""en"")"),"Web services scanning threat developed based on the WSDL description language")</f>
        <v>Web services scanning threat developed based on the WSDL description language</v>
      </c>
      <c r="L152" s="114" t="str">
        <f ca="1">IFERROR(__xludf.DUMMYFUNCTION("GOOGLETRANSLATE(D153, ""auto"", ""en"")"),"The threat is the possibility of obtaining the infringer information about the current configuration of Web services and the presence in it of vulnerability studies by the WSDL-interface web server.
This threat is due to the lack of measures to ensure th"&amp;"e confidentiality of information, implemented in WSDL-service that provides detailed information about ports, services, and connections available to users.
Implementation of this threat is possible in the presence of the offender network unlimited access"&amp;" to a network resource and special software for network scanning")</f>
        <v>The threat is the possibility of obtaining the infringer information about the current configuration of Web services and the presence in it of vulnerability studies by the WSDL-interface web server.
This threat is due to the lack of measures to ensure the confidentiality of information, implemented in WSDL-service that provides detailed information about ports, services, and connections available to users.
Implementation of this threat is possible in the presence of the offender network unlimited access to a network resource and special software for network scanning</v>
      </c>
      <c r="M152" s="114" t="str">
        <f ca="1">IFERROR(__xludf.DUMMYFUNCTION("GOOGLETRANSLATE(F153, ""auto"", ""en"")"),"External intruder with a low potential")</f>
        <v>External intruder with a low potential</v>
      </c>
      <c r="N152" s="114" t="str">
        <f ca="1">IFERROR(__xludf.DUMMYFUNCTION("GOOGLETRANSLATE(H153, ""auto"", ""en"")"),"Network software, network node")</f>
        <v>Network software, network node</v>
      </c>
    </row>
    <row r="153" spans="9:14" ht="409.5">
      <c r="I153" s="168"/>
      <c r="J153" s="114">
        <v>152</v>
      </c>
      <c r="K153" s="114" t="str">
        <f ca="1">IFERROR(__xludf.DUMMYFUNCTION("GOOGLETRANSLATE(B154, ""auto"", ""en"")"),"authentication information deletion Threat")</f>
        <v>authentication information deletion Threat</v>
      </c>
      <c r="L153" s="114" t="str">
        <f ca="1">IFERROR(__xludf.DUMMYFUNCTION("GOOGLETRANSLATE(D154, ""auto"", ""en"")"),"The threat is the possibility of failure of the legitimate users access to information resources, as well as the possibility of obtaining the offender discredited user privileges due to a reset (zeroing remove) its authentication information.
This threat"&amp;" is caused by weaknesses policies restricting access to the authentication information and means of working with user accounts.
Implementation of this threat is possible if one of the following conditions:
standard tools to work with user accounts have "&amp;"a functional reset the authentication information, and the offender received privileges diskreditiruemoy system for the use of these funds;
intruder has special software that implements the function of resetting the authentication information and receive"&amp;"d diskreditiruemoy privileges in the system to use these means")</f>
        <v>The threat is the possibility of failure of the legitimate users access to information resources, as well as the possibility of obtaining the offender discredited user privileges due to a reset (zeroing remove) its authentication information.
This threat is caused by weaknesses policies restricting access to the authentication information and means of working with user accounts.
Implementation of this threat is possible if one of the following conditions:
standard tools to work with user accounts have a functional reset the authentication information, and the offender received privileges diskreditiruemoy system for the use of these funds;
intruder has special software that implements the function of resetting the authentication information and received diskreditiruemoy privileges in the system to use these means</v>
      </c>
      <c r="M153" s="114" t="str">
        <f ca="1">IFERROR(__xludf.DUMMYFUNCTION("GOOGLETRANSLATE(F154, ""auto"", ""en"")"),"External intruder low potential insider with a low potential")</f>
        <v>External intruder low potential insider with a low potential</v>
      </c>
      <c r="N153" s="114" t="str">
        <f ca="1">IFERROR(__xludf.DUMMYFUNCTION("GOOGLETRANSLATE(H154, ""auto"", ""en"")"),"System software, firmware, usernames user data")</f>
        <v>System software, firmware, usernames user data</v>
      </c>
    </row>
    <row r="154" spans="9:14" ht="409.5">
      <c r="I154" s="168"/>
      <c r="J154" s="114">
        <v>153</v>
      </c>
      <c r="K154" s="114" t="str">
        <f ca="1">IFERROR(__xludf.DUMMYFUNCTION("GOOGLETRANSLATE(B155, ""auto"", ""en"")"),"The threat of greater impact on the user's computing resources with the help of third-party servers")</f>
        <v>The threat of greater impact on the user's computing resources with the help of third-party servers</v>
      </c>
      <c r="L154" s="114" t="str">
        <f ca="1">IFERROR(__xludf.DUMMYFUNCTION("GOOGLETRANSLATE(D155, ""auto"", ""en"")"),"The threat is the possibility of the offender mediated destructive impact on the software system diskreditiruemuyu large volume of network traffic generated by third-party servers in response to network requests intruder generated on behalf diskreditiruem"&amp;"oy system. Generated by the server-side network traffic significantly exceeds the volume of network requests generated by the infringer.
This threat is caused by weakness of measures firewall diskreditiruemoy information system network requests authentic"&amp;"ation controls on third-party servers, as well as the weaknesses of the Open Systems Interconnection model.
Implementation of this threat can be provided that the offender:
information on third-party servers with insufficient measures for the control of"&amp;" network requests authentication;
information network address diskreditiruemoy system;
special software that implements the functions of generation of network packets")</f>
        <v>The threat is the possibility of the offender mediated destructive impact on the software system diskreditiruemuyu large volume of network traffic generated by third-party servers in response to network requests intruder generated on behalf diskreditiruemoy system. Generated by the server-side network traffic significantly exceeds the volume of network requests generated by the infringer.
This threat is caused by weakness of measures firewall diskreditiruemoy information system network requests authentication controls on third-party servers, as well as the weaknesses of the Open Systems Interconnection model.
Implementation of this threat can be provided that the offender:
information on third-party servers with insufficient measures for the control of network requests authentication;
information network address diskreditiruemoy system;
special software that implements the functions of generation of network packets</v>
      </c>
      <c r="M154" s="114" t="str">
        <f ca="1">IFERROR(__xludf.DUMMYFUNCTION("GOOGLETRANSLATE(F155, ""auto"", ""en"")"),"External intruder low potential insider with a low potential")</f>
        <v>External intruder low potential insider with a low potential</v>
      </c>
      <c r="N154" s="114" t="str">
        <f ca="1">IFERROR(__xludf.DUMMYFUNCTION("GOOGLETRANSLATE(H155, ""auto"", ""en"")"),"Information System, a network node, the system software, networking software")</f>
        <v>Information System, a network node, the system software, networking software</v>
      </c>
    </row>
    <row r="155" spans="9:14" ht="270">
      <c r="I155" s="168"/>
      <c r="J155" s="114">
        <v>154</v>
      </c>
      <c r="K155" s="114" t="str">
        <f ca="1">IFERROR(__xludf.DUMMYFUNCTION("GOOGLETRANSLATE(B156, ""auto"", ""en"")"),"Installation threat vulnerable versions of the software update BIOS")</f>
        <v>Installation threat vulnerable versions of the software update BIOS</v>
      </c>
      <c r="L155" s="114" t="str">
        <f ca="1">IFERROR(__xludf.DUMMYFUNCTION("GOOGLETRANSLATE(D156, ""auto"", ""en"")"),"The threat is the possibility of a vulnerability in software BIOS / UEFI software during its renovation, which can be used in the future to bring the computer into a state of ""denial of service"" unauthorized change BIOS / UEFI configuration or execute m"&amp;"alicious code every time you start your computer.
This threat is caused by the lack of controls weaknesses of vulnerabilities in the newly released version update BIOS / UEFI software.
Implementation of this threat is possible in the course of repair an"&amp;"d computer maintenance")</f>
        <v>The threat is the possibility of a vulnerability in software BIOS / UEFI software during its renovation, which can be used in the future to bring the computer into a state of "denial of service" unauthorized change BIOS / UEFI configuration or execute malicious code every time you start your computer.
This threat is caused by the lack of controls weaknesses of vulnerabilities in the newly released version update BIOS / UEFI software.
Implementation of this threat is possible in the course of repair and computer maintenance</v>
      </c>
      <c r="M155" s="114" t="str">
        <f ca="1">IFERROR(__xludf.DUMMYFUNCTION("GOOGLETRANSLATE(F156, ""auto"", ""en"")"),"External intruder with an average potential intruder inner middle potential")</f>
        <v>External intruder with an average potential intruder inner middle potential</v>
      </c>
      <c r="N155" s="114" t="str">
        <f ca="1">IFERROR(__xludf.DUMMYFUNCTION("GOOGLETRANSLATE(H156, ""auto"", ""en"")"),"BIOS / UEFI firmware")</f>
        <v>BIOS / UEFI firmware</v>
      </c>
    </row>
    <row r="156" spans="9:14" ht="409.5">
      <c r="I156" s="168"/>
      <c r="J156" s="114">
        <v>155</v>
      </c>
      <c r="K156" s="114" t="str">
        <f ca="1">IFERROR(__xludf.DUMMYFUNCTION("GOOGLETRANSLATE(B157, ""auto"", ""en"")"),"The threat of loss of computing resources")</f>
        <v>The threat of loss of computing resources</v>
      </c>
      <c r="L156" s="114" t="str">
        <f ca="1">IFERROR(__xludf.DUMMYFUNCTION("GOOGLETRANSLATE(D157, ""auto"", ""en"")"),"The threat is the possibility of failure of the legitimate user in the allocation of resources to handle his requests because of the exhaustion of the infringer of free resources on the system Implemented by unauthorized exception to the general pool of r"&amp;"esources based on the techniques of ""resource leaks"" or ""allocation of resources"".
This threat is due to the weaknesses of the mechanism of control over the distribution of computing resources between users and firewall measures diskreditiruemoy info"&amp;"rmation system and monitoring of network authentication servers for third-party requests.
Implementation of this threat can be provided that the offender:
Information about the format and parameters of the destructive effects on the system, leading to t"&amp;"he exclusion ( ""leakage"" or ""release"") of free resources out of the total pool of resources diskreditiruemoy system;
privileges sufficient to effect the destructive effects ( ""leakage"" or ""isolation"") in diskreditiruemoy system;
lack of administ"&amp;"rators for: for technology ""resource leaks"" - restart the system while sending the infringer a large number of requests for resources, and for the technique of ""resource allocation"" - the forced release of resources allocated at the request of malicio"&amp;"us processes")</f>
        <v>The threat is the possibility of failure of the legitimate user in the allocation of resources to handle his requests because of the exhaustion of the infringer of free resources on the system Implemented by unauthorized exception to the general pool of resources based on the techniques of "resource leaks" or "allocation of resources".
This threat is due to the weaknesses of the mechanism of control over the distribution of computing resources between users and firewall measures diskreditiruemoy information system and monitoring of network authentication servers for third-party requests.
Implementation of this threat can be provided that the offender:
Information about the format and parameters of the destructive effects on the system, leading to the exclusion ( "leakage" or "release") of free resources out of the total pool of resources diskreditiruemoy system;
privileges sufficient to effect the destructive effects ( "leakage" or "isolation") in diskreditiruemoy system;
lack of administrators for: for technology "resource leaks" - restart the system while sending the infringer a large number of requests for resources, and for the technique of "resource allocation" - the forced release of resources allocated at the request of malicious processes</v>
      </c>
      <c r="M156" s="114" t="str">
        <f ca="1">IFERROR(__xludf.DUMMYFUNCTION("GOOGLETRANSLATE(F157, ""auto"", ""en"")"),"External intruder low potential insider with a low potential")</f>
        <v>External intruder low potential insider with a low potential</v>
      </c>
      <c r="N156" s="114" t="str">
        <f ca="1">IFERROR(__xludf.DUMMYFUNCTION("GOOGLETRANSLATE(H157, ""auto"", ""en"")"),"Information System, a network node, data carrier, system software, network software, network traffic")</f>
        <v>Information System, a network node, data carrier, system software, network software, network traffic</v>
      </c>
    </row>
    <row r="157" spans="9:14" ht="180">
      <c r="I157" s="168"/>
      <c r="J157" s="114">
        <v>156</v>
      </c>
      <c r="K157" s="114" t="str">
        <f ca="1">IFERROR(__xludf.DUMMYFUNCTION("GOOGLETRANSLATE(B158, ""auto"", ""en"")"),"The threat of loss of storage media")</f>
        <v>The threat of loss of storage media</v>
      </c>
      <c r="L157" s="114" t="str">
        <f ca="1">IFERROR(__xludf.DUMMYFUNCTION("GOOGLETRANSLATE(D158, ""auto"", ""en"")"),"The threat is stored on the lost media opportunities disclosure (if there is no data encryption), or its loss (in the absence of back-up copies of the data).
This threat is caused by weakness of measures recording and reporting of data carriers, as well "&amp;"as measures redundancy protected data.
Implementation of this threat can be due to staff negligence")</f>
        <v>The threat is stored on the lost media opportunities disclosure (if there is no data encryption), or its loss (in the absence of back-up copies of the data).
This threat is caused by weakness of measures recording and reporting of data carriers, as well as measures redundancy protected data.
Implementation of this threat can be due to staff negligence</v>
      </c>
      <c r="M157" s="114" t="str">
        <f ca="1">IFERROR(__xludf.DUMMYFUNCTION("GOOGLETRANSLATE(F158, ""auto"", ""en"")"),"Insider with a low potential")</f>
        <v>Insider with a low potential</v>
      </c>
      <c r="N157" s="114" t="str">
        <f ca="1">IFERROR(__xludf.DUMMYFUNCTION("GOOGLETRANSLATE(H158, ""auto"", ""en"")"),"information carrier")</f>
        <v>information carrier</v>
      </c>
    </row>
    <row r="158" spans="9:14" ht="345">
      <c r="I158" s="168"/>
      <c r="J158" s="114">
        <v>157</v>
      </c>
      <c r="K158" s="114" t="str">
        <f ca="1">IFERROR(__xludf.DUMMYFUNCTION("GOOGLETRANSLATE(B159, ""auto"", ""en"")"),"The threat of physical incapacitation storage means, processing and (or) the input / output / transmission")</f>
        <v>The threat of physical incapacitation storage means, processing and (or) the input / output / transmission</v>
      </c>
      <c r="L158" s="114" t="str">
        <f ca="1">IFERROR(__xludf.DUMMYFUNCTION("GOOGLETRANSLATE(D159, ""auto"", ""en"")"),"The threat lies in the possibility of intentional disabling external violator storage means, processing and (or) the input / output / communication, which can lead to disruption of availability and, in some cases, the integrity of the information being pr"&amp;"otected.
This threat is due to weaknesses controls physical access to the storage means, processing and (or) the input / output / transmit information.
Implementation of this threat can be subject to the violator physical access to storage media (extern"&amp;"al, internal and removable disk drives), the information processing means (CPU, device controllers, etc.) and means for information input / output (keyboard, etc.)")</f>
        <v>The threat lies in the possibility of intentional disabling external violator storage means, processing and (or) the input / output / communication, which can lead to disruption of availability and, in some cases, the integrity of the information being protected.
This threat is due to weaknesses controls physical access to the storage means, processing and (or) the input / output / transmit information.
Implementation of this threat can be subject to the violator physical access to storage media (external, internal and removable disk drives), the information processing means (CPU, device controllers, etc.) and means for information input / output (keyboard, etc.)</v>
      </c>
      <c r="M158" s="114" t="str">
        <f ca="1">IFERROR(__xludf.DUMMYFUNCTION("GOOGLETRANSLATE(F159, ""auto"", ""en"")"),"External intruder with a low potential")</f>
        <v>External intruder with a low potential</v>
      </c>
      <c r="N158" s="114" t="str">
        <f ca="1">IFERROR(__xludf.DUMMYFUNCTION("GOOGLETRANSLATE(H159, ""auto"", ""en"")"),"Servers, workstations, storage media, hardware")</f>
        <v>Servers, workstations, storage media, hardware</v>
      </c>
    </row>
    <row r="159" spans="9:14" ht="315">
      <c r="I159" s="168"/>
      <c r="J159" s="114">
        <v>158</v>
      </c>
      <c r="K159" s="114" t="str">
        <f ca="1">IFERROR(__xludf.DUMMYFUNCTION("GOOGLETRANSLATE(B160, ""auto"", ""en"")"),"Formatting media threat")</f>
        <v>Formatting media threat</v>
      </c>
      <c r="L159" s="114" t="str">
        <f ca="1">IFERROR(__xludf.DUMMYFUNCTION("GOOGLETRANSLATE(D160, ""auto"", ""en"")"),"The threat is the possibility of the loss of a rich-text stored on a storage medium, often without the possibility of its restoration, due to deliberate or accidental formatting procedure information carrier.
This threat is caused by the weakness of meas"&amp;"ures to restrict access to system functions format media.
For the realization of this threat is influenced by such factors as:
the time elapsed after formatting;
the media type;
the media type of the file system;
the intensity of the interaction with"&amp;" the carrier after formatting et al.")</f>
        <v>The threat is the possibility of the loss of a rich-text stored on a storage medium, often without the possibility of its restoration, due to deliberate or accidental formatting procedure information carrier.
This threat is caused by the weakness of measures to restrict access to system functions format media.
For the realization of this threat is influenced by such factors as:
the time elapsed after formatting;
the media type;
the media type of the file system;
the intensity of the interaction with the carrier after formatting et al.</v>
      </c>
      <c r="M159" s="114" t="str">
        <f ca="1">IFERROR(__xludf.DUMMYFUNCTION("GOOGLETRANSLATE(F160, ""auto"", ""en"")"),"External intruder low potential insider with a low potential")</f>
        <v>External intruder low potential insider with a low potential</v>
      </c>
      <c r="N159" s="114" t="str">
        <f ca="1">IFERROR(__xludf.DUMMYFUNCTION("GOOGLETRANSLATE(H160, ""auto"", ""en"")"),"information carrier")</f>
        <v>information carrier</v>
      </c>
    </row>
    <row r="160" spans="9:14" ht="300">
      <c r="I160" s="168"/>
      <c r="J160" s="114">
        <v>159</v>
      </c>
      <c r="K160" s="114" t="str">
        <f ca="1">IFERROR(__xludf.DUMMYFUNCTION("GOOGLETRANSLATE(B161, ""auto"", ""en"")"),"Threat ""forced web browsing""")</f>
        <v>Threat "forced web browsing"</v>
      </c>
      <c r="L160" s="114" t="str">
        <f ca="1">IFERROR(__xludf.DUMMYFUNCTION("GOOGLETRANSLATE(D161, ""auto"", ""en"")"),"The threat is the possibility of obtaining the offender access to protected information, perform privileged operations or of other destructive impacts on the components properly protected web applications.
This threat is caused by weakness (or absence) o"&amp;"f the validation mechanism for data entry on web servers.
Implementation of this threat can be subject to the successful implementation of ""manual input"" into the address bar of a web browser address certain web pages and of the forced transfer of the "&amp;"tree website pages, links to which are not explicitly listed on the website")</f>
        <v>The threat is the possibility of obtaining the offender access to protected information, perform privileged operations or of other destructive impacts on the components properly protected web applications.
This threat is caused by weakness (or absence) of the validation mechanism for data entry on web servers.
Implementation of this threat can be subject to the successful implementation of "manual input" into the address bar of a web browser address certain web pages and of the forced transfer of the tree website pages, links to which are not explicitly listed on the website</v>
      </c>
      <c r="M160" s="114" t="str">
        <f ca="1">IFERROR(__xludf.DUMMYFUNCTION("GOOGLETRANSLATE(F161, ""auto"", ""en"")"),"External intruder with a low potential")</f>
        <v>External intruder with a low potential</v>
      </c>
      <c r="N160" s="114" t="str">
        <f ca="1">IFERROR(__xludf.DUMMYFUNCTION("GOOGLETRANSLATE(H161, ""auto"", ""en"")"),"Network node, network software")</f>
        <v>Network node, network software</v>
      </c>
    </row>
    <row r="161" spans="9:14" ht="330">
      <c r="I161" s="168"/>
      <c r="J161" s="114">
        <v>160</v>
      </c>
      <c r="K161" s="114" t="str">
        <f ca="1">IFERROR(__xludf.DUMMYFUNCTION("GOOGLETRANSLATE(B162, ""auto"", ""en"")"),"The threat of theft of the storage means, processing and (or) the input / output / transmission")</f>
        <v>The threat of theft of the storage means, processing and (or) the input / output / transmission</v>
      </c>
      <c r="L161" s="114" t="str">
        <f ca="1">IFERROR(__xludf.DUMMYFUNCTION("GOOGLETRANSLATE(D162, ""auto"", ""en"")"),"The threat lies in the possibility of an external intruder theft (and devices connected to it), USB-drives, optical drives or other storage means, processing input / output / transmit information.
This threat is due to weaknesses controls physical access"&amp;" to the storage means, processing and (or) the input / output / transmit information.
Implementation of this threat is possible on condition that the intruder physical access to storage media (external, internal and removable disk drives), the informatio"&amp;"n processing means (CPU, device controllers, etc.) and means for information input / output (keyboard, etc. )")</f>
        <v>The threat lies in the possibility of an external intruder theft (and devices connected to it), USB-drives, optical drives or other storage means, processing input / output / transmit information.
This threat is due to weaknesses controls physical access to the storage means, processing and (or) the input / output / transmit information.
Implementation of this threat is possible on condition that the intruder physical access to storage media (external, internal and removable disk drives), the information processing means (CPU, device controllers, etc.) and means for information input / output (keyboard, etc. )</v>
      </c>
      <c r="M161" s="114" t="str">
        <f ca="1">IFERROR(__xludf.DUMMYFUNCTION("GOOGLETRANSLATE(F162, ""auto"", ""en"")"),"External intruder with a low potential")</f>
        <v>External intruder with a low potential</v>
      </c>
      <c r="N161" s="114" t="str">
        <f ca="1">IFERROR(__xludf.DUMMYFUNCTION("GOOGLETRANSLATE(H162, ""auto"", ""en"")"),"Servers, workstations, storage media, hardware")</f>
        <v>Servers, workstations, storage media, hardware</v>
      </c>
    </row>
    <row r="162" spans="9:14" ht="225">
      <c r="I162" s="168"/>
      <c r="J162" s="114">
        <v>161</v>
      </c>
      <c r="K162" s="114" t="str">
        <f ca="1">IFERROR(__xludf.DUMMYFUNCTION("GOOGLETRANSLATE(B163, ""auto"", ""en"")"),"The threat of excessive use of the computing resources of a supercomputer in the intensive exchange of interprocessor communications")</f>
        <v>The threat of excessive use of the computing resources of a supercomputer in the intensive exchange of interprocessor communications</v>
      </c>
      <c r="L162" s="114" t="str">
        <f ca="1">IFERROR(__xludf.DUMMYFUNCTION("GOOGLETRANSLATE(D163, ""auto"", ""en"")"),"The threat is the possibility of a situation such as ""denial of service"" from the field of computing supercomputer.
This threat is caused by weakness of the computing resource allocation controls supercomputer in processing tasks multiple processors.
"&amp;"Implementation of this threat can be subject to a supercomputer-specific computing tasks, during which generated interprocess messages with great intensity")</f>
        <v>The threat is the possibility of a situation such as "denial of service" from the field of computing supercomputer.
This threat is caused by weakness of the computing resource allocation controls supercomputer in processing tasks multiple processors.
Implementation of this threat can be subject to a supercomputer-specific computing tasks, during which generated interprocess messages with great intensity</v>
      </c>
      <c r="M162" s="114" t="str">
        <f ca="1">IFERROR(__xludf.DUMMYFUNCTION("GOOGLETRANSLATE(F163, ""auto"", ""en"")"),"Insider with a low potential")</f>
        <v>Insider with a low potential</v>
      </c>
      <c r="N162" s="114" t="str">
        <f ca="1">IFERROR(__xludf.DUMMYFUNCTION("GOOGLETRANSLATE(H163, ""auto"", ""en"")"),"Compute nodes supercomputer")</f>
        <v>Compute nodes supercomputer</v>
      </c>
    </row>
    <row r="163" spans="9:14" ht="330">
      <c r="I163" s="168"/>
      <c r="J163" s="114">
        <v>162</v>
      </c>
      <c r="K163" s="114" t="str">
        <f ca="1">IFERROR(__xludf.DUMMYFUNCTION("GOOGLETRANSLATE(B164, ""auto"", ""en"")"),"The threat of exploitation of digital signature code")</f>
        <v>The threat of exploitation of digital signature code</v>
      </c>
      <c r="L163" s="114" t="str">
        <f ca="1">IFERROR(__xludf.DUMMYFUNCTION("GOOGLETRANSLATE(D164, ""auto"", ""en"")"),"The threat is the possibility of increasing the offender privileges on systems using digital code signature as a binding information between the program and its privileges, by discrediting the mechanism of code signing.
This threat is caused by weaknesse"&amp;"s in the mechanism of code signing.
Implementation of this threat is possible under the following conditions:
diskreditiruemy code written by a framework (framework), supports the signing of the code;
diskreditiruemy code signed by the vendor (software"&amp;" vendor);
the offender is able to implement the program code in the computer diskreditiruemy")</f>
        <v>The threat is the possibility of increasing the offender privileges on systems using digital code signature as a binding information between the program and its privileges, by discrediting the mechanism of code signing.
This threat is caused by weaknesses in the mechanism of code signing.
Implementation of this threat is possible under the following conditions:
diskreditiruemy code written by a framework (framework), supports the signing of the code;
diskreditiruemy code signed by the vendor (software vendor);
the offender is able to implement the program code in the computer diskreditiruemy</v>
      </c>
      <c r="M163" s="114" t="str">
        <f ca="1">IFERROR(__xludf.DUMMYFUNCTION("GOOGLETRANSLATE(F164, ""auto"", ""en"")"),"External intruder low potential insider with a low potential")</f>
        <v>External intruder low potential insider with a low potential</v>
      </c>
      <c r="N163" s="114" t="str">
        <f ca="1">IFERROR(__xludf.DUMMYFUNCTION("GOOGLETRANSLATE(H164, ""auto"", ""en"")"),"System software, application software")</f>
        <v>System software, application software</v>
      </c>
    </row>
    <row r="164" spans="9:14" ht="409.5">
      <c r="I164" s="168"/>
      <c r="J164" s="114">
        <v>163</v>
      </c>
      <c r="K164" s="114" t="str">
        <f ca="1">IFERROR(__xludf.DUMMYFUNCTION("GOOGLETRANSLATE(B165, ""auto"", ""en"")"),"The threat of interception exception / signal from the privileged function block")</f>
        <v>The threat of interception exception / signal from the privileged function block</v>
      </c>
      <c r="L164" s="114" t="str">
        <f ca="1">IFERROR(__xludf.DUMMYFUNCTION("GOOGLETRANSLATE(D165, ""auto"", ""en"")"),"The threat is the possibility of the offender to get right to the information being protected by catch exceptions / signals generated section of code that runs with elevated privileges (the privileged function block) and contains commands for managing the"&amp;" protected information.
This threat is due to the fact that the call program functions in the privileged mode disabling means for their access control mechanisms.
Implementation of this threat is possible under the following conditions:
diskreditiruema"&amp;"ya program written in a programming language that supports the mechanism of preferred units (eg, Java);
a program call diskreditiruemoy preferred Implemented blocks unsafe manner (used public announcement internal functions used privileged exceptions gen"&amp;"eration unit);
intruder has sufficient privileges to intercept program exceptions in the system")</f>
        <v>The threat is the possibility of the offender to get right to the information being protected by catch exceptions / signals generated section of code that runs with elevated privileges (the privileged function block) and contains commands for managing the protected information.
This threat is due to the fact that the call program functions in the privileged mode disabling means for their access control mechanisms.
Implementation of this threat is possible under the following conditions:
diskreditiruemaya program written in a programming language that supports the mechanism of preferred units (eg, Java);
a program call diskreditiruemoy preferred Implemented blocks unsafe manner (used public announcement internal functions used privileged exceptions generation unit);
intruder has sufficient privileges to intercept program exceptions in the system</v>
      </c>
      <c r="M164" s="114" t="str">
        <f ca="1">IFERROR(__xludf.DUMMYFUNCTION("GOOGLETRANSLATE(F165, ""auto"", ""en"")"),"External intruder with an average potential intruder inner middle potential")</f>
        <v>External intruder with an average potential intruder inner middle potential</v>
      </c>
      <c r="N164" s="114" t="str">
        <f ca="1">IFERROR(__xludf.DUMMYFUNCTION("GOOGLETRANSLATE(H165, ""auto"", ""en"")"),"System Software")</f>
        <v>System Software</v>
      </c>
    </row>
    <row r="165" spans="9:14" ht="360">
      <c r="I165" s="168"/>
      <c r="J165" s="114">
        <v>164</v>
      </c>
      <c r="K165" s="114" t="str">
        <f ca="1">IFERROR(__xludf.DUMMYFUNCTION("GOOGLETRANSLATE(B166, ""auto"", ""en"")"),"Threat of a state of ""denial of service"" in the cloud infrastructure")</f>
        <v>Threat of a state of "denial of service" in the cloud infrastructure</v>
      </c>
      <c r="L165" s="114" t="str">
        <f ca="1">IFERROR(__xludf.DUMMYFUNCTION("GOOGLETRANSLATE(D166, ""auto"", ""en"")"),"The threat is the possibility of the spread of negative consequences of the implementation of threats to the physical or virtual level cloud infrastructure on levels of management and orchestration, as well as all information systems, deployed on the basi"&amp;"s of the discredited cloud infrastructure.
This threat is due to the inability of information systems in the cloud with the malfunction itself cloud infrastructure, and the dependence of efficiency of the upper levels of cloud infrastructure operability "&amp;"lower.
Implementation of this threat can be activated by a cloud infrastructure on the level of physical or virtual cloud infrastructure in a state of ""denial of service""")</f>
        <v>The threat is the possibility of the spread of negative consequences of the implementation of threats to the physical or virtual level cloud infrastructure on levels of management and orchestration, as well as all information systems, deployed on the basis of the discredited cloud infrastructure.
This threat is due to the inability of information systems in the cloud with the malfunction itself cloud infrastructure, and the dependence of efficiency of the upper levels of cloud infrastructure operability lower.
Implementation of this threat can be activated by a cloud infrastructure on the level of physical or virtual cloud infrastructure in a state of "denial of service"</v>
      </c>
      <c r="M165" s="114" t="str">
        <f ca="1">IFERROR(__xludf.DUMMYFUNCTION("GOOGLETRANSLATE(F166, ""auto"", ""en"")"),"External intruder low potential insider with a low potential")</f>
        <v>External intruder low potential insider with a low potential</v>
      </c>
      <c r="N165" s="114" t="str">
        <f ca="1">IFERROR(__xludf.DUMMYFUNCTION("GOOGLETRANSLATE(H166, ""auto"", ""en"")"),"Cloud infrastructure is created with the use of virtualization technology")</f>
        <v>Cloud infrastructure is created with the use of virtualization technology</v>
      </c>
    </row>
    <row r="166" spans="9:14" ht="270">
      <c r="I166" s="168"/>
      <c r="J166" s="114">
        <v>165</v>
      </c>
      <c r="K166" s="114" t="str">
        <f ca="1">IFERROR(__xludf.DUMMYFUNCTION("GOOGLETRANSLATE(B167, ""auto"", ""en"")"),"The threat included in the project is not reliably proven components")</f>
        <v>The threat included in the project is not reliably proven components</v>
      </c>
      <c r="L166" s="114" t="str">
        <f ca="1">IFERROR(__xludf.DUMMYFUNCTION("GOOGLETRANSLATE(D167, ""auto"", ""en"")"),"The threat lies in the possibility of security breaches due to selection information to be protected for use in the system components are not in accordance with their functional characteristics specified by the designer, reliability, availability and othe"&amp;"r certificates.
This threat is due to the lack of measures to control the errors in the design of systems related to security.
Implementation of this threat can be provided for use in selecting the components of system price razreklamirovannosti et al.")</f>
        <v>The threat lies in the possibility of security breaches due to selection information to be protected for use in the system components are not in accordance with their functional characteristics specified by the designer, reliability, availability and other certificates.
This threat is due to the lack of measures to control the errors in the design of systems related to security.
Implementation of this threat can be provided for use in selecting the components of system price razreklamirovannosti et al.</v>
      </c>
      <c r="M166" s="114" t="str">
        <f ca="1">IFERROR(__xludf.DUMMYFUNCTION("GOOGLETRANSLATE(F167, ""auto"", ""en"")"),"The inner middle potential violator")</f>
        <v>The inner middle potential violator</v>
      </c>
      <c r="N166" s="114" t="str">
        <f ca="1">IFERROR(__xludf.DUMMYFUNCTION("GOOGLETRANSLATE(H167, ""auto"", ""en"")"),"Software, hardware, information system, key information infrastructure system")</f>
        <v>Software, hardware, information system, key information infrastructure system</v>
      </c>
    </row>
    <row r="167" spans="9:14" ht="285">
      <c r="I167" s="168"/>
      <c r="J167" s="114">
        <v>166</v>
      </c>
      <c r="K167" s="114" t="str">
        <f ca="1">IFERROR(__xludf.DUMMYFUNCTION("GOOGLETRANSLATE(B168, ""auto"", ""en"")"),"The threat of the introduction of the system redundancy")</f>
        <v>The threat of the introduction of the system redundancy</v>
      </c>
      <c r="L167" s="114" t="str">
        <f ca="1">IFERROR(__xludf.DUMMYFUNCTION("GOOGLETRANSLATE(D168, ""auto"", ""en"")"),"The threat lies in the possibility of reducing the processing speed (i.e., availability) of the software components (or the whole system) because of the introduction in it (in it) of redundant components (originally unnecessary or are no longer required w"&amp;"hen changes are made to the project) .
This threat is due to the lack of measures to control the errors in the design of systems related to security.
Implementation of this threat can be subject to changes in the list of tasks to be solved by the design"&amp;"ed software (designed system)")</f>
        <v>The threat lies in the possibility of reducing the processing speed (i.e., availability) of the software components (or the whole system) because of the introduction in it (in it) of redundant components (originally unnecessary or are no longer required when changes are made to the project) .
This threat is due to the lack of measures to control the errors in the design of systems related to security.
Implementation of this threat can be subject to changes in the list of tasks to be solved by the designed software (designed system)</v>
      </c>
      <c r="M167" s="114" t="str">
        <f ca="1">IFERROR(__xludf.DUMMYFUNCTION("GOOGLETRANSLATE(F168, ""auto"", ""en"")"),"The inner middle potential violator")</f>
        <v>The inner middle potential violator</v>
      </c>
      <c r="N167" s="114" t="str">
        <f ca="1">IFERROR(__xludf.DUMMYFUNCTION("GOOGLETRANSLATE(H168, ""auto"", ""en"")"),"Software, information system, key information infrastructure system")</f>
        <v>Software, information system, key information infrastructure system</v>
      </c>
    </row>
    <row r="168" spans="9:14" ht="270">
      <c r="I168" s="168"/>
      <c r="J168" s="114">
        <v>167</v>
      </c>
      <c r="K168" s="114" t="str">
        <f ca="1">IFERROR(__xludf.DUMMYFUNCTION("GOOGLETRANSLATE(B169, ""auto"", ""en"")"),"The threat of infecting your computer when you visit unreliable websites")</f>
        <v>The threat of infecting your computer when you visit unreliable websites</v>
      </c>
      <c r="L168" s="114" t="str">
        <f ca="1">IFERROR(__xludf.DUMMYFUNCTION("GOOGLETRANSLATE(D169, ""auto"", ""en"")"),"The threat is the possibility of security breaches by malware protected information, secretly installed when users visit system jobs (intentionally or accidentally redirecting) sites with unreliable content, or run with the privileges of users discredited"&amp;".
This threat is caused by weakness of mechanisms of network traffic filtering and antivirus controls at the level of the organization.
Implementation of this threat is possible while visiting the users of the system with jobs sites with unreliable cont"&amp;"ent")</f>
        <v>The threat is the possibility of security breaches by malware protected information, secretly installed when users visit system jobs (intentionally or accidentally redirecting) sites with unreliable content, or run with the privileges of users discredited.
This threat is caused by weakness of mechanisms of network traffic filtering and antivirus controls at the level of the organization.
Implementation of this threat is possible while visiting the users of the system with jobs sites with unreliable content</v>
      </c>
      <c r="M168" s="114" t="str">
        <f ca="1">IFERROR(__xludf.DUMMYFUNCTION("GOOGLETRANSLATE(F169, ""auto"", ""en"")"),"Insider with a low potential")</f>
        <v>Insider with a low potential</v>
      </c>
      <c r="N168" s="114" t="str">
        <f ca="1">IFERROR(__xludf.DUMMYFUNCTION("GOOGLETRANSLATE(H169, ""auto"", ""en"")"),"Network node, network software")</f>
        <v>Network node, network software</v>
      </c>
    </row>
    <row r="169" spans="9:14" ht="409.5">
      <c r="I169" s="168"/>
      <c r="J169" s="114">
        <v>168</v>
      </c>
      <c r="K169" s="114" t="str">
        <f ca="1">IFERROR(__xludf.DUMMYFUNCTION("GOOGLETRANSLATE(B170, ""auto"", ""en"")"),"The threat of ""stealing"" account access to network services")</f>
        <v>The threat of "stealing" account access to network services</v>
      </c>
      <c r="L169" s="114" t="str">
        <f ca="1">IFERROR(__xludf.DUMMYFUNCTION("GOOGLETRANSLATE(D170, ""auto"", ""en"")"),"The threat is the possibility of unauthorized intruder acquaintance with protected information by the user information identification / authentication, the appropriate user access to network services account (social networks, cloud services, and others.),"&amp;" Which is associated with an inactive / non-existent email address.
This threat is caused by lack of controls on the activity / the existence of e-mail boxes.
Implementation of this threat is possible under the conditions:
presence status ""available f"&amp;"or borrowing"" from the email address associated with that Account user access record to network services (for example, if the user specified when registering non-existent address or a long time did not apply to the mailbox, so that, if it becomes disable"&amp;"d);
the presence of the offender information on the e-mail address, which is connected with an account diskreditiruemogo user to access to network services")</f>
        <v>The threat is the possibility of unauthorized intruder acquaintance with protected information by the user information identification / authentication, the appropriate user access to network services account (social networks, cloud services, and others.), Which is associated with an inactive / non-existent email address.
This threat is caused by lack of controls on the activity / the existence of e-mail boxes.
Implementation of this threat is possible under the conditions:
presence status "available for borrowing" from the email address associated with that Account user access record to network services (for example, if the user specified when registering non-existent address or a long time did not apply to the mailbox, so that, if it becomes disabled);
the presence of the offender information on the e-mail address, which is connected with an account diskreditiruemogo user to access to network services</v>
      </c>
      <c r="M169" s="114" t="str">
        <f ca="1">IFERROR(__xludf.DUMMYFUNCTION("GOOGLETRANSLATE(F170, ""auto"", ""en"")"),"External intruder with a low potential")</f>
        <v>External intruder with a low potential</v>
      </c>
      <c r="N169" s="114" t="str">
        <f ca="1">IFERROR(__xludf.DUMMYFUNCTION("GOOGLETRANSLATE(H170, ""auto"", ""en"")"),"Networking software")</f>
        <v>Networking software</v>
      </c>
    </row>
    <row r="170" spans="9:14" ht="240">
      <c r="I170" s="168"/>
      <c r="J170" s="114">
        <v>169</v>
      </c>
      <c r="K170" s="114" t="str">
        <f ca="1">IFERROR(__xludf.DUMMYFUNCTION("GOOGLETRANSLATE(B171, ""auto"", ""en"")"),"The threat of having mechanisms Developer")</f>
        <v>The threat of having mechanisms Developer</v>
      </c>
      <c r="L170" s="114" t="str">
        <f ca="1">IFERROR(__xludf.DUMMYFUNCTION("GOOGLETRANSLATE(D171, ""auto"", ""en"")"),"The threat is the possibility of getting control program through the use of debugging mechanisms (special software features and hardware elements that help to conduct testing and debugging tools during their development).
This threat is caused by failure"&amp;" of error control measures in the development of information security solutions.
Implementation of this threat is possible provided that the program is not removed debug mechanisms")</f>
        <v>The threat is the possibility of getting control program through the use of debugging mechanisms (special software features and hardware elements that help to conduct testing and debugging tools during their development).
This threat is caused by failure of error control measures in the development of information security solutions.
Implementation of this threat is possible provided that the program is not removed debug mechanisms</v>
      </c>
      <c r="M170" s="114" t="str">
        <f ca="1">IFERROR(__xludf.DUMMYFUNCTION("GOOGLETRANSLATE(F171, ""auto"", ""en"")"),"The inner middle potential violator")</f>
        <v>The inner middle potential violator</v>
      </c>
      <c r="N170" s="114" t="str">
        <f ca="1">IFERROR(__xludf.DUMMYFUNCTION("GOOGLETRANSLATE(H171, ""auto"", ""en"")"),"Software, technical means")</f>
        <v>Software, technical means</v>
      </c>
    </row>
    <row r="171" spans="9:14" ht="300">
      <c r="I171" s="168"/>
      <c r="J171" s="114">
        <v>170</v>
      </c>
      <c r="K171" s="114" t="str">
        <f ca="1">IFERROR(__xludf.DUMMYFUNCTION("GOOGLETRANSLATE(B172, ""auto"", ""en"")"),"improper encryption threat")</f>
        <v>improper encryption threat</v>
      </c>
      <c r="L171" s="114" t="str">
        <f ca="1">IFERROR(__xludf.DUMMYFUNCTION("GOOGLETRANSLATE(D172, ""auto"", ""en"")"),"The threat is the possibility of an actual loss of access to data to be protected due to their unauthorized cryptographic transformation of the offender using a secret key known only to him.
This threat is caused by the presence of weaknesses in antiviru"&amp;"s protection, as well as access control mechanisms.
Implementation of this threat can be provided on a successful installation violator diskreditiruemy computer means cryptographic transformation information, and the successful detection (identification)"&amp;" of protected files violator")</f>
        <v>The threat is the possibility of an actual loss of access to data to be protected due to their unauthorized cryptographic transformation of the offender using a secret key known only to him.
This threat is caused by the presence of weaknesses in antivirus protection, as well as access control mechanisms.
Implementation of this threat can be provided on a successful installation violator diskreditiruemy computer means cryptographic transformation information, and the successful detection (identification) of protected files violator</v>
      </c>
      <c r="M171" s="114" t="str">
        <f ca="1">IFERROR(__xludf.DUMMYFUNCTION("GOOGLETRANSLATE(F172, ""auto"", ""en"")"),"External intruder with a low potential")</f>
        <v>External intruder with a low potential</v>
      </c>
      <c r="N171" s="114" t="str">
        <f ca="1">IFERROR(__xludf.DUMMYFUNCTION("GOOGLETRANSLATE(H172, ""auto"", ""en"")"),"The file system object")</f>
        <v>The file system object</v>
      </c>
    </row>
    <row r="172" spans="9:14" ht="409.5">
      <c r="I172" s="168"/>
      <c r="J172" s="114">
        <v>171</v>
      </c>
      <c r="K172" s="114" t="str">
        <f ca="1">IFERROR(__xludf.DUMMYFUNCTION("GOOGLETRANSLATE(B173, ""auto"", ""en"")"),"The threat of covert inclusion of a computing device in the botnet")</f>
        <v>The threat of covert inclusion of a computing device in the botnet</v>
      </c>
      <c r="L172" s="114" t="str">
        <f ca="1">IFERROR(__xludf.DUMMYFUNCTION("GOOGLETRANSLATE(D173, ""auto"", ""en"")"),"The threat is the possibility of wrongdoing mediated destructive effects on the system information from a plurality of computing devices (computers, mobile and other technical means.), Connected to the Internet, at the expense of capturing control of such"&amp;" devices by unauthorized installation in which:
Backdoor malware type for the intruder the opportunity of remote access / control diskreditiruemym computing device;
client software to be included in a botnet and use thus created a botnet in a variety of"&amp;" illegal purposes (spamming, carrying out attacks such as ""denial of service"" and others.).
This threat is due to vulnerability in the network software and weaknesses antivirus control mechanisms and firewalls.
Implementation of this threat can be pro"&amp;"vided there with outlet diskreditiruemogo computing device to the Internet")</f>
        <v>The threat is the possibility of wrongdoing mediated destructive effects on the system information from a plurality of computing devices (computers, mobile and other technical means.), Connected to the Internet, at the expense of capturing control of such devices by unauthorized installation in which:
Backdoor malware type for the intruder the opportunity of remote access / control diskreditiruemym computing device;
client software to be included in a botnet and use thus created a botnet in a variety of illegal purposes (spamming, carrying out attacks such as "denial of service" and others.).
This threat is due to vulnerability in the network software and weaknesses antivirus control mechanisms and firewalls.
Implementation of this threat can be provided there with outlet diskreditiruemogo computing device to the Internet</v>
      </c>
      <c r="M172" s="114" t="str">
        <f ca="1">IFERROR(__xludf.DUMMYFUNCTION("GOOGLETRANSLATE(F173, ""auto"", ""en"")"),"External intruder with a low potential")</f>
        <v>External intruder with a low potential</v>
      </c>
      <c r="N172" s="114" t="str">
        <f ca="1">IFERROR(__xludf.DUMMYFUNCTION("GOOGLETRANSLATE(H173, ""auto"", ""en"")"),"Network node, network software")</f>
        <v>Network node, network software</v>
      </c>
    </row>
    <row r="173" spans="9:14" ht="285">
      <c r="I173" s="168"/>
      <c r="J173" s="114">
        <v>172</v>
      </c>
      <c r="K173" s="114" t="str">
        <f ca="1">IFERROR(__xludf.DUMMYFUNCTION("GOOGLETRANSLATE(B174, ""auto"", ""en"")"),"The threat of proliferation 'email worms """)</f>
        <v>The threat of proliferation 'email worms "</v>
      </c>
      <c r="L173" s="114" t="str">
        <f ca="1">IFERROR(__xludf.DUMMYFUNCTION("GOOGLETRANSLATE(D174, ""auto"", ""en"")"),"The threat is the possibility of security breaches by malware protected user information covertly installed when users receive emails systems containing a malicious program such as ""email worm"", and involuntary participation in further unlawful dissemin"&amp;"ation of malicious code.
This threat is caused by weakness of anti-virus controls.
Implementation of this threat is possible on condition that diskreditiruemogo user electronic mailbox, as well as the presence in its address book at least one address of"&amp;" another user")</f>
        <v>The threat is the possibility of security breaches by malware protected user information covertly installed when users receive emails systems containing a malicious program such as "email worm", and involuntary participation in further unlawful dissemination of malicious code.
This threat is caused by weakness of anti-virus controls.
Implementation of this threat is possible on condition that diskreditiruemogo user electronic mailbox, as well as the presence in its address book at least one address of another user</v>
      </c>
      <c r="M173" s="114" t="str">
        <f ca="1">IFERROR(__xludf.DUMMYFUNCTION("GOOGLETRANSLATE(F174, ""auto"", ""en"")"),"External intruder with a low potential")</f>
        <v>External intruder with a low potential</v>
      </c>
      <c r="N173" s="114" t="str">
        <f ca="1">IFERROR(__xludf.DUMMYFUNCTION("GOOGLETRANSLATE(H174, ""auto"", ""en"")"),"Networking software")</f>
        <v>Networking software</v>
      </c>
    </row>
    <row r="174" spans="9:14" ht="315">
      <c r="I174" s="168"/>
      <c r="J174" s="114">
        <v>173</v>
      </c>
      <c r="K174" s="114" t="str">
        <f ca="1">IFERROR(__xludf.DUMMYFUNCTION("GOOGLETRANSLATE(B175, ""auto"", ""en"")"),"The threat of ""spam"" web server")</f>
        <v>The threat of "spam" web server</v>
      </c>
      <c r="L174" s="114" t="str">
        <f ca="1">IFERROR(__xludf.DUMMYFUNCTION("GOOGLETRANSLATE(D175, ""auto"", ""en"")"),"The threat is the possibility of misuse of the perpetrator of mass distribution of commercial, political, fraud and other messages to a Web server without a request from the diskreditiruemyh web servers.
This threat is caused by vulnerabilities message f"&amp;"iltering mechanisms, coming from the Internet.
Implementation of this threat can be provided that in diskreditiruemom web server functionality activated implementing various e-mail server, delivering instant messaging, blogs, forums, auctions, web stores"&amp;", online services to send SMS-messages, online services and other voting.")</f>
        <v>The threat is the possibility of misuse of the perpetrator of mass distribution of commercial, political, fraud and other messages to a Web server without a request from the diskreditiruemyh web servers.
This threat is caused by vulnerabilities message filtering mechanisms, coming from the Internet.
Implementation of this threat can be provided that in diskreditiruemom web server functionality activated implementing various e-mail server, delivering instant messaging, blogs, forums, auctions, web stores, online services to send SMS-messages, online services and other voting.</v>
      </c>
      <c r="M174" s="114" t="str">
        <f ca="1">IFERROR(__xludf.DUMMYFUNCTION("GOOGLETRANSLATE(F175, ""auto"", ""en"")"),"External intruder with a low potential")</f>
        <v>External intruder with a low potential</v>
      </c>
      <c r="N174" s="114" t="str">
        <f ca="1">IFERROR(__xludf.DUMMYFUNCTION("GOOGLETRANSLATE(H175, ""auto"", ""en"")"),"Networking software")</f>
        <v>Networking software</v>
      </c>
    </row>
    <row r="175" spans="9:14" ht="409.5">
      <c r="I175" s="168"/>
      <c r="J175" s="114">
        <v>174</v>
      </c>
      <c r="K175" s="114" t="str">
        <f ca="1">IFERROR(__xludf.DUMMYFUNCTION("GOOGLETRANSLATE(B176, ""auto"", ""en"")"),"Threats ""Farming""")</f>
        <v>Threats "Farming"</v>
      </c>
      <c r="L175" s="114" t="str">
        <f ca="1">IFERROR(__xludf.DUMMYFUNCTION("GOOGLETRANSLATE(D176, ""auto"", ""en"")"),"The threat is the possibility of unauthorized intruder acquaintance with the protected information (including identification / authentication) user by secretive redirect the user to a fake site (looking identical to the original), on which the user is req"&amp;"uired to enter diskreditiruemogo protected information.
This threat is caused by DNS-server vulnerabilities router.
Implementation of this threat can be provided that the offender:
information about specific sites visited by the user, which are require"&amp;"d to input information to be protected;
tools to create and run a fake site;
of special software such as ""exploit"" that implement user is redirected to a fake website.
In addition, the threat of this type are subject to genuine sites that do not requ"&amp;"ire a secure connection before entering the restricted information")</f>
        <v>The threat is the possibility of unauthorized intruder acquaintance with the protected information (including identification / authentication) user by secretive redirect the user to a fake site (looking identical to the original), on which the user is required to enter diskreditiruemogo protected information.
This threat is caused by DNS-server vulnerabilities router.
Implementation of this threat can be provided that the offender:
information about specific sites visited by the user, which are required to input information to be protected;
tools to create and run a fake site;
of special software such as "exploit" that implement user is redirected to a fake website.
In addition, the threat of this type are subject to genuine sites that do not require a secure connection before entering the restricted information</v>
      </c>
      <c r="M175" s="114" t="str">
        <f ca="1">IFERROR(__xludf.DUMMYFUNCTION("GOOGLETRANSLATE(F176, ""auto"", ""en"")"),"External intruder with a low potential")</f>
        <v>External intruder with a low potential</v>
      </c>
      <c r="N175" s="114" t="str">
        <f ca="1">IFERROR(__xludf.DUMMYFUNCTION("GOOGLETRANSLATE(H176, ""auto"", ""en"")"),"Workstation, network software, network traffic")</f>
        <v>Workstation, network software, network traffic</v>
      </c>
    </row>
    <row r="176" spans="9:14" ht="409.5">
      <c r="I176" s="168"/>
      <c r="J176" s="114">
        <v>175</v>
      </c>
      <c r="K176" s="114" t="str">
        <f ca="1">IFERROR(__xludf.DUMMYFUNCTION("GOOGLETRANSLATE(B177, ""auto"", ""en"")"),"The threat of ""phishing""")</f>
        <v>The threat of "phishing"</v>
      </c>
      <c r="L176" s="114" t="str">
        <f ca="1">IFERROR(__xludf.DUMMYFUNCTION("GOOGLETRANSLATE(D177, ""auto"", ""en"")"),"The threat is the possibility of unauthorized intruder familiarization with the protected information (including identification / authentication) by the user via his belief social engineering techniques (including sending targeted messages (called spear-p"&amp;"hishing attack), with via phone calls with a question about opening attachments of the message, simulated promotional offers (fake offers) or a variety of applications (fake apps)) go to the fake site (looking identical to the original), which from diskre"&amp;"ditiruemogo user is required to enter the protected information or to open an infected attachment in email .
This threat is caused by lack of user knowledge about the methods and means of ""phishing.""
Implementation of this threat can be provided that "&amp;"the offender:
information about specific sites visited by the user, which are required to input information to be protected;
tools to create and run a fake site;
information about the user's contacts to a trusted organization (telephone number, email a"&amp;"ddress, etc..).
For a user to disclose convictions Restricted information (or open an attachment to the letter) is most often used fake letter from the administration of any organization with which the user interacts with (eg, a bank)")</f>
        <v>The threat is the possibility of unauthorized intruder familiarization with the protected information (including identification / authentication) by the user via his belief social engineering techniques (including sending targeted messages (called spear-phishing attack), with via phone calls with a question about opening attachments of the message, simulated promotional offers (fake offers) or a variety of applications (fake apps)) go to the fake site (looking identical to the original), which from diskreditiruemogo user is required to enter the protected information or to open an infected attachment in email .
This threat is caused by lack of user knowledge about the methods and means of "phishing."
Implementation of this threat can be provided that the offender:
information about specific sites visited by the user, which are required to input information to be protected;
tools to create and run a fake site;
information about the user's contacts to a trusted organization (telephone number, email address, etc..).
For a user to disclose convictions Restricted information (or open an attachment to the letter) is most often used fake letter from the administration of any organization with which the user interacts with (eg, a bank)</v>
      </c>
      <c r="M176" s="114" t="str">
        <f ca="1">IFERROR(__xludf.DUMMYFUNCTION("GOOGLETRANSLATE(F177, ""auto"", ""en"")"),"External intruder with a low potential")</f>
        <v>External intruder with a low potential</v>
      </c>
      <c r="N176" s="114" t="str">
        <f ca="1">IFERROR(__xludf.DUMMYFUNCTION("GOOGLETRANSLATE(H177, ""auto"", ""en"")"),"Workstation, network software, network traffic")</f>
        <v>Workstation, network software, network traffic</v>
      </c>
    </row>
    <row r="177" spans="9:14" ht="360">
      <c r="I177" s="168"/>
      <c r="J177" s="114">
        <v>176</v>
      </c>
      <c r="K177" s="114" t="str">
        <f ca="1">IFERROR(__xludf.DUMMYFUNCTION("GOOGLETRANSLATE(B178, ""auto"", ""en"")"),"The threat of infringement of technological / production process due to time delays introduced by means of protection")</f>
        <v>The threat of infringement of technological / production process due to time delays introduced by means of protection</v>
      </c>
      <c r="L177" s="114" t="str">
        <f ca="1">IFERROR(__xludf.DUMMYFUNCTION("GOOGLETRANSLATE(D178, ""auto"", ""en"")"),"The threat is the ability to bring the system to the state ""denial of service"" or violating the normal operation mode because time delays in real-time systems, introduced in the transmission and processing processes of the protected media information se"&amp;"curity caused by the necessity of processing the transmitted / processed information to identify and neutralization of information security threats.
For the realization of this threat affects not only the nomenclature used to protect information assets, "&amp;"their settings, the amount of transmitted / processed information, and the current activity of foreign offenders, program impact is processed by means of information protection")</f>
        <v>The threat is the ability to bring the system to the state "denial of service" or violating the normal operation mode because time delays in real-time systems, introduced in the transmission and processing processes of the protected media information security caused by the necessity of processing the transmitted / processed information to identify and neutralization of information security threats.
For the realization of this threat affects not only the nomenclature used to protect information assets, their settings, the amount of transmitted / processed information, and the current activity of foreign offenders, program impact is processed by means of information protection</v>
      </c>
      <c r="M177" s="114" t="str">
        <f ca="1">IFERROR(__xludf.DUMMYFUNCTION("GOOGLETRANSLATE(F178, ""auto"", ""en"")"),"External intruder with a low potential")</f>
        <v>External intruder with a low potential</v>
      </c>
      <c r="N177" s="114" t="str">
        <f ca="1">IFERROR(__xludf.DUMMYFUNCTION("GOOGLETRANSLATE(H178, ""auto"", ""en"")"),"Means of information protection")</f>
        <v>Means of information protection</v>
      </c>
    </row>
    <row r="178" spans="9:14" ht="409.5">
      <c r="I178" s="168"/>
      <c r="J178" s="114">
        <v>177</v>
      </c>
      <c r="K178" s="114" t="str">
        <f ca="1">IFERROR(__xludf.DUMMYFUNCTION("GOOGLETRANSLATE(B179, ""auto"", ""en"")"),"The threat of unconfirmed data entry operator in safety-related")</f>
        <v>The threat of unconfirmed data entry operator in safety-related</v>
      </c>
      <c r="L178" s="114" t="str">
        <f ca="1">IFERROR(__xludf.DUMMYFUNCTION("GOOGLETRANSLATE(D179, ""auto"", ""en"")"),"The threat is the possibility of errors in the operation of the system due to lack of (or ignore) the detection procedure and correcting errors in the data entered during the operation by the operator to activate the controlled equipment. Moreover, the re"&amp;"alization of this threat can lead correctly implemented (or missing) means for responding to abnormal, spontaneous actions of the operator, means of metering upper / lower limits of the speed and direction of the operator of the reaction, reaction schemes"&amp;" for a double keystroke when entering normal and critical data, procedures forming temporary pauses to select different responses (yes / no etc.).
Realizability of this threat depends on the requirements of the procedure for detecting and correcting erro"&amp;"rs in the data entered in the system, safety-related, as well as a difference between these requirements and the actual level of detection and correction of errors")</f>
        <v>The threat is the possibility of errors in the operation of the system due to lack of (or ignore) the detection procedure and correcting errors in the data entered during the operation by the operator to activate the controlled equipment. Moreover, the realization of this threat can lead correctly implemented (or missing) means for responding to abnormal, spontaneous actions of the operator, means of metering upper / lower limits of the speed and direction of the operator of the reaction, reaction schemes for a double keystroke when entering normal and critical data, procedures forming temporary pauses to select different responses (yes / no etc.).
Realizability of this threat depends on the requirements of the procedure for detecting and correcting errors in the data entered in the system, safety-related, as well as a difference between these requirements and the actual level of detection and correction of errors</v>
      </c>
      <c r="M178" s="114" t="str">
        <f ca="1">IFERROR(__xludf.DUMMYFUNCTION("GOOGLETRANSLATE(F179, ""auto"", ""en"")"),"Insider with a low potential")</f>
        <v>Insider with a low potential</v>
      </c>
      <c r="N178" s="114" t="str">
        <f ca="1">IFERROR(__xludf.DUMMYFUNCTION("GOOGLETRANSLATE(H179, ""auto"", ""en"")"),"System software, network software, application software, hardware,")</f>
        <v>System software, network software, application software, hardware,</v>
      </c>
    </row>
    <row r="179" spans="9:14" ht="330">
      <c r="I179" s="168"/>
      <c r="J179" s="114">
        <v>178</v>
      </c>
      <c r="K179" s="114" t="str">
        <f ca="1">IFERROR(__xludf.DUMMYFUNCTION("GOOGLETRANSLATE(B180, ""auto"", ""en"")"),"The threat of unauthorized use of the system and network utilities")</f>
        <v>The threat of unauthorized use of the system and network utilities</v>
      </c>
      <c r="L179" s="114" t="str">
        <f ca="1">IFERROR(__xludf.DUMMYFUNCTION("GOOGLETRANSLATE(D180, ""auto"", ""en"")"),"The threat is the possibility of the perpetrator of a destructive impact on the software system through the use of existing or pre-embedded standard (known and not usually identified by antivirus software as malicious) system and network utilities for use"&amp;" by the administrator for diagnostic and maintenance system (network).
Implementation of this threat is possible under the conditions:
that the system of standard system and network utilities or their successful implementation of the offender in the sys"&amp;"tem and hiding (using existing records, the attributes ""hidden"" or ""read-only"" and others.);
the presence of the offender privileges to run these utilities")</f>
        <v>The threat is the possibility of the perpetrator of a destructive impact on the software system through the use of existing or pre-embedded standard (known and not usually identified by antivirus software as malicious) system and network utilities for use by the administrator for diagnostic and maintenance system (network).
Implementation of this threat is possible under the conditions:
that the system of standard system and network utilities or their successful implementation of the offender in the system and hiding (using existing records, the attributes "hidden" or "read-only" and others.);
the presence of the offender privileges to run these utilities</v>
      </c>
      <c r="M179" s="114" t="str">
        <f ca="1">IFERROR(__xludf.DUMMYFUNCTION("GOOGLETRANSLATE(F180, ""auto"", ""en"")"),"External intruder low potential insider with a low potential")</f>
        <v>External intruder low potential insider with a low potential</v>
      </c>
      <c r="N179" s="114" t="str">
        <f ca="1">IFERROR(__xludf.DUMMYFUNCTION("GOOGLETRANSLATE(H180, ""auto"", ""en"")"),"System Software")</f>
        <v>System Software</v>
      </c>
    </row>
    <row r="180" spans="9:14" ht="270">
      <c r="I180" s="168"/>
      <c r="J180" s="114">
        <v>179</v>
      </c>
      <c r="K180" s="114" t="str">
        <f ca="1">IFERROR(__xludf.DUMMYFUNCTION("GOOGLETRANSLATE(B181, ""auto"", ""en"")"),"The threat of unauthorized modification of the information to be protected")</f>
        <v>The threat of unauthorized modification of the information to be protected</v>
      </c>
      <c r="L180" s="114" t="str">
        <f ca="1">IFERROR(__xludf.DUMMYFUNCTION("GOOGLETRANSLATE(D181, ""auto"", ""en"")"),"The threat lies in the possibility of violating the integrity of the information being protected by means of the intruder destructive physical impact on the machine carrier information or destructive effects software (including variation of individual bit"&amp;"s or total overwriting of information) for the data stored on it.
Implementation of this threat is possible in case of intruder system permission to write data, or physical access to a machine-readable medium by a distance sufficient to provide an effect"&amp;"ive destructive impact")</f>
        <v>The threat lies in the possibility of violating the integrity of the information being protected by means of the intruder destructive physical impact on the machine carrier information or destructive effects software (including variation of individual bits or total overwriting of information) for the data stored on it.
Implementation of this threat is possible in case of intruder system permission to write data, or physical access to a machine-readable medium by a distance sufficient to provide an effective destructive impact</v>
      </c>
      <c r="M180" s="114" t="str">
        <f ca="1">IFERROR(__xludf.DUMMYFUNCTION("GOOGLETRANSLATE(F181, ""auto"", ""en"")"),"External intruder low potential insider with a low potential")</f>
        <v>External intruder low potential insider with a low potential</v>
      </c>
      <c r="N180" s="114" t="str">
        <f ca="1">IFERROR(__xludf.DUMMYFUNCTION("GOOGLETRANSLATE(H181, ""auto"", ""en"")"),"File System Objects")</f>
        <v>File System Objects</v>
      </c>
    </row>
    <row r="181" spans="9:14" ht="240">
      <c r="I181" s="168"/>
      <c r="J181" s="114">
        <v>180</v>
      </c>
      <c r="K181" s="114" t="str">
        <f ca="1">IFERROR(__xludf.DUMMYFUNCTION("GOOGLETRANSLATE(B182, ""auto"", ""en"")"),"The threat of failure subsystems provide temperature")</f>
        <v>The threat of failure subsystems provide temperature</v>
      </c>
      <c r="L181" s="114" t="str">
        <f ca="1">IFERROR(__xludf.DUMMYFUNCTION("GOOGLETRANSLATE(D182, ""auto"", ""en"")"),"The threat lies in the possibility of damage to parts of the system components or the entire system due to their exit temperature from the operation mode specified requirements because of failure of its member subsystems ventilation and temperature device"&amp;"s.
Implementation of this threat is possible as a result of the natural man-made causes, and by carrying out certain activities infringer aimed at remote off / disabling components provide temperature control subsystem")</f>
        <v>The threat lies in the possibility of damage to parts of the system components or the entire system due to their exit temperature from the operation mode specified requirements because of failure of its member subsystems ventilation and temperature devices.
Implementation of this threat is possible as a result of the natural man-made causes, and by carrying out certain activities infringer aimed at remote off / disabling components provide temperature control subsystem</v>
      </c>
      <c r="M181" s="114" t="str">
        <f ca="1">IFERROR(__xludf.DUMMYFUNCTION("GOOGLETRANSLATE(F182, ""auto"", ""en"")"),"External intruder with an average potential insider with a low potential")</f>
        <v>External intruder with an average potential insider with a low potential</v>
      </c>
      <c r="N181" s="114" t="str">
        <f ca="1">IFERROR(__xludf.DUMMYFUNCTION("GOOGLETRANSLATE(H182, ""auto"", ""en"")"),"Technical means of the air conditioning system including piping for circulating the cooled air in the data center, programmable logic controllers, distributed control systems, management systems and other software control")</f>
        <v>Technical means of the air conditioning system including piping for circulating the cooled air in the data center, programmable logic controllers, distributed control systems, management systems and other software control</v>
      </c>
    </row>
    <row r="182" spans="9:14" ht="315">
      <c r="I182" s="168"/>
      <c r="J182" s="114">
        <v>181</v>
      </c>
      <c r="K182" s="114" t="str">
        <f ca="1">IFERROR(__xludf.DUMMYFUNCTION("GOOGLETRANSLATE(B183, ""auto"", ""en"")"),"The threat of intercept one-time passwords in real time")</f>
        <v>The threat of intercept one-time passwords in real time</v>
      </c>
      <c r="L182" s="114" t="str">
        <f ca="1">IFERROR(__xludf.DUMMYFUNCTION("GOOGLETRANSLATE(D183, ""auto"", ""en"")"),"The threat is the possibility of obtaining user violator critical operations management by intercept one-time passwords, expelled automatically by the system, and use them for misconduct before the expire of their expiry date (usually not more than 5 minu"&amp;"tes).
Implementation of this threat is possible under the following conditions:
the presence of the offender about the information identification / authentication diskreditiruemogo user conditionally permanent action;
successful implementation of the i"&amp;"ntruder to intercept traffic between the system and the user")</f>
        <v>The threat is the possibility of obtaining user violator critical operations management by intercept one-time passwords, expelled automatically by the system, and use them for misconduct before the expire of their expiry date (usually not more than 5 minutes).
Implementation of this threat is possible under the following conditions:
the presence of the offender about the information identification / authentication diskreditiruemogo user conditionally permanent action;
successful implementation of the intruder to intercept traffic between the system and the user</v>
      </c>
      <c r="M182" s="114" t="str">
        <f ca="1">IFERROR(__xludf.DUMMYFUNCTION("GOOGLETRANSLATE(F183, ""auto"", ""en"")"),"The outer middle potential violator")</f>
        <v>The outer middle potential violator</v>
      </c>
      <c r="N182" s="114" t="str">
        <f ca="1">IFERROR(__xludf.DUMMYFUNCTION("GOOGLETRANSLATE(H183, ""auto"", ""en"")"),"Networking software")</f>
        <v>Networking software</v>
      </c>
    </row>
    <row r="183" spans="9:14" ht="270">
      <c r="I183" s="168"/>
      <c r="J183" s="114">
        <v>182</v>
      </c>
      <c r="K183" s="114" t="str">
        <f ca="1">IFERROR(__xludf.DUMMYFUNCTION("GOOGLETRANSLATE(B184, ""auto"", ""en"")"),"The threat of obsolescence physical hardware components")</f>
        <v>The threat of obsolescence physical hardware components</v>
      </c>
      <c r="L183" s="114" t="str">
        <f ca="1">IFERROR(__xludf.DUMMYFUNCTION("GOOGLETRANSLATE(D184, ""auto"", ""en"")"),"The threat is the possibility of destroying the system functionality associated with safety, due to failure of hardware components of the system because of their physical aging (rusting, rapid wear, oxidation, contamination, peeling, flaking etc.), Due to"&amp;" the influence of the physical environment (humidity, dust, corrosive substances).
The possibility of realization of the threat increases with the use of technical means users in conditions that do not satisfy the requirements specified by the manufactur"&amp;"er of")</f>
        <v>The threat is the possibility of destroying the system functionality associated with safety, due to failure of hardware components of the system because of their physical aging (rusting, rapid wear, oxidation, contamination, peeling, flaking etc.), Due to the influence of the physical environment (humidity, dust, corrosive substances).
The possibility of realization of the threat increases with the use of technical means users in conditions that do not satisfy the requirements specified by the manufacturer of</v>
      </c>
      <c r="M183" s="114" t="str">
        <f ca="1">IFERROR(__xludf.DUMMYFUNCTION("GOOGLETRANSLATE(F184, ""auto"", ""en"")"),"Insider with a low potential")</f>
        <v>Insider with a low potential</v>
      </c>
      <c r="N183" s="114" t="str">
        <f ca="1">IFERROR(__xludf.DUMMYFUNCTION("GOOGLETRANSLATE(H184, ""auto"", ""en"")"),"hardware")</f>
        <v>hardware</v>
      </c>
    </row>
    <row r="184" spans="9:14" ht="409.5">
      <c r="I184" s="168"/>
      <c r="J184" s="114">
        <v>183</v>
      </c>
      <c r="K184" s="114" t="str">
        <f ca="1">IFERROR(__xludf.DUMMYFUNCTION("GOOGLETRANSLATE(B185, ""auto"", ""en"")"),"failover threat of automated process control system")</f>
        <v>failover threat of automated process control system</v>
      </c>
      <c r="L184" s="114" t="str">
        <f ca="1">IFERROR(__xludf.DUMMYFUNCTION("GOOGLETRANSLATE(D185, ""auto"", ""en"")"),"The threat is the possibility of unauthorized access to offender information infrastructure at the expense of the infringer obtain management rights included in its composition by exploiting vulnerabilities automated its software process control system or"&amp;" the weaknesses of process data transmission protocols.
This threat is caused by the presence of an automated process control system software network interfaces and interactions, as a consequence, the possibility of unauthorized access to the system, as "&amp;"well as the lack of filtering measures network traffic and anti-virus protection.
Implementation of this threat is possible on condition that the infringer to conduct interaction with the automated process control system. Implementation of this threat ca"&amp;"n lead to:
blocking or distortion (incorrect implementation) mining algorithms process control tasks, direct control of the enterprise equipment;
violating the normal course of technological processes;
partial or complete shutdown processes without (or"&amp;" with) the output (th) equipment failure;
emergency system in critical information infrastructure")</f>
        <v>The threat is the possibility of unauthorized access to offender information infrastructure at the expense of the infringer obtain management rights included in its composition by exploiting vulnerabilities automated its software process control system or the weaknesses of process data transmission protocols.
This threat is caused by the presence of an automated process control system software network interfaces and interactions, as a consequence, the possibility of unauthorized access to the system, as well as the lack of filtering measures network traffic and anti-virus protection.
Implementation of this threat is possible on condition that the infringer to conduct interaction with the automated process control system. Implementation of this threat can lead to:
blocking or distortion (incorrect implementation) mining algorithms process control tasks, direct control of the enterprise equipment;
violating the normal course of technological processes;
partial or complete shutdown processes without (or with) the output (th) equipment failure;
emergency system in critical information infrastructure</v>
      </c>
      <c r="M184" s="114" t="str">
        <f ca="1">IFERROR(__xludf.DUMMYFUNCTION("GOOGLETRANSLATE(F185, ""auto"", ""en"")"),"External high potential intruder, the intruder inner middle potential")</f>
        <v>External high potential intruder, the intruder inner middle potential</v>
      </c>
      <c r="N184" s="114" t="str">
        <f ca="1">IFERROR(__xludf.DUMMYFUNCTION("GOOGLETRANSLATE(H185, ""auto"", ""en"")"),"The software of the automated process control system")</f>
        <v>The software of the automated process control system</v>
      </c>
    </row>
    <row r="185" spans="9:14" ht="409.5">
      <c r="I185" s="168"/>
      <c r="J185" s="114">
        <v>184</v>
      </c>
      <c r="K185" s="114" t="str">
        <f ca="1">IFERROR(__xludf.DUMMYFUNCTION("GOOGLETRANSLATE(B186, ""auto"", ""en"")"),"The threat data aggregation processed using mobile devices")</f>
        <v>The threat data aggregation processed using mobile devices</v>
      </c>
      <c r="L185" s="114" t="str">
        <f ca="1">IFERROR(__xludf.DUMMYFUNCTION("GOOGLETRANSLATE(D186, ""auto"", ""en"")"),"The threat is the ability of the offender to collect and analyze the information processed by a mobile device through the use of special software, embedded system software user in mobile device security, as well as embedded into mobile program under the g"&amp;"uise of a software platform for their development by other companies.
This threat is due to the presence in the mobile device a plurality of data transmission channels, as well as the complexity of control information streams in such a device.
Implement"&amp;"ation of this threat can be provided the use of a user's mobile device. As the collected information may be:
user's personal data and contact with them persons (gender, age, religious and political views, etc.);
Restricted information (browser history, "&amp;"user's contact list, call history, and others.);
Environmental data (the current location of mobile device traffic routes, the presence of wireless access networks in radius);
video data recorded by the camcorder mobile device;
audio data recorded with"&amp;" your device's microphone")</f>
        <v>The threat is the ability of the offender to collect and analyze the information processed by a mobile device through the use of special software, embedded system software user in mobile device security, as well as embedded into mobile program under the guise of a software platform for their development by other companies.
This threat is due to the presence in the mobile device a plurality of data transmission channels, as well as the complexity of control information streams in such a device.
Implementation of this threat can be provided the use of a user's mobile device. As the collected information may be:
user's personal data and contact with them persons (gender, age, religious and political views, etc.);
Restricted information (browser history, user's contact list, call history, and others.);
Environmental data (the current location of mobile device traffic routes, the presence of wireless access networks in radius);
video data recorded by the camcorder mobile device;
audio data recorded with your device's microphone</v>
      </c>
      <c r="M185" s="114" t="str">
        <f ca="1">IFERROR(__xludf.DUMMYFUNCTION("GOOGLETRANSLATE(F186, ""auto"", ""en"")"),"The inner middle potential violator")</f>
        <v>The inner middle potential violator</v>
      </c>
      <c r="N185" s="114" t="str">
        <f ca="1">IFERROR(__xludf.DUMMYFUNCTION("GOOGLETRANSLATE(H186, ""auto"", ""en"")"),"Mobile device")</f>
        <v>Mobile device</v>
      </c>
    </row>
    <row r="186" spans="9:14" ht="255">
      <c r="I186" s="168"/>
      <c r="J186" s="114">
        <v>185</v>
      </c>
      <c r="K186" s="114" t="str">
        <f ca="1">IFERROR(__xludf.DUMMYFUNCTION("GOOGLETRANSLATE(B187, ""auto"", ""en"")"),"The threat of unauthorized changes to the protection of the media settings")</f>
        <v>The threat of unauthorized changes to the protection of the media settings</v>
      </c>
      <c r="L186" s="114" t="str">
        <f ca="1">IFERROR(__xludf.DUMMYFUNCTION("GOOGLETRANSLATE(D187, ""auto"", ""en"")"),"The threat is the possibility of unauthorized changes to the offender means of information protection settings. This threat is caused by weakness of measures restricting access to configuration files protection information. Implementation of this threat c"&amp;"an be subject to the violator of the rights of access to the programming interface of the control means of information protection, as well as the presence of the offender information on the structure and format of the configuration files of information pr"&amp;"otection")</f>
        <v>The threat is the possibility of unauthorized changes to the offender means of information protection settings. This threat is caused by weakness of measures restricting access to configuration files protection information. Implementation of this threat can be subject to the violator of the rights of access to the programming interface of the control means of information protection, as well as the presence of the offender information on the structure and format of the configuration files of information protection</v>
      </c>
      <c r="M186" s="114" t="str">
        <f ca="1">IFERROR(__xludf.DUMMYFUNCTION("GOOGLETRANSLATE(F187, ""auto"", ""en"")"),"External intruder low potential insider with a low potential")</f>
        <v>External intruder low potential insider with a low potential</v>
      </c>
      <c r="N186" s="114" t="str">
        <f ca="1">IFERROR(__xludf.DUMMYFUNCTION("GOOGLETRANSLATE(H187, ""auto"", ""en"")"),"Means of information protection")</f>
        <v>Means of information protection</v>
      </c>
    </row>
    <row r="187" spans="9:14" ht="285">
      <c r="I187" s="168"/>
      <c r="J187" s="114">
        <v>186</v>
      </c>
      <c r="K187" s="114" t="str">
        <f ca="1">IFERROR(__xludf.DUMMYFUNCTION("GOOGLETRANSLATE(B188, ""auto"", ""en"")"),"The threat of malicious code through advertising, services and content")</f>
        <v>The threat of malicious code through advertising, services and content</v>
      </c>
      <c r="L187" s="114" t="str">
        <f ca="1">IFERROR(__xludf.DUMMYFUNCTION("GOOGLETRANSLATE(D188, ""auto"", ""en"")"),"The threat is the possibility of the introduction of the offender into the information system of malware through advertising, services and (or) content (ie, the user's system beliefs activate the link, code, etc.) When a user visits the system of sites on"&amp;" the Internet or install software from the display function advertising.
This threat is caused by weakness of mechanisms of network traffic filtering and antivirus controls at the level of the organization.
Implementation of this threat can be subject t"&amp;"o visits by users of the system with jobs sites on the Internet")</f>
        <v>The threat is the possibility of the introduction of the offender into the information system of malware through advertising, services and (or) content (ie, the user's system beliefs activate the link, code, etc.) When a user visits the system of sites on the Internet or install software from the display function advertising.
This threat is caused by weakness of mechanisms of network traffic filtering and antivirus controls at the level of the organization.
Implementation of this threat can be subject to visits by users of the system with jobs sites on the Internet</v>
      </c>
      <c r="M187" s="114" t="str">
        <f ca="1">IFERROR(__xludf.DUMMYFUNCTION("GOOGLETRANSLATE(F188, ""auto"", ""en"")"),"Insider with a low potential")</f>
        <v>Insider with a low potential</v>
      </c>
      <c r="N187" s="114" t="str">
        <f ca="1">IFERROR(__xludf.DUMMYFUNCTION("GOOGLETRANSLATE(H188, ""auto"", ""en"")"),"Networking software")</f>
        <v>Networking software</v>
      </c>
    </row>
    <row r="188" spans="9:14" ht="270">
      <c r="I188" s="168"/>
      <c r="J188" s="114">
        <v>187</v>
      </c>
      <c r="K188" s="114" t="str">
        <f ca="1">IFERROR(__xludf.DUMMYFUNCTION("GOOGLETRANSLATE(B189, ""auto"", ""en"")"),"The threat of tampering protection tool")</f>
        <v>The threat of tampering protection tool</v>
      </c>
      <c r="L188" s="114" t="str">
        <f ca="1">IFERROR(__xludf.DUMMYFUNCTION("GOOGLETRANSLATE(D189, ""auto"", ""en"")"),"The threat is the possibility of the perpetrator of unauthorized access to the software environment protection means of information and change its mode of operation.
The threat caused by the presence of means of information protection software management"&amp;" environment and the interaction with the users of the system.
Implementation of this threat can be subject to the violator of the rights of access to the programming interface of information security management tool")</f>
        <v>The threat is the possibility of the perpetrator of unauthorized access to the software environment protection means of information and change its mode of operation.
The threat caused by the presence of means of information protection software management environment and the interaction with the users of the system.
Implementation of this threat can be subject to the violator of the rights of access to the programming interface of information security management tool</v>
      </c>
      <c r="M188" s="114" t="str">
        <f ca="1">IFERROR(__xludf.DUMMYFUNCTION("GOOGLETRANSLATE(F189, ""auto"", ""en"")"),"External intruder with an average potential intruder inner middle potential")</f>
        <v>External intruder with an average potential intruder inner middle potential</v>
      </c>
      <c r="N188" s="114" t="str">
        <f ca="1">IFERROR(__xludf.DUMMYFUNCTION("GOOGLETRANSLATE(H189, ""auto"", ""en"")"),"Means of information protection")</f>
        <v>Means of information protection</v>
      </c>
    </row>
    <row r="189" spans="9:14" ht="210">
      <c r="I189" s="168"/>
      <c r="J189" s="114">
        <v>188</v>
      </c>
      <c r="K189" s="114" t="str">
        <f ca="1">IFERROR(__xludf.DUMMYFUNCTION("GOOGLETRANSLATE(B190, ""auto"", ""en"")"),"Software spoofing threat")</f>
        <v>Software spoofing threat</v>
      </c>
      <c r="L189" s="114" t="str">
        <f ca="1">IFERROR(__xludf.DUMMYFUNCTION("GOOGLETRANSLATE(D190, ""auto"", ""en"")"),"The threat is the possibility of the introduction of the offender in malicious software system due to download and install malicious software disguised as legitimate free software.
This threat is caused by the presence of the user rights to install the s"&amp;"oftware from the Internet.
The implementation of this possible threat when downloading software on the Internet")</f>
        <v>The threat is the possibility of the introduction of the offender in malicious software system due to download and install malicious software disguised as legitimate free software.
This threat is caused by the presence of the user rights to install the software from the Internet.
The implementation of this possible threat when downloading software on the Internet</v>
      </c>
      <c r="M189" s="114" t="str">
        <f ca="1">IFERROR(__xludf.DUMMYFUNCTION("GOOGLETRANSLATE(F190, ""auto"", ""en"")"),"The inner middle potential violator")</f>
        <v>The inner middle potential violator</v>
      </c>
      <c r="N189" s="114" t="str">
        <f ca="1">IFERROR(__xludf.DUMMYFUNCTION("GOOGLETRANSLATE(H190, ""auto"", ""en"")"),"Application software, network software, system software")</f>
        <v>Application software, network software, system software</v>
      </c>
    </row>
    <row r="190" spans="9:14" ht="300">
      <c r="I190" s="168"/>
      <c r="J190" s="114">
        <v>189</v>
      </c>
      <c r="K190" s="114" t="str">
        <f ca="1">IFERROR(__xludf.DUMMYFUNCTION("GOOGLETRANSLATE(B191, ""auto"", ""en"")"),"The threat of action masking malicious code")</f>
        <v>The threat of action masking malicious code</v>
      </c>
      <c r="L190" s="114" t="str">
        <f ca="1">IFERROR(__xludf.DUMMYFUNCTION("GOOGLETRANSLATE(D191, ""auto"", ""en"")"),"The threat is the possibility of hiding the system acts of malicious code through the use of special mechanisms code mask (backup, changing the data format, etc..), Which prevent its further analysis.
This threat is caused by the presence of ways to mask"&amp;" the code not recorded signature-based databases means of information protection, as well as the operating system mechanisms that allow to search for means of information protection modules.
Implementation of this threat is possible when used in older ve"&amp;"rsions of the system of information security solutions")</f>
        <v>The threat is the possibility of hiding the system acts of malicious code through the use of special mechanisms code mask (backup, changing the data format, etc..), Which prevent its further analysis.
This threat is caused by the presence of ways to mask the code not recorded signature-based databases means of information protection, as well as the operating system mechanisms that allow to search for means of information protection modules.
Implementation of this threat is possible when used in older versions of the system of information security solutions</v>
      </c>
      <c r="M190" s="114" t="str">
        <f ca="1">IFERROR(__xludf.DUMMYFUNCTION("GOOGLETRANSLATE(F191, ""auto"", ""en"")"),"The outer middle potential violator")</f>
        <v>The outer middle potential violator</v>
      </c>
      <c r="N190" s="114" t="str">
        <f ca="1">IFERROR(__xludf.DUMMYFUNCTION("GOOGLETRANSLATE(H191, ""auto"", ""en"")"),"System software, network software")</f>
        <v>System software, network software</v>
      </c>
    </row>
    <row r="191" spans="9:14" ht="270">
      <c r="I191" s="168"/>
      <c r="J191" s="114">
        <v>190</v>
      </c>
      <c r="K191" s="114" t="str">
        <f ca="1">IFERROR(__xludf.DUMMYFUNCTION("GOOGLETRANSLATE(B192, ""auto"", ""en"")"),"The threat of malicious code at the expense of visiting infected sites on the Internet")</f>
        <v>The threat of malicious code at the expense of visiting infected sites on the Internet</v>
      </c>
      <c r="L191" s="114" t="str">
        <f ca="1">IFERROR(__xludf.DUMMYFUNCTION("GOOGLETRANSLATE(D192, ""auto"", ""en"")"),"The threat is the possibility of the perpetrator of malicious code in a user's computer when visiting infected websites. The intruder identifies the most visited websites by the user, then their hacks and injects them with malicious code. This threat is c"&amp;"aused by weakness of anti-virus protection measures, as well as the absence of rules of firewall. Realization of this is possible with the threat:
unlimited user access to the Internet;
presence in the infringer information about websites visited by the"&amp;" user")</f>
        <v>The threat is the possibility of the perpetrator of malicious code in a user's computer when visiting infected websites. The intruder identifies the most visited websites by the user, then their hacks and injects them with malicious code. This threat is caused by weakness of anti-virus protection measures, as well as the absence of rules of firewall. Realization of this is possible with the threat:
unlimited user access to the Internet;
presence in the infringer information about websites visited by the user</v>
      </c>
      <c r="M191" s="114" t="str">
        <f ca="1">IFERROR(__xludf.DUMMYFUNCTION("GOOGLETRANSLATE(F192, ""auto"", ""en"")"),"The outer middle potential violator")</f>
        <v>The outer middle potential violator</v>
      </c>
      <c r="N191" s="114" t="str">
        <f ca="1">IFERROR(__xludf.DUMMYFUNCTION("GOOGLETRANSLATE(H192, ""auto"", ""en"")"),"Networking software")</f>
        <v>Networking software</v>
      </c>
    </row>
    <row r="192" spans="9:14" ht="180">
      <c r="I192" s="168"/>
      <c r="J192" s="114">
        <v>191</v>
      </c>
      <c r="K192" s="114" t="str">
        <f ca="1">IFERROR(__xludf.DUMMYFUNCTION("GOOGLETRANSLATE(B193, ""auto"", ""en"")"),"The threat of malicious code in software distribution")</f>
        <v>The threat of malicious code in software distribution</v>
      </c>
      <c r="L192" s="114" t="str">
        <f ca="1">IFERROR(__xludf.DUMMYFUNCTION("GOOGLETRANSLATE(D193, ""auto"", ""en"")"),"The threat is the possibility of infection offender system by installing untrusted distribution, embedded with malicious code. This threat is caused by weakness of measures of anti-virus protection. Implementation of this threat is possible when: the user"&amp;" applying external distributions; the absence of anti-virus scan before installing distribution")</f>
        <v>The threat is the possibility of infection offender system by installing untrusted distribution, embedded with malicious code. This threat is caused by weakness of measures of anti-virus protection. Implementation of this threat is possible when: the user applying external distributions; the absence of anti-virus scan before installing distribution</v>
      </c>
      <c r="M192" s="114" t="str">
        <f ca="1">IFERROR(__xludf.DUMMYFUNCTION("GOOGLETRANSLATE(F193, ""auto"", ""en"")"),"External intruder low potential insider with a low potential")</f>
        <v>External intruder low potential insider with a low potential</v>
      </c>
      <c r="N192" s="114" t="str">
        <f ca="1">IFERROR(__xludf.DUMMYFUNCTION("GOOGLETRANSLATE(H193, ""auto"", ""en"")"),"Application software, network software, system software")</f>
        <v>Application software, network software, system software</v>
      </c>
    </row>
    <row r="193" spans="9:14" ht="180">
      <c r="I193" s="168"/>
      <c r="J193" s="114">
        <v>192</v>
      </c>
      <c r="K193" s="114" t="str">
        <f ca="1">IFERROR(__xludf.DUMMYFUNCTION("GOOGLETRANSLATE(B194, ""auto"", ""en"")"),"The threat of using vulnerable versions of the software")</f>
        <v>The threat of using vulnerable versions of the software</v>
      </c>
      <c r="L193" s="114" t="str">
        <f ca="1">IFERROR(__xludf.DUMMYFUNCTION("GOOGLETRANSLATE(D194, ""auto"", ""en"")"),"The threat is the possibility of the perpetrator of a destructive impact on the system by exploiting software vulnerabilities. This threat is caused by weaknesses analysis software mechanisms for vulnerabilities. Implementation of this threat is possible "&amp;"in the absence of checks before using the software in the presence of a vulnerability")</f>
        <v>The threat is the possibility of the perpetrator of a destructive impact on the system by exploiting software vulnerabilities. This threat is caused by weaknesses analysis software mechanisms for vulnerabilities. Implementation of this threat is possible in the absence of checks before using the software in the presence of a vulnerability</v>
      </c>
      <c r="M193" s="114" t="str">
        <f ca="1">IFERROR(__xludf.DUMMYFUNCTION("GOOGLETRANSLATE(F194, ""auto"", ""en"")"),"External intruder low potential insider with a low potential")</f>
        <v>External intruder low potential insider with a low potential</v>
      </c>
      <c r="N193" s="114" t="str">
        <f ca="1">IFERROR(__xludf.DUMMYFUNCTION("GOOGLETRANSLATE(H194, ""auto"", ""en"")"),"Application software, network software, system software")</f>
        <v>Application software, network software, system software</v>
      </c>
    </row>
    <row r="194" spans="9:14" ht="285">
      <c r="I194" s="168"/>
      <c r="J194" s="114">
        <v>193</v>
      </c>
      <c r="K194" s="114" t="str">
        <f ca="1">IFERROR(__xludf.DUMMYFUNCTION("GOOGLETRANSLATE(B195, ""auto"", ""en"")"),"The threat of information leakage through the use of malicious software traffic encryption algorithms")</f>
        <v>The threat of information leakage through the use of malicious software traffic encryption algorithms</v>
      </c>
      <c r="L194" s="114" t="str">
        <f ca="1">IFERROR(__xludf.DUMMYFUNCTION("GOOGLETRANSLATE(D195, ""auto"", ""en"")"),"The threat is the possibility of leakage of information through the use of malicious software traffic encryption algorithms, concealing itself the fact data.
This is due to weaknesses in the storm protection for information in the storage, processing and"&amp;" transmission of information resources.
The implementation of this possible threat:
subject to the successful implementation of this system in diskreditiruemuyu malicious software;
in the absence of or insufficient implementation of firewall measures")</f>
        <v>The threat is the possibility of leakage of information through the use of malicious software traffic encryption algorithms, concealing itself the fact data.
This is due to weaknesses in the storm protection for information in the storage, processing and transmission of information resources.
The implementation of this possible threat:
subject to the successful implementation of this system in diskreditiruemuyu malicious software;
in the absence of or insufficient implementation of firewall measures</v>
      </c>
      <c r="M194" s="114" t="str">
        <f ca="1">IFERROR(__xludf.DUMMYFUNCTION("GOOGLETRANSLATE(F195, ""auto"", ""en"")"),"The outer middle potential violator")</f>
        <v>The outer middle potential violator</v>
      </c>
      <c r="N194" s="114" t="str">
        <f ca="1">IFERROR(__xludf.DUMMYFUNCTION("GOOGLETRANSLATE(H195, ""auto"", ""en"")"),"Information resources, file system objects")</f>
        <v>Information resources, file system objects</v>
      </c>
    </row>
    <row r="195" spans="9:14" ht="225">
      <c r="I195" s="168"/>
      <c r="J195" s="114">
        <v>194</v>
      </c>
      <c r="K195" s="114" t="str">
        <f ca="1">IFERROR(__xludf.DUMMYFUNCTION("GOOGLETRANSLATE(B196, ""auto"", ""en"")"),"The threat of unauthorized use of preferred mobile device functions")</f>
        <v>The threat of unauthorized use of preferred mobile device functions</v>
      </c>
      <c r="L195" s="114" t="str">
        <f ca="1">IFERROR(__xludf.DUMMYFUNCTION("GOOGLETRANSLATE(D196, ""auto"", ""en"")"),"The threat is the possibility of removing the infringer handset comes preinstalled with restrictions on the configuration of the preferred features of the mobile device. This threat is caused by the presence of vulnerabilities in operating systems, mobile"&amp;" devices, allowing access to the settings of preference functions.
Implementation of this threat is possible in the preparation of the offender access to the mobile device")</f>
        <v>The threat is the possibility of removing the infringer handset comes preinstalled with restrictions on the configuration of the preferred features of the mobile device. This threat is caused by the presence of vulnerabilities in operating systems, mobile devices, allowing access to the settings of preference functions.
Implementation of this threat is possible in the preparation of the offender access to the mobile device</v>
      </c>
      <c r="M195" s="114" t="str">
        <f ca="1">IFERROR(__xludf.DUMMYFUNCTION("GOOGLETRANSLATE(F196, ""auto"", ""en"")"),"External intruder with a high potential")</f>
        <v>External intruder with a high potential</v>
      </c>
      <c r="N195" s="114" t="str">
        <f ca="1">IFERROR(__xludf.DUMMYFUNCTION("GOOGLETRANSLATE(H196, ""auto"", ""en"")"),"Mobile device")</f>
        <v>Mobile device</v>
      </c>
    </row>
    <row r="196" spans="9:14" ht="409.5">
      <c r="I196" s="168"/>
      <c r="J196" s="114">
        <v>195</v>
      </c>
      <c r="K196" s="114" t="str">
        <f ca="1">IFERROR(__xludf.DUMMYFUNCTION("GOOGLETRANSLATE(B197, ""auto"", ""en"")"),"The threat of a remote run malicious code to bypass the operating system security mechanisms")</f>
        <v>The threat of a remote run malicious code to bypass the operating system security mechanisms</v>
      </c>
      <c r="L196" s="114" t="str">
        <f ca="1">IFERROR(__xludf.DUMMYFUNCTION("GOOGLETRANSLATE(D197, ""auto"", ""en"")"),"The threat is the ability to remotely run malicious code by creating applications using the bypass protection mechanisms built into the operating system.
This threat is caused by errors in the processor (for example, errors in the generation Intel Haswel"&amp;"l processor) allowing through the creation of custom applications to perform bypassing the security mechanisms built into the operating system (for example, ASLR mechanism).
Realization of this is possible with the threat: initiating a conflict in the de"&amp;"stination buffer table - it can help to identify areas of memory where there are specific pieces of code;
creating an application using these pieces of code to bypass the protection mechanism;
launch of the application in conjunction with an exploit any"&amp;" vulnerability of the operating system to create a remote launch malicious code possibilities")</f>
        <v>The threat is the ability to remotely run malicious code by creating applications using the bypass protection mechanisms built into the operating system.
This threat is caused by errors in the processor (for example, errors in the generation Intel Haswell processor) allowing through the creation of custom applications to perform bypassing the security mechanisms built into the operating system (for example, ASLR mechanism).
Realization of this is possible with the threat: initiating a conflict in the destination buffer table - it can help to identify areas of memory where there are specific pieces of code;
creating an application using these pieces of code to bypass the protection mechanism;
launch of the application in conjunction with an exploit any vulnerability of the operating system to create a remote launch malicious code possibilities</v>
      </c>
      <c r="M196" s="114" t="str">
        <f ca="1">IFERROR(__xludf.DUMMYFUNCTION("GOOGLETRANSLATE(F197, ""auto"", ""en"")"),"External intruder with a high potential")</f>
        <v>External intruder with a high potential</v>
      </c>
      <c r="N196" s="114" t="str">
        <f ca="1">IFERROR(__xludf.DUMMYFUNCTION("GOOGLETRANSLATE(H197, ""auto"", ""en"")"),"Stationary and mobile devices (PCs and laptops) (a hardware device)")</f>
        <v>Stationary and mobile devices (PCs and laptops) (a hardware device)</v>
      </c>
    </row>
    <row r="197" spans="9:14" ht="225">
      <c r="I197" s="168"/>
      <c r="J197" s="114">
        <v>196</v>
      </c>
      <c r="K197" s="114" t="str">
        <f ca="1">IFERROR(__xludf.DUMMYFUNCTION("GOOGLETRANSLATE(B198, ""auto"", ""en"")"),"monitor malware threats list of applications running on the mobile device")</f>
        <v>monitor malware threats list of applications running on the mobile device</v>
      </c>
      <c r="L197" s="114" t="str">
        <f ca="1">IFERROR(__xludf.DUMMYFUNCTION("GOOGLETRANSLATE(D198, ""auto"", ""en"")"),"The threat is the possibility to use the malware to control the list of applications running on the mobile device.
This threat is caused by lack of virus protection measures, which allows you to run uncontrolled malware (lack of control allowed the softw"&amp;"are). Implementation of this threat can be provided that the malicious program is implemented on the mobile device and unintentionally launched by the user")</f>
        <v>The threat is the possibility to use the malware to control the list of applications running on the mobile device.
This threat is caused by lack of virus protection measures, which allows you to run uncontrolled malware (lack of control allowed the software). Implementation of this threat can be provided that the malicious program is implemented on the mobile device and unintentionally launched by the user</v>
      </c>
      <c r="M197" s="114" t="str">
        <f ca="1">IFERROR(__xludf.DUMMYFUNCTION("GOOGLETRANSLATE(F198, ""auto"", ""en"")"),"External intruder with a high potential")</f>
        <v>External intruder with a high potential</v>
      </c>
      <c r="N197" s="114" t="str">
        <f ca="1">IFERROR(__xludf.DUMMYFUNCTION("GOOGLETRANSLATE(H198, ""auto"", ""en"")"),"The mobile device (a hardware device)")</f>
        <v>The mobile device (a hardware device)</v>
      </c>
    </row>
    <row r="198" spans="9:14" ht="300">
      <c r="I198" s="168"/>
      <c r="J198" s="114">
        <v>197</v>
      </c>
      <c r="K198" s="114" t="str">
        <f ca="1">IFERROR(__xludf.DUMMYFUNCTION("GOOGLETRANSLATE(B199, ""auto"", ""en"")"),"authentication information theft threat of temporary cookie")</f>
        <v>authentication information theft threat of temporary cookie</v>
      </c>
      <c r="L198" s="114" t="str">
        <f ca="1">IFERROR(__xludf.DUMMYFUNCTION("GOOGLETRANSLATE(D199, ""auto"", ""en"")"),"The threat is the possibility of theft using malware user authentication information, their accounts, stored in a temporary cookie, and transmit this information to offenders through an open RDP-port.
This threat is caused by lack of virus protection mea"&amp;"sures, that allows you to uncontrolled run malicious software (lack of control allowed the software).
In addition, the threat caused by the failure to erase the residual information of temporary files (temporary files cleanup).
Implementation of this th"&amp;"reat can be provided that on the victim opened the RDP-port computer")</f>
        <v>The threat is the possibility of theft using malware user authentication information, their accounts, stored in a temporary cookie, and transmit this information to offenders through an open RDP-port.
This threat is caused by lack of virus protection measures, that allows you to uncontrolled run malicious software (lack of control allowed the software).
In addition, the threat caused by the failure to erase the residual information of temporary files (temporary files cleanup).
Implementation of this threat can be provided that on the victim opened the RDP-port computer</v>
      </c>
      <c r="M198" s="114" t="str">
        <f ca="1">IFERROR(__xludf.DUMMYFUNCTION("GOOGLETRANSLATE(F199, ""auto"", ""en"")"),"The outer middle potential violator")</f>
        <v>The outer middle potential violator</v>
      </c>
      <c r="N198" s="114" t="str">
        <f ca="1">IFERROR(__xludf.DUMMYFUNCTION("GOOGLETRANSLATE(H199, ""auto"", ""en"")"),"The information stored on the computer of temporary files (software)")</f>
        <v>The information stored on the computer of temporary files (software)</v>
      </c>
    </row>
    <row r="199" spans="9:14" ht="330">
      <c r="I199" s="168"/>
      <c r="J199" s="114">
        <v>198</v>
      </c>
      <c r="K199" s="114" t="str">
        <f ca="1">IFERROR(__xludf.DUMMYFUNCTION("GOOGLETRANSLATE(B200, ""auto"", ""en"")"),"The threat of covert registration malware administrator accounts")</f>
        <v>The threat of covert registration malware administrator accounts</v>
      </c>
      <c r="L199" s="114" t="str">
        <f ca="1">IFERROR(__xludf.DUMMYFUNCTION("GOOGLETRANSLATE(D200, ""auto"", ""en"")"),"The threat is the possibility of creating a covert insertion of malware accounts with administrative rights in order to further their use for unauthorized access to user data and settings of the software installed on the infected computer.
This threat is"&amp;" caused by lack of virus protection measures, that allows you to uncontrolled run malicious software (lack of control allowed the software).
In addition, the threat caused by lack of access control measures (control of the creation of user accounts).
Im"&amp;"plementation of this threat can be provided that on the victim opened the RDP-port computer")</f>
        <v>The threat is the possibility of creating a covert insertion of malware accounts with administrative rights in order to further their use for unauthorized access to user data and settings of the software installed on the infected computer.
This threat is caused by lack of virus protection measures, that allows you to uncontrolled run malicious software (lack of control allowed the software).
In addition, the threat caused by lack of access control measures (control of the creation of user accounts).
Implementation of this threat can be provided that on the victim opened the RDP-port computer</v>
      </c>
      <c r="M199" s="114" t="str">
        <f ca="1">IFERROR(__xludf.DUMMYFUNCTION("GOOGLETRANSLATE(F200, ""auto"", ""en"")"),"The outer middle potential violator")</f>
        <v>The outer middle potential violator</v>
      </c>
      <c r="N199" s="114" t="str">
        <f ca="1">IFERROR(__xludf.DUMMYFUNCTION("GOOGLETRANSLATE(H200, ""auto"", ""en"")"),"System access, built into the computer's operating system management (Software)")</f>
        <v>System access, built into the computer's operating system management (Software)</v>
      </c>
    </row>
    <row r="200" spans="9:14" ht="375">
      <c r="I200" s="168"/>
      <c r="J200" s="114">
        <v>199</v>
      </c>
      <c r="K200" s="114" t="str">
        <f ca="1">IFERROR(__xludf.DUMMYFUNCTION("GOOGLETRANSLATE(B201, ""auto"", ""en"")"),"The threat of interception management mobile device using voice virtual assistants")</f>
        <v>The threat of interception management mobile device using voice virtual assistants</v>
      </c>
      <c r="L200" s="114" t="str">
        <f ca="1">IFERROR(__xludf.DUMMYFUNCTION("GOOGLETRANSLATE(D201, ""auto"", ""en"")"),"The threat is a mobile device management capabilities and applications running on it on behalf of a legitimate user by transmitting these commands through voice virtual assistants (e.g., through the Siri for IPhone).
This threat is caused by user authent"&amp;"ication problems, in particular Voice ID. Voice assistant can not be completely sure whether to heed the voice belongs to the owner of the device, so for the convenience of users and operation guarantee is set low sensitivity Voice ID. This allows an atta"&amp;"cker to use the speech recorded on a dictaphone of the mobile device owner. Implementation of this threat can be provided that a virtual voice assistant is active (ie, not disabled) and set a low sensitivity voice identifier")</f>
        <v>The threat is a mobile device management capabilities and applications running on it on behalf of a legitimate user by transmitting these commands through voice virtual assistants (e.g., through the Siri for IPhone).
This threat is caused by user authentication problems, in particular Voice ID. Voice assistant can not be completely sure whether to heed the voice belongs to the owner of the device, so for the convenience of users and operation guarantee is set low sensitivity Voice ID. This allows an attacker to use the speech recorded on a dictaphone of the mobile device owner. Implementation of this threat can be provided that a virtual voice assistant is active (ie, not disabled) and set a low sensitivity voice identifier</v>
      </c>
      <c r="M200" s="114" t="str">
        <f ca="1">IFERROR(__xludf.DUMMYFUNCTION("GOOGLETRANSLATE(F201, ""auto"", ""en"")"),"The outer middle potential violator")</f>
        <v>The outer middle potential violator</v>
      </c>
      <c r="N200" s="114" t="str">
        <f ca="1">IFERROR(__xludf.DUMMYFUNCTION("GOOGLETRANSLATE(H201, ""auto"", ""en"")"),"Mobile devices and applications running on it (software, hardware device)")</f>
        <v>Mobile devices and applications running on it (software, hardware device)</v>
      </c>
    </row>
    <row r="201" spans="9:14" ht="330">
      <c r="I201" s="168"/>
      <c r="J201" s="114">
        <v>200</v>
      </c>
      <c r="K201" s="114" t="str">
        <f ca="1">IFERROR(__xludf.DUMMYFUNCTION("GOOGLETRANSLATE(B202, ""auto"", ""en"")"),"The threat of theft information from mobile device using voice virtual assistants")</f>
        <v>The threat of theft information from mobile device using voice virtual assistants</v>
      </c>
      <c r="L201" s="114" t="str">
        <f ca="1">IFERROR(__xludf.DUMMYFUNCTION("GOOGLETRANSLATE(D202, ""auto"", ""en"")"),"The threat lies in the possibility of theft of user data with his mobile device via the voice virtual assistants (e.g., through the Siri for IPhone).
This threat is caused by user authentication problems, in particular Voice ID. Voice assistant can not b"&amp;"e completely sure whether to heed the voice belongs to the owner of the device, so for the convenience of users and operation guarantee is set low sensitivity Voice ID. This allows an attacker to use the speech recorded on a dictaphone of the mobile devic"&amp;"e owner. Implementation of this threat can be provided that a virtual voice assistant is active (ie, not disabled) and set a low sensitivity voice identifier")</f>
        <v>The threat lies in the possibility of theft of user data with his mobile device via the voice virtual assistants (e.g., through the Siri for IPhone).
This threat is caused by user authentication problems, in particular Voice ID. Voice assistant can not be completely sure whether to heed the voice belongs to the owner of the device, so for the convenience of users and operation guarantee is set low sensitivity Voice ID. This allows an attacker to use the speech recorded on a dictaphone of the mobile device owner. Implementation of this threat can be provided that a virtual voice assistant is active (ie, not disabled) and set a low sensitivity voice identifier</v>
      </c>
      <c r="M201" s="114" t="str">
        <f ca="1">IFERROR(__xludf.DUMMYFUNCTION("GOOGLETRANSLATE(F202, ""auto"", ""en"")"),"The outer middle potential violator")</f>
        <v>The outer middle potential violator</v>
      </c>
      <c r="N201" s="114" t="str">
        <f ca="1">IFERROR(__xludf.DUMMYFUNCTION("GOOGLETRANSLATE(H202, ""auto"", ""en"")"),"These user's mobile device (a hardware device)")</f>
        <v>These user's mobile device (a hardware device)</v>
      </c>
    </row>
    <row r="202" spans="9:14" ht="225">
      <c r="I202" s="168"/>
      <c r="J202" s="114">
        <v>201</v>
      </c>
      <c r="K202" s="114" t="str">
        <f ca="1">IFERROR(__xludf.DUMMYFUNCTION("GOOGLETRANSLATE(B203, ""auto"", ""en"")"),"The threat of leakage of user data when using the auto-fill authentication information in the browser")</f>
        <v>The threat of leakage of user data when using the auto-fill authentication information in the browser</v>
      </c>
      <c r="L202" s="114" t="str">
        <f ca="1">IFERROR(__xludf.DUMMYFUNCTION("GOOGLETRANSLATE(D203, ""auto"", ""en"")"),"The threat is the possibility of leakage of user data through the use of sales in the browser will automatically fill login forms function.
Implementation of this threat is caused by storage in browsers unencrypted user data used for auto-login forms.
I"&amp;"mplementation of this threat can be provided that the user is using a browser that implements the function is activated and automatically fill login forms")</f>
        <v>The threat is the possibility of leakage of user data through the use of sales in the browser will automatically fill login forms function.
Implementation of this threat is caused by storage in browsers unencrypted user data used for auto-login forms.
Implementation of this threat can be provided that the user is using a browser that implements the function is activated and automatically fill login forms</v>
      </c>
      <c r="M202" s="114" t="str">
        <f ca="1">IFERROR(__xludf.DUMMYFUNCTION("GOOGLETRANSLATE(F203, ""auto"", ""en"")"),"The outer middle potential violator")</f>
        <v>The outer middle potential violator</v>
      </c>
      <c r="N202" s="114" t="str">
        <f ca="1">IFERROR(__xludf.DUMMYFUNCTION("GOOGLETRANSLATE(H203, ""auto"", ""en"")"),"User authentication data (software)")</f>
        <v>User authentication data (software)</v>
      </c>
    </row>
    <row r="203" spans="9:14" ht="390">
      <c r="I203" s="168"/>
      <c r="J203" s="114">
        <v>202</v>
      </c>
      <c r="K203" s="114" t="str">
        <f ca="1">IFERROR(__xludf.DUMMYFUNCTION("GOOGLETRANSLATE(B204, ""auto"", ""en"")"),"The threat of unauthorized installation of applications on mobile devices")</f>
        <v>The threat of unauthorized installation of applications on mobile devices</v>
      </c>
      <c r="L203" s="114" t="str">
        <f ca="1">IFERROR(__xludf.DUMMYFUNCTION("GOOGLETRANSLATE(D204, ""auto"", ""en"")"),"The threat is the ability to install applications on the virtual machine for mobile devices running the Android operating system running unauthorized insertion of malware. A malicious program runs a virtual machine on a mobile device places (set) in the v"&amp;"irtual machine, an unlimited number of applications.
This threat is due to the lack of measures to control the running application software that allows you to uncontrolled run malicious software application upon the user performing a variety of actions i"&amp;"n the system (for example, when you try closing unsolicited advertising by the user).
Implementation of this threat can be provided that the mobile device malware, capable to run a virtual machine and set in the virtual machine application")</f>
        <v>The threat is the ability to install applications on the virtual machine for mobile devices running the Android operating system running unauthorized insertion of malware. A malicious program runs a virtual machine on a mobile device places (set) in the virtual machine, an unlimited number of applications.
This threat is due to the lack of measures to control the running application software that allows you to uncontrolled run malicious software application upon the user performing a variety of actions in the system (for example, when you try closing unsolicited advertising by the user).
Implementation of this threat can be provided that the mobile device malware, capable to run a virtual machine and set in the virtual machine application</v>
      </c>
      <c r="M203" s="114" t="str">
        <f ca="1">IFERROR(__xludf.DUMMYFUNCTION("GOOGLETRANSLATE(F204, ""auto"", ""en"")"),"The outer middle potential violator")</f>
        <v>The outer middle potential violator</v>
      </c>
      <c r="N203" s="114" t="str">
        <f ca="1">IFERROR(__xludf.DUMMYFUNCTION("GOOGLETRANSLATE(H204, ""auto"", ""en"")"),"Mobile devices (hardware device, software)")</f>
        <v>Mobile devices (hardware device, software)</v>
      </c>
    </row>
    <row r="204" spans="9:14" ht="409.5">
      <c r="I204" s="168"/>
      <c r="J204" s="114">
        <v>203</v>
      </c>
      <c r="K204" s="114" t="str">
        <f ca="1">IFERROR(__xludf.DUMMYFUNCTION("GOOGLETRANSLATE(B205, ""auto"", ""en"")"),"The threat of information leakage from unconnected to the Internet computers")</f>
        <v>The threat of information leakage from unconnected to the Internet computers</v>
      </c>
      <c r="L204" s="114" t="str">
        <f ca="1">IFERROR(__xludf.DUMMYFUNCTION("GOOGLETRANSLATE(D205, ""auto"", ""en"")"),"The threat is the possibility of data theft from unconnected to the Internet computers at the expense of compromising their hardware elements or switching equipment devices (eg, routers), equipped with LED-indicators, fixation of these indicators blink an"&amp;"d interpretation of the results.
Implementation of the threat caused by the fact that it is possible to obtain unauthorized control of these indicators (via firmware or special privilege elevation and execute malicious code), allowing to transmit informa"&amp;"tion by transforming it into a sequence of signal indicators computers and switching equipment.
Implementation of this threat can be provided that is obtained by an attacker being compromised physical access to a computer or switching equipment for remov"&amp;"ably positioning means visual signal LED-indicators")</f>
        <v>The threat is the possibility of data theft from unconnected to the Internet computers at the expense of compromising their hardware elements or switching equipment devices (eg, routers), equipped with LED-indicators, fixation of these indicators blink and interpretation of the results.
Implementation of the threat caused by the fact that it is possible to obtain unauthorized control of these indicators (via firmware or special privilege elevation and execute malicious code), allowing to transmit information by transforming it into a sequence of signal indicators computers and switching equipment.
Implementation of this threat can be provided that is obtained by an attacker being compromised physical access to a computer or switching equipment for removably positioning means visual signal LED-indicators</v>
      </c>
      <c r="M204" s="114" t="str">
        <f ca="1">IFERROR(__xludf.DUMMYFUNCTION("GOOGLETRANSLATE(F205, ""auto"", ""en"")"),"External intruder with an average potential intruder inner middle potential")</f>
        <v>External intruder with an average potential intruder inner middle potential</v>
      </c>
      <c r="N204" s="114" t="str">
        <f ca="1">IFERROR(__xludf.DUMMYFUNCTION("GOOGLETRANSLATE(H205, ""auto"", ""en"")"),"Software")</f>
        <v>Software</v>
      </c>
    </row>
    <row r="205" spans="9:14" ht="330">
      <c r="I205" s="168"/>
      <c r="J205" s="114">
        <v>204</v>
      </c>
      <c r="K205" s="114" t="str">
        <f ca="1">IFERROR(__xludf.DUMMYFUNCTION("GOOGLETRANSLATE(B206, ""auto"", ""en"")"),"The threat of unauthorized alteration malware parameter values ​​programmable logic controller")</f>
        <v>The threat of unauthorized alteration malware parameter values ​​programmable logic controller</v>
      </c>
      <c r="L205" s="114" t="str">
        <f ca="1">IFERROR(__xludf.DUMMYFUNCTION("GOOGLETRANSLATE(D206, ""auto"", ""en"")"),"The threat is the possibility of unauthorized alteration malware control values ​​of the actuators and control parameters to programmable logic controllers after penetration and authorization data devices.
Implementation of the threat caused by the abili"&amp;"ty to detect malware in the network programmable logic controllers, to penetrate and operate in the operating system, programmable logic controllers, as well as the disadvantages of authentication mechanisms.
Implementation of this threat is possible, pr"&amp;"ovided that it is possible to access the elements of an automated process on Internet governance")</f>
        <v>The threat is the possibility of unauthorized alteration malware control values ​​of the actuators and control parameters to programmable logic controllers after penetration and authorization data devices.
Implementation of the threat caused by the ability to detect malware in the network programmable logic controllers, to penetrate and operate in the operating system, programmable logic controllers, as well as the disadvantages of authentication mechanisms.
Implementation of this threat is possible, provided that it is possible to access the elements of an automated process on Internet governance</v>
      </c>
      <c r="M205" s="114" t="str">
        <f ca="1">IFERROR(__xludf.DUMMYFUNCTION("GOOGLETRANSLATE(F206, ""auto"", ""en"")"),"The outer middle potential violator")</f>
        <v>The outer middle potential violator</v>
      </c>
      <c r="N205" s="114" t="str">
        <f ca="1">IFERROR(__xludf.DUMMYFUNCTION("GOOGLETRANSLATE(H206, ""auto"", ""en"")"),"hardware device")</f>
        <v>hardware device</v>
      </c>
    </row>
    <row r="206" spans="9:14" ht="165">
      <c r="I206" s="168"/>
      <c r="J206" s="114">
        <v>205</v>
      </c>
      <c r="K206" s="114" t="str">
        <f ca="1">IFERROR(__xludf.DUMMYFUNCTION("GOOGLETRANSLATE(B207, ""auto"", ""en"")"),"The threat of violation of the computer and blocking access to its data due to improper operation of means of protection installed on it")</f>
        <v>The threat of violation of the computer and blocking access to its data due to improper operation of means of protection installed on it</v>
      </c>
      <c r="L206" s="114" t="str">
        <f ca="1">IFERROR(__xludf.DUMMYFUNCTION("GOOGLETRANSLATE(D207, ""auto"", ""en"")"),"The threat is the possibility of disruption of the computer and the denial of access to its data due to erroneous blocking remedy file information.
Implementation of this threat stems from the fact that the computer has a means of protecting information "&amp;"that implements the file locking feature")</f>
        <v>The threat is the possibility of disruption of the computer and the denial of access to its data due to erroneous blocking remedy file information.
Implementation of this threat stems from the fact that the computer has a means of protecting information that implements the file locking feature</v>
      </c>
      <c r="M206" s="114" t="str">
        <f ca="1">IFERROR(__xludf.DUMMYFUNCTION("GOOGLETRANSLATE(F207, ""auto"", ""en"")"),"External intruder with a low potential")</f>
        <v>External intruder with a low potential</v>
      </c>
      <c r="N206" s="114" t="str">
        <f ca="1">IFERROR(__xludf.DUMMYFUNCTION("GOOGLETRANSLATE(H207, ""auto"", ""en"")"),"Hardware device, software")</f>
        <v>Hardware device, software</v>
      </c>
    </row>
    <row r="207" spans="9:14" ht="180">
      <c r="I207" s="168"/>
      <c r="J207" s="114">
        <v>206</v>
      </c>
      <c r="K207" s="114" t="str">
        <f ca="1">IFERROR(__xludf.DUMMYFUNCTION("GOOGLETRANSLATE(B208, ""auto"", ""en"")"),"The threat of failure of equipment due to changes geolocation information about it")</f>
        <v>The threat of failure of equipment due to changes geolocation information about it</v>
      </c>
      <c r="L207" s="114" t="str">
        <f ca="1">IFERROR(__xludf.DUMMYFUNCTION("GOOGLETRANSLATE(D208, ""auto"", ""en"")"),"The threat lies in the termination of CNC equipment, caused by the change of geolocation information of this equipment. The threat caused geolocation binding CNC equipment to a specific geographic coordinate with the commissioning work. Threat realized if"&amp;" displacement CNC equipment and leads to the impossibility of its further use")</f>
        <v>The threat lies in the termination of CNC equipment, caused by the change of geolocation information of this equipment. The threat caused geolocation binding CNC equipment to a specific geographic coordinate with the commissioning work. Threat realized if displacement CNC equipment and leads to the impossibility of its further use</v>
      </c>
      <c r="M207" s="114" t="str">
        <f ca="1">IFERROR(__xludf.DUMMYFUNCTION("GOOGLETRANSLATE(F208, ""auto"", ""en"")"),"External intruder with a high potential")</f>
        <v>External intruder with a high potential</v>
      </c>
      <c r="N207" s="114" t="str">
        <f ca="1">IFERROR(__xludf.DUMMYFUNCTION("GOOGLETRANSLATE(H208, ""auto"", ""en"")"),"hardware device")</f>
        <v>hardware device</v>
      </c>
    </row>
    <row r="208" spans="9:14" ht="195">
      <c r="I208" s="168"/>
      <c r="J208" s="114">
        <v>207</v>
      </c>
      <c r="K208" s="114" t="str">
        <f ca="1">IFERROR(__xludf.DUMMYFUNCTION("GOOGLETRANSLATE(B209, ""auto"", ""en"")"),"The threat of unauthorized access to equipment setup parameters by using the ""master code"" (password engineering)")</f>
        <v>The threat of unauthorized access to equipment setup parameters by using the "master code" (password engineering)</v>
      </c>
      <c r="L208" s="114" t="str">
        <f ca="1">IFERROR(__xludf.DUMMYFUNCTION("GOOGLETRANSLATE(D209, ""auto"", ""en"")"),"The threat is unauthorized access to configuration parameters with the NC data in the equipment through the use of special ""master code"" (engineering passwords), ""hard-coded"" (not changeable by configuration) the software of the equipment. The threat "&amp;"caused by the need for repairs at failures in the software CNC equipment manufacturer representatives")</f>
        <v>The threat is unauthorized access to configuration parameters with the NC data in the equipment through the use of special "master code" (engineering passwords), "hard-coded" (not changeable by configuration) the software of the equipment. The threat caused by the need for repairs at failures in the software CNC equipment manufacturer representatives</v>
      </c>
      <c r="M208" s="114" t="str">
        <f ca="1">IFERROR(__xludf.DUMMYFUNCTION("GOOGLETRANSLATE(F209, ""auto"", ""en"")"),"External intruder low potential insider with a low potential")</f>
        <v>External intruder low potential insider with a low potential</v>
      </c>
      <c r="N208" s="114" t="str">
        <f ca="1">IFERROR(__xludf.DUMMYFUNCTION("GOOGLETRANSLATE(H209, ""auto"", ""en"")"),"Hardware device, software")</f>
        <v>Hardware device, software</v>
      </c>
    </row>
    <row r="209" spans="9:14" ht="390">
      <c r="I209" s="168"/>
      <c r="J209" s="114">
        <v>208</v>
      </c>
      <c r="K209" s="114" t="str">
        <f ca="1">IFERROR(__xludf.DUMMYFUNCTION("GOOGLETRANSLATE(B210, ""auto"", ""en"")"),"The threat of misuse of computing resources, computer equipment")</f>
        <v>The threat of misuse of computing resources, computer equipment</v>
      </c>
      <c r="L209" s="114" t="str">
        <f ca="1">IFERROR(__xludf.DUMMYFUNCTION("GOOGLETRANSLATE(D210, ""auto"", ""en"")"),"The threat is the possibility of using computing resources of computer equipment for the implementation of third-party computing processes.
The threat is realized through the introduction of computer aids malicious program containing code that implements"&amp;" the use of computing resources for their needs (eg, for mining cryptocurrency).
This threat is caused by lack of information, the following protection measures:
of anti-virus protection measures, that allows you to install and run a malicious program;
"&amp;"
measures to restrict the software environment that allows an attacker to perform unsupervised startup software components.")</f>
        <v>The threat is the possibility of using computing resources of computer equipment for the implementation of third-party computing processes.
The threat is realized through the introduction of computer aids malicious program containing code that implements the use of computing resources for their needs (eg, for mining cryptocurrency).
This threat is caused by lack of information, the following protection measures:
of anti-virus protection measures, that allows you to install and run a malicious program;
measures to restrict the software environment that allows an attacker to perform unsupervised startup software components.</v>
      </c>
      <c r="M209" s="114" t="str">
        <f ca="1">IFERROR(__xludf.DUMMYFUNCTION("GOOGLETRANSLATE(F210, ""auto"", ""en"")"),"Outside the low-potential intruder, the intruder outer middle potential insider with a low potential intruder inner middle potential")</f>
        <v>Outside the low-potential intruder, the intruder outer middle potential insider with a low potential intruder inner middle potential</v>
      </c>
      <c r="N209" s="114" t="str">
        <f ca="1">IFERROR(__xludf.DUMMYFUNCTION("GOOGLETRANSLATE(H210, ""auto"", ""en"")"),"Means of computing, mobile unit")</f>
        <v>Means of computing, mobile unit</v>
      </c>
    </row>
    <row r="210" spans="9:14" ht="409.5">
      <c r="I210" s="168"/>
      <c r="J210" s="114">
        <v>209</v>
      </c>
      <c r="K210" s="114" t="str">
        <f ca="1">IFERROR(__xludf.DUMMYFUNCTION("GOOGLETRANSLATE(B211, ""auto"", ""en"")"),"The threat of unauthorized access to protected storage
CPU core")</f>
        <v>The threat of unauthorized access to protected storage
CPU core</v>
      </c>
      <c r="L210" s="114" t="str">
        <f ca="1">IFERROR(__xludf.DUMMYFUNCTION("GOOGLETRANSLATE(D211, ""auto"", ""en"")"),"The threat is the ability to gain access to protected memory of the program that does not have the appropriate rights in the exploitation of vulnerabilities that allow to overcome the access control mechanism implemented by the CPU.
The realization of th"&amp;"e threat caused by the presence of vulnerabilities associated with the error to the memory access control based on the speculative execution of processor instructions. control access error caused by the following factors:
1) the lack of verification of t"&amp;"he rights of the access to the readable areas at the speculative execution of operations, including reading from RAM;
2) absence of the cache results from purification erroneous speculative execution;
3) storing data of the operating system kernel in th"&amp;"e process address space.
Implementation of this threat is possible due to the presence of processors with hardware vulnerability and lack of appropriate updates")</f>
        <v>The threat is the ability to gain access to protected memory of the program that does not have the appropriate rights in the exploitation of vulnerabilities that allow to overcome the access control mechanism implemented by the CPU.
The realization of the threat caused by the presence of vulnerabilities associated with the error to the memory access control based on the speculative execution of processor instructions. control access error caused by the following factors:
1) the lack of verification of the rights of the access to the readable areas at the speculative execution of operations, including reading from RAM;
2) absence of the cache results from purification erroneous speculative execution;
3) storing data of the operating system kernel in the process address space.
Implementation of this threat is possible due to the presence of processors with hardware vulnerability and lack of appropriate updates</v>
      </c>
      <c r="M210" s="114" t="str">
        <f ca="1">IFERROR(__xludf.DUMMYFUNCTION("GOOGLETRANSLATE(F211, ""auto"", ""en"")"),"External intruder low potential insider with a low potential")</f>
        <v>External intruder low potential insider with a low potential</v>
      </c>
      <c r="N210" s="114" t="str">
        <f ca="1">IFERROR(__xludf.DUMMYFUNCTION("GOOGLETRANSLATE(H211, ""auto"", ""en"")"),"hardware device")</f>
        <v>hardware device</v>
      </c>
    </row>
    <row r="211" spans="9:14" ht="270">
      <c r="I211" s="168"/>
      <c r="J211" s="114">
        <v>210</v>
      </c>
      <c r="K211" s="114" t="str">
        <f ca="1">IFERROR(__xludf.DUMMYFUNCTION("GOOGLETRANSLATE(B212, ""auto"", ""en"")"),"The threat of disruption of the information system, caused by the updating is used in its software")</f>
        <v>The threat of disruption of the information system, caused by the updating is used in its software</v>
      </c>
      <c r="L211" s="114" t="str">
        <f ca="1">IFERROR(__xludf.DUMMYFUNCTION("GOOGLETRANSLATE(D212, ""auto"", ""en"")"),"The threat is possible violation operation software, firmware and hardware elements of the information system or an information system as a whole due to incorrect operation of the installed updates (patches) of the system software.
The threat caused by t"&amp;"he presence of critical errors, defects, security vulnerabilities in the software used in the information system.
Implementation of this threat can be provided to install updates to software and hardware components of the information system")</f>
        <v>The threat is possible violation operation software, firmware and hardware elements of the information system or an information system as a whole due to incorrect operation of the installed updates (patches) of the system software.
The threat caused by the presence of critical errors, defects, security vulnerabilities in the software used in the information system.
Implementation of this threat can be provided to install updates to software and hardware components of the information system</v>
      </c>
      <c r="M211" s="114" t="str">
        <f ca="1">IFERROR(__xludf.DUMMYFUNCTION("GOOGLETRANSLATE(F212, ""auto"", ""en"")"),"Insider with high potential")</f>
        <v>Insider with high potential</v>
      </c>
      <c r="N211" s="114" t="str">
        <f ca="1">IFERROR(__xludf.DUMMYFUNCTION("GOOGLETRANSLATE(H212, ""auto"", ""en"")"),"Hardware device, firmware, system and application software")</f>
        <v>Hardware device, firmware, system and application software</v>
      </c>
    </row>
    <row r="212" spans="9:14" ht="285">
      <c r="I212" s="168"/>
      <c r="J212" s="114">
        <v>211</v>
      </c>
      <c r="K212" s="114" t="str">
        <f ca="1">IFERROR(__xludf.DUMMYFUNCTION("GOOGLETRANSLATE(B213, ""auto"", ""en"")"),"The threat of the use of unverified user data during the formation of the configuration file used software management information systems")</f>
        <v>The threat of the use of unverified user data during the formation of the configuration file used software management information systems</v>
      </c>
      <c r="L212" s="114" t="str">
        <f ca="1">IFERROR(__xludf.DUMMYFUNCTION("GOOGLETRANSLATE(D213, ""auto"", ""en"")"),"The threat is the possibility of a destructive impact on the information system and the information processed by it as a result of the software used for managing information systems.
This threat is linked with the weaknesses of the user data verification"&amp;" procedures used in generating the configuration file for the software management of information systems.
Implementation of this threat can be if used in the information system software management information system, which uses as input configuration fil"&amp;"es generated on the basis of user data")</f>
        <v>The threat is the possibility of a destructive impact on the information system and the information processed by it as a result of the software used for managing information systems.
This threat is linked with the weaknesses of the user data verification procedures used in generating the configuration file for the software management of information systems.
Implementation of this threat can be if used in the information system software management information system, which uses as input configuration files generated on the basis of user data</v>
      </c>
      <c r="M212" s="114" t="str">
        <f ca="1">IFERROR(__xludf.DUMMYFUNCTION("GOOGLETRANSLATE(F213, ""auto"", ""en"")"),"Insider with a low potential")</f>
        <v>Insider with a low potential</v>
      </c>
      <c r="N212" s="114" t="str">
        <f ca="1">IFERROR(__xludf.DUMMYFUNCTION("GOOGLETRANSLATE(H213, ""auto"", ""en"")"),"System Software")</f>
        <v>System Software</v>
      </c>
    </row>
    <row r="213" spans="9:14" ht="360">
      <c r="I213" s="168"/>
      <c r="J213" s="114">
        <v>212</v>
      </c>
      <c r="K213" s="114" t="str">
        <f ca="1">IFERROR(__xludf.DUMMYFUNCTION("GOOGLETRANSLATE(B214, ""auto"", ""en"")"),"management information system to intercept a threat")</f>
        <v>management information system to intercept a threat</v>
      </c>
      <c r="L213" s="114" t="str">
        <f ca="1">IFERROR(__xludf.DUMMYFUNCTION("GOOGLETRANSLATE(D214, ""auto"", ""en"")"),"The threat is the possibility of the perpetrator of unauthorized access to information, software and computing resources information system as a result of the substitution of centralized management of IT system or its components.
This threat is caused by"&amp;" the presence of means of centralized management software interface to the other access entities (processes, programs) and, as a consequence, the possibility of unauthorized access to data centralized management tools, and the lack of differentiation of a"&amp;"ccess to interventions.
Implementation of this threat is possible on condition that the infringer to conduct interaction with centralized management tools")</f>
        <v>The threat is the possibility of the perpetrator of unauthorized access to information, software and computing resources information system as a result of the substitution of centralized management of IT system or its components.
This threat is caused by the presence of means of centralized management software interface to the other access entities (processes, programs) and, as a consequence, the possibility of unauthorized access to data centralized management tools, and the lack of differentiation of access to interventions.
Implementation of this threat is possible on condition that the infringer to conduct interaction with centralized management tools</v>
      </c>
      <c r="M213" s="114" t="str">
        <f ca="1">IFERROR(__xludf.DUMMYFUNCTION("GOOGLETRANSLATE(F214, ""auto"", ""en"")"),"The inner middle potential violator")</f>
        <v>The inner middle potential violator</v>
      </c>
      <c r="N213" s="114" t="str">
        <f ca="1">IFERROR(__xludf.DUMMYFUNCTION("GOOGLETRANSLATE(H214, ""auto"", ""en"")"),"Infrastructure Information Systems")</f>
        <v>Infrastructure Information Systems</v>
      </c>
    </row>
    <row r="214" spans="9:14" ht="300">
      <c r="I214" s="168"/>
      <c r="J214" s="114">
        <v>213</v>
      </c>
      <c r="K214" s="114" t="str">
        <f ca="1">IFERROR(__xludf.DUMMYFUNCTION("GOOGLETRANSLATE(B215, ""auto"", ""en"")"),"multifactor authentication bypass threat")</f>
        <v>multifactor authentication bypass threat</v>
      </c>
      <c r="L214" s="114" t="str">
        <f ca="1">IFERROR(__xludf.DUMMYFUNCTION("GOOGLETRANSLATE(D215, ""auto"", ""en"")"),"The threat is the ability to bypass multi-factor authentication through the introduction of malicious code in diskreditiruemuyu systems and components involved in the procedure of multi-factor authentication.
This threat is caused by:
presence of softwa"&amp;"re vulnerabilities;
weaknesses measures anti-virus protection and access control.
The implementation of this possible threat:
in the case of diskreditiruemogo user with files coming from untrusted sources;
if he has a privilege installing software")</f>
        <v>The threat is the ability to bypass multi-factor authentication through the introduction of malicious code in diskreditiruemuyu systems and components involved in the procedure of multi-factor authentication.
This threat is caused by:
presence of software vulnerabilities;
weaknesses measures anti-virus protection and access control.
The implementation of this possible threat:
in the case of diskreditiruemogo user with files coming from untrusted sources;
if he has a privilege installing software</v>
      </c>
      <c r="M214" s="114" t="str">
        <f ca="1">IFERROR(__xludf.DUMMYFUNCTION("GOOGLETRANSLATE(F215, ""auto"", ""en"")"),"External intruder with a high potential")</f>
        <v>External intruder with a high potential</v>
      </c>
      <c r="N214" s="114" t="str">
        <f ca="1">IFERROR(__xludf.DUMMYFUNCTION("GOOGLETRANSLATE(H215, ""auto"", ""en"")"),"System software, firmware, user credentials")</f>
        <v>System software, firmware, user credentials</v>
      </c>
    </row>
    <row r="215" spans="9:14" ht="345">
      <c r="I215" s="168"/>
      <c r="J215" s="114">
        <v>214</v>
      </c>
      <c r="K215" s="114" t="str">
        <f ca="1">IFERROR(__xludf.DUMMYFUNCTION("GOOGLETRANSLATE(B216, ""auto"", ""en"")"),"The threat of untimely detection and response components of information (automated) systems (including the protection of the media) on information security events")</f>
        <v>The threat of untimely detection and response components of information (automated) systems (including the protection of the media) on information security events</v>
      </c>
      <c r="L215" s="114" t="str">
        <f ca="1">IFERROR(__xludf.DUMMYFUNCTION("GOOGLETRANSLATE(D216, ""auto"", ""en"")"),"The threat is to pass and / or a significant time delay determination (identification) information of security events, which leads to a lack of response to unauthorized access to the data (automated) system, introduction of malicious programs.
This threa"&amp;"t is caused by incorrect configuration components of information (automated) systems and / or protection of information, as well as the lack of such components and / or protection of information.
Implementation of this threat is possible in the absence o"&amp;"f protection measures relating to monitoring, collection and analysis of information security event data (lack of registration of security event measures)")</f>
        <v>The threat is to pass and / or a significant time delay determination (identification) information of security events, which leads to a lack of response to unauthorized access to the data (automated) system, introduction of malicious programs.
This threat is caused by incorrect configuration components of information (automated) systems and / or protection of information, as well as the lack of such components and / or protection of information.
Implementation of this threat is possible in the absence of protection measures relating to monitoring, collection and analysis of information security event data (lack of registration of security event measures)</v>
      </c>
      <c r="M215" s="114" t="str">
        <f ca="1">IFERROR(__xludf.DUMMYFUNCTION("GOOGLETRANSLATE(F216, ""auto"", ""en"")"),"The inner middle potential violator")</f>
        <v>The inner middle potential violator</v>
      </c>
      <c r="N215" s="114" t="str">
        <f ca="1">IFERROR(__xludf.DUMMYFUNCTION("GOOGLETRANSLATE(H216, ""auto"", ""en"")"),"Software, communication channels (transmission) data")</f>
        <v>Software, communication channels (transmission) data</v>
      </c>
    </row>
    <row r="216" spans="9:14" ht="150">
      <c r="I216" s="168"/>
      <c r="J216" s="114">
        <v>215</v>
      </c>
      <c r="K216" s="114" t="str">
        <f ca="1">IFERROR(__xludf.DUMMYFUNCTION("GOOGLETRANSLATE(B217, ""auto"", ""en"")"),"The threat of unauthorized access to the system with the help of third-party services")</f>
        <v>The threat of unauthorized access to the system with the help of third-party services</v>
      </c>
      <c r="L216" s="114" t="str">
        <f ca="1">IFERROR(__xludf.DUMMYFUNCTION("GOOGLETRANSLATE(D217, ""auto"", ""en"")"),"The threat is the possibility of wrongdoing destructive effects on diskreditiruemuyu software system using legitimate party services (social networking messengers repositories code, etc.) used as a mediator.
Implementation of this threat can be if diskre"&amp;"ditiruemaya system is already compromised.")</f>
        <v>The threat is the possibility of wrongdoing destructive effects on diskreditiruemuyu software system using legitimate party services (social networking messengers repositories code, etc.) used as a mediator.
Implementation of this threat can be if diskreditiruemaya system is already compromised.</v>
      </c>
      <c r="M216" s="114" t="str">
        <f ca="1">IFERROR(__xludf.DUMMYFUNCTION("GOOGLETRANSLATE(F217, ""auto"", ""en"")"),"The outer middle potential violator")</f>
        <v>The outer middle potential violator</v>
      </c>
      <c r="N216" s="114" t="str">
        <f ca="1">IFERROR(__xludf.DUMMYFUNCTION("GOOGLETRANSLATE(H217, ""auto"", ""en"")"),"Software (program)")</f>
        <v>Software (program)</v>
      </c>
    </row>
    <row r="217" spans="9:14" ht="225">
      <c r="I217" s="168"/>
      <c r="J217" s="114">
        <v>216</v>
      </c>
      <c r="K217" s="114" t="str">
        <f ca="1">IFERROR(__xludf.DUMMYFUNCTION("GOOGLETRANSLATE(B218, ""auto"", ""en"")"),"Risk of unauthorized access to the applications installed on the Smart-cards")</f>
        <v>Risk of unauthorized access to the applications installed on the Smart-cards</v>
      </c>
      <c r="L217" s="114" t="str">
        <f ca="1">IFERROR(__xludf.DUMMYFUNCTION("GOOGLETRANSLATE(D218, ""auto"", ""en"")"),"The threat is the possibility of the perpetrator of unauthorized access to the applications installed on the Smart-cards by sending a specially crafted commands (eg specially crafted SMS-messages sent to the SIM-card).
This threat is caused by the presen"&amp;"ce of vulnerabilities in the applications installed on the Smart-cards.
Implementation of this threat is possible using Smart-card-type Java Card")</f>
        <v>The threat is the possibility of the perpetrator of unauthorized access to the applications installed on the Smart-cards by sending a specially crafted commands (eg specially crafted SMS-messages sent to the SIM-card).
This threat is caused by the presence of vulnerabilities in the applications installed on the Smart-cards.
Implementation of this threat is possible using Smart-card-type Java Card</v>
      </c>
      <c r="M217" s="114" t="str">
        <f ca="1">IFERROR(__xludf.DUMMYFUNCTION("GOOGLETRANSLATE(F218, ""auto"", ""en"")"),"The outer middle potential violator")</f>
        <v>The outer middle potential violator</v>
      </c>
      <c r="N217" s="114" t="str">
        <f ca="1">IFERROR(__xludf.DUMMYFUNCTION("GOOGLETRANSLATE(H218, ""auto"", ""en"")"),"Software (program)")</f>
        <v>Software (program)</v>
      </c>
    </row>
    <row r="218" spans="9:14" ht="135">
      <c r="I218" s="168"/>
      <c r="J218" s="114">
        <v>217</v>
      </c>
      <c r="K218" s="114" t="str">
        <f ca="1">IFERROR(__xludf.DUMMYFUNCTION("GOOGLETRANSLATE(B219, ""auto"", ""en"")"),"The threat of the use of compromised trusted source for software updates")</f>
        <v>The threat of the use of compromised trusted source for software updates</v>
      </c>
      <c r="L218" s="114" t="str">
        <f ca="1">IFERROR(__xludf.DUMMYFUNCTION("GOOGLETRANSLATE(D219, ""auto"", ""en"")"),"The threat is the possibility of malicious code in the information system through the use of compromised trusted source for software updates.
Implementation of this threat can be compromised when using a trusted server software updates")</f>
        <v>The threat is the possibility of malicious code in the information system through the use of compromised trusted source for software updates.
Implementation of this threat can be compromised when using a trusted server software updates</v>
      </c>
      <c r="M218" s="114" t="str">
        <f ca="1">IFERROR(__xludf.DUMMYFUNCTION("GOOGLETRANSLATE(F219, ""auto"", ""en"")"),"External intruder with an average potential intruder inner middle potential")</f>
        <v>External intruder with an average potential intruder inner middle potential</v>
      </c>
      <c r="N218" s="114" t="str">
        <f ca="1">IFERROR(__xludf.DUMMYFUNCTION("GOOGLETRANSLATE(H219, ""auto"", ""en"")"),"Information system files")</f>
        <v>Information system files</v>
      </c>
    </row>
  </sheetData>
  <mergeCells count="2">
    <mergeCell ref="A1:A53"/>
    <mergeCell ref="I1:I2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29"/>
  <sheetViews>
    <sheetView rightToLeft="1" tabSelected="1" topLeftCell="H1" workbookViewId="0">
      <pane ySplit="1" topLeftCell="A3" activePane="bottomLeft" state="frozen"/>
      <selection pane="bottomLeft" activeCell="M3" sqref="M3"/>
    </sheetView>
  </sheetViews>
  <sheetFormatPr defaultColWidth="11.25" defaultRowHeight="15" customHeight="1"/>
  <cols>
    <col min="1" max="1" width="4.875" customWidth="1"/>
    <col min="2" max="2" width="8" customWidth="1"/>
    <col min="3" max="3" width="9.5" customWidth="1"/>
    <col min="4" max="4" width="6.5" customWidth="1"/>
    <col min="5" max="5" width="14.75" customWidth="1"/>
    <col min="6" max="6" width="8.5" customWidth="1"/>
    <col min="7" max="7" width="35.125" customWidth="1"/>
    <col min="8" max="8" width="8.75" customWidth="1"/>
    <col min="9" max="9" width="25.25" customWidth="1"/>
    <col min="10" max="10" width="60.875" customWidth="1"/>
    <col min="11" max="11" width="48" customWidth="1"/>
    <col min="12" max="12" width="24.25" customWidth="1"/>
    <col min="13" max="13" width="37.5" customWidth="1"/>
    <col min="14" max="14" width="29.125" customWidth="1"/>
    <col min="15" max="15" width="34.75" customWidth="1"/>
    <col min="16" max="18" width="12.875" customWidth="1"/>
    <col min="19" max="19" width="8.875" customWidth="1"/>
    <col min="20" max="21" width="8.625" customWidth="1"/>
    <col min="22" max="22" width="5.625" customWidth="1"/>
    <col min="23" max="23" width="5.875" customWidth="1"/>
    <col min="24" max="27" width="8.75" customWidth="1"/>
  </cols>
  <sheetData>
    <row r="1" spans="1:27" ht="69">
      <c r="A1" s="1" t="s">
        <v>0</v>
      </c>
      <c r="B1" s="2" t="s">
        <v>1</v>
      </c>
      <c r="C1" s="2" t="s">
        <v>2</v>
      </c>
      <c r="D1" s="2" t="s">
        <v>3</v>
      </c>
      <c r="E1" s="3" t="s">
        <v>4</v>
      </c>
      <c r="F1" s="2" t="s">
        <v>5</v>
      </c>
      <c r="G1" s="3" t="s">
        <v>6</v>
      </c>
      <c r="H1" s="4" t="s">
        <v>7</v>
      </c>
      <c r="I1" s="4" t="s">
        <v>8</v>
      </c>
      <c r="J1" s="5" t="s">
        <v>9</v>
      </c>
      <c r="K1" s="5" t="s">
        <v>10</v>
      </c>
      <c r="L1" s="6" t="s">
        <v>11</v>
      </c>
      <c r="M1" s="6" t="s">
        <v>12</v>
      </c>
      <c r="N1" s="6" t="s">
        <v>13</v>
      </c>
      <c r="O1" s="6" t="s">
        <v>14</v>
      </c>
      <c r="P1" s="3" t="s">
        <v>15</v>
      </c>
      <c r="Q1" s="3" t="s">
        <v>16</v>
      </c>
      <c r="R1" s="3" t="s">
        <v>1932</v>
      </c>
      <c r="S1" s="3" t="s">
        <v>17</v>
      </c>
      <c r="T1" s="7" t="s">
        <v>18</v>
      </c>
      <c r="U1" s="7" t="s">
        <v>19</v>
      </c>
      <c r="V1" s="3" t="s">
        <v>20</v>
      </c>
      <c r="W1" s="3" t="s">
        <v>21</v>
      </c>
      <c r="X1" s="8" t="s">
        <v>903</v>
      </c>
      <c r="Y1" s="8" t="s">
        <v>904</v>
      </c>
      <c r="Z1" s="8" t="s">
        <v>905</v>
      </c>
      <c r="AA1" s="8" t="s">
        <v>906</v>
      </c>
    </row>
    <row r="2" spans="1:27" ht="409.5">
      <c r="A2" s="9" t="s">
        <v>22</v>
      </c>
      <c r="B2" s="10">
        <v>1</v>
      </c>
      <c r="C2" s="11" t="s">
        <v>23</v>
      </c>
      <c r="D2" s="12">
        <v>1.1000000000000001</v>
      </c>
      <c r="E2" s="13" t="s">
        <v>24</v>
      </c>
      <c r="F2" s="164">
        <v>1</v>
      </c>
      <c r="G2" s="13" t="s">
        <v>25</v>
      </c>
      <c r="H2" s="14"/>
      <c r="I2" s="14"/>
      <c r="J2" s="15" t="s">
        <v>1652</v>
      </c>
      <c r="K2" s="15" t="s">
        <v>1653</v>
      </c>
      <c r="L2" s="15" t="s">
        <v>861</v>
      </c>
      <c r="M2" s="15" t="s">
        <v>26</v>
      </c>
      <c r="N2" s="15" t="s">
        <v>27</v>
      </c>
      <c r="O2" s="15" t="s">
        <v>28</v>
      </c>
      <c r="P2" s="16"/>
      <c r="Q2" s="17" t="s">
        <v>29</v>
      </c>
      <c r="R2" s="29" t="s">
        <v>1933</v>
      </c>
      <c r="S2" s="18" t="s">
        <v>30</v>
      </c>
      <c r="T2" s="19" t="s">
        <v>31</v>
      </c>
      <c r="U2" s="19" t="s">
        <v>862</v>
      </c>
      <c r="V2" s="18"/>
      <c r="W2" s="18"/>
      <c r="X2" s="20"/>
      <c r="Y2" s="20"/>
      <c r="Z2" s="20"/>
      <c r="AA2" s="20"/>
    </row>
    <row r="3" spans="1:27" ht="409.5">
      <c r="A3" s="9" t="s">
        <v>22</v>
      </c>
      <c r="B3" s="10">
        <v>1</v>
      </c>
      <c r="C3" s="11" t="s">
        <v>23</v>
      </c>
      <c r="D3" s="12">
        <v>1.2</v>
      </c>
      <c r="E3" s="21" t="s">
        <v>32</v>
      </c>
      <c r="F3" s="164">
        <v>1</v>
      </c>
      <c r="G3" s="21" t="s">
        <v>33</v>
      </c>
      <c r="H3" s="14"/>
      <c r="I3" s="14"/>
      <c r="J3" s="15" t="s">
        <v>2036</v>
      </c>
      <c r="K3" s="15" t="s">
        <v>2157</v>
      </c>
      <c r="L3" s="15" t="s">
        <v>34</v>
      </c>
      <c r="M3" s="15" t="s">
        <v>2158</v>
      </c>
      <c r="N3" s="15" t="s">
        <v>2155</v>
      </c>
      <c r="O3" s="15" t="s">
        <v>2156</v>
      </c>
      <c r="P3" s="16"/>
      <c r="Q3" s="17" t="s">
        <v>29</v>
      </c>
      <c r="R3" s="29" t="s">
        <v>1934</v>
      </c>
      <c r="S3" s="18" t="s">
        <v>30</v>
      </c>
      <c r="T3" s="19" t="s">
        <v>35</v>
      </c>
      <c r="U3" s="19" t="s">
        <v>841</v>
      </c>
      <c r="V3" s="18"/>
      <c r="W3" s="18"/>
      <c r="X3" s="20"/>
      <c r="Y3" s="20"/>
      <c r="Z3" s="20"/>
      <c r="AA3" s="20"/>
    </row>
    <row r="4" spans="1:27" ht="409.5">
      <c r="A4" s="9" t="s">
        <v>22</v>
      </c>
      <c r="B4" s="10">
        <v>1</v>
      </c>
      <c r="C4" s="11" t="s">
        <v>23</v>
      </c>
      <c r="D4" s="12">
        <v>1.3</v>
      </c>
      <c r="E4" s="13" t="s">
        <v>833</v>
      </c>
      <c r="F4" s="164">
        <v>2</v>
      </c>
      <c r="G4" s="13" t="s">
        <v>36</v>
      </c>
      <c r="H4" s="14"/>
      <c r="I4" s="14"/>
      <c r="J4" s="15" t="s">
        <v>1654</v>
      </c>
      <c r="K4" s="15" t="s">
        <v>2109</v>
      </c>
      <c r="L4" s="15" t="s">
        <v>2105</v>
      </c>
      <c r="M4" s="167" t="s">
        <v>2107</v>
      </c>
      <c r="N4" s="15" t="s">
        <v>2106</v>
      </c>
      <c r="O4" s="15" t="s">
        <v>2108</v>
      </c>
      <c r="P4" s="16"/>
      <c r="Q4" s="17" t="s">
        <v>29</v>
      </c>
      <c r="R4" s="29" t="s">
        <v>1935</v>
      </c>
      <c r="S4" s="18"/>
      <c r="T4" s="19" t="s">
        <v>37</v>
      </c>
      <c r="U4" s="19" t="s">
        <v>834</v>
      </c>
      <c r="V4" s="18"/>
      <c r="W4" s="18"/>
      <c r="X4" s="20"/>
      <c r="Y4" s="20"/>
      <c r="Z4" s="20"/>
      <c r="AA4" s="20"/>
    </row>
    <row r="5" spans="1:27" ht="15.75" customHeight="1">
      <c r="A5" s="9" t="s">
        <v>22</v>
      </c>
      <c r="B5" s="10">
        <v>1</v>
      </c>
      <c r="C5" s="11" t="s">
        <v>23</v>
      </c>
      <c r="D5" s="12">
        <v>1.4</v>
      </c>
      <c r="E5" s="21" t="s">
        <v>38</v>
      </c>
      <c r="F5" s="164">
        <v>2</v>
      </c>
      <c r="G5" s="13" t="s">
        <v>39</v>
      </c>
      <c r="H5" s="14"/>
      <c r="I5" s="14"/>
      <c r="J5" s="15" t="s">
        <v>40</v>
      </c>
      <c r="K5" s="15" t="s">
        <v>41</v>
      </c>
      <c r="L5" s="15" t="s">
        <v>42</v>
      </c>
      <c r="M5" s="15" t="s">
        <v>43</v>
      </c>
      <c r="N5" s="15" t="s">
        <v>44</v>
      </c>
      <c r="O5" s="15" t="s">
        <v>45</v>
      </c>
      <c r="P5" s="16"/>
      <c r="Q5" s="17" t="s">
        <v>29</v>
      </c>
      <c r="R5" s="29"/>
      <c r="S5" s="18" t="s">
        <v>46</v>
      </c>
      <c r="T5" s="19" t="s">
        <v>47</v>
      </c>
      <c r="U5" s="19"/>
      <c r="V5" s="18"/>
      <c r="W5" s="22" t="s">
        <v>48</v>
      </c>
      <c r="X5" s="20"/>
      <c r="Y5" s="20"/>
      <c r="Z5" s="20"/>
      <c r="AA5" s="20"/>
    </row>
    <row r="6" spans="1:27" ht="409.5">
      <c r="A6" s="9" t="s">
        <v>22</v>
      </c>
      <c r="B6" s="10">
        <v>2</v>
      </c>
      <c r="C6" s="23" t="s">
        <v>49</v>
      </c>
      <c r="D6" s="12">
        <v>2.1</v>
      </c>
      <c r="E6" s="21" t="s">
        <v>50</v>
      </c>
      <c r="F6" s="164">
        <v>2</v>
      </c>
      <c r="G6" s="13" t="s">
        <v>51</v>
      </c>
      <c r="H6" s="14"/>
      <c r="I6" s="14"/>
      <c r="J6" s="15" t="s">
        <v>832</v>
      </c>
      <c r="K6" s="15" t="s">
        <v>2151</v>
      </c>
      <c r="L6" s="15" t="s">
        <v>830</v>
      </c>
      <c r="M6" s="15" t="s">
        <v>2152</v>
      </c>
      <c r="N6" s="15" t="s">
        <v>2153</v>
      </c>
      <c r="O6" s="24" t="s">
        <v>2154</v>
      </c>
      <c r="P6" s="16"/>
      <c r="Q6" s="17" t="s">
        <v>29</v>
      </c>
      <c r="R6" s="29" t="s">
        <v>1936</v>
      </c>
      <c r="S6" s="18" t="s">
        <v>52</v>
      </c>
      <c r="T6" s="19" t="s">
        <v>53</v>
      </c>
      <c r="U6" s="19" t="s">
        <v>842</v>
      </c>
      <c r="V6" s="18" t="s">
        <v>54</v>
      </c>
      <c r="W6" s="22" t="s">
        <v>48</v>
      </c>
      <c r="X6" s="20"/>
      <c r="Y6" s="20"/>
      <c r="Z6" s="20"/>
      <c r="AA6" s="20"/>
    </row>
    <row r="7" spans="1:27" ht="409.5">
      <c r="A7" s="9" t="s">
        <v>22</v>
      </c>
      <c r="B7" s="10">
        <v>2</v>
      </c>
      <c r="C7" s="23" t="s">
        <v>49</v>
      </c>
      <c r="D7" s="12">
        <v>2.2000000000000002</v>
      </c>
      <c r="E7" s="13" t="s">
        <v>55</v>
      </c>
      <c r="F7" s="165">
        <v>2</v>
      </c>
      <c r="G7" s="13" t="s">
        <v>56</v>
      </c>
      <c r="H7" s="14"/>
      <c r="I7" s="14"/>
      <c r="J7" s="15" t="s">
        <v>1655</v>
      </c>
      <c r="K7" s="15" t="s">
        <v>57</v>
      </c>
      <c r="L7" s="15" t="s">
        <v>58</v>
      </c>
      <c r="M7" s="15" t="s">
        <v>59</v>
      </c>
      <c r="N7" s="15" t="s">
        <v>768</v>
      </c>
      <c r="O7" s="15" t="s">
        <v>1656</v>
      </c>
      <c r="P7" s="25" t="s">
        <v>60</v>
      </c>
      <c r="Q7" s="17" t="s">
        <v>29</v>
      </c>
      <c r="R7" s="29" t="s">
        <v>1937</v>
      </c>
      <c r="S7" s="26"/>
      <c r="T7" s="19" t="s">
        <v>61</v>
      </c>
      <c r="U7" s="19" t="s">
        <v>865</v>
      </c>
      <c r="V7" s="26"/>
      <c r="W7" s="26"/>
      <c r="X7" s="20"/>
      <c r="Y7" s="20"/>
      <c r="Z7" s="20"/>
      <c r="AA7" s="20"/>
    </row>
    <row r="8" spans="1:27" ht="15.75" customHeight="1">
      <c r="A8" s="9" t="s">
        <v>22</v>
      </c>
      <c r="B8" s="10">
        <v>2</v>
      </c>
      <c r="C8" s="23" t="s">
        <v>49</v>
      </c>
      <c r="D8" s="12">
        <v>2.2999999999999998</v>
      </c>
      <c r="E8" s="21" t="s">
        <v>62</v>
      </c>
      <c r="F8" s="165">
        <v>1</v>
      </c>
      <c r="G8" s="21" t="s">
        <v>63</v>
      </c>
      <c r="H8" s="14"/>
      <c r="I8" s="14"/>
      <c r="J8" s="15" t="s">
        <v>64</v>
      </c>
      <c r="K8" s="15" t="s">
        <v>65</v>
      </c>
      <c r="L8" s="15" t="s">
        <v>66</v>
      </c>
      <c r="M8" s="15" t="s">
        <v>67</v>
      </c>
      <c r="N8" s="15" t="s">
        <v>68</v>
      </c>
      <c r="O8" s="15" t="s">
        <v>69</v>
      </c>
      <c r="P8" s="16"/>
      <c r="Q8" s="17" t="s">
        <v>29</v>
      </c>
      <c r="R8" s="29"/>
      <c r="S8" s="18"/>
      <c r="T8" s="19" t="s">
        <v>70</v>
      </c>
      <c r="U8" s="19"/>
      <c r="V8" s="18"/>
      <c r="W8" s="18"/>
      <c r="X8" s="20"/>
      <c r="Y8" s="20"/>
      <c r="Z8" s="20"/>
      <c r="AA8" s="20"/>
    </row>
    <row r="9" spans="1:27" ht="409.5">
      <c r="A9" s="9" t="s">
        <v>71</v>
      </c>
      <c r="B9" s="10">
        <v>3</v>
      </c>
      <c r="C9" s="23" t="s">
        <v>72</v>
      </c>
      <c r="D9" s="27" t="s">
        <v>73</v>
      </c>
      <c r="E9" s="13" t="s">
        <v>74</v>
      </c>
      <c r="F9" s="165">
        <v>2</v>
      </c>
      <c r="G9" s="13" t="s">
        <v>75</v>
      </c>
      <c r="H9" s="14"/>
      <c r="I9" s="14"/>
      <c r="J9" s="15" t="s">
        <v>900</v>
      </c>
      <c r="K9" s="15" t="s">
        <v>1657</v>
      </c>
      <c r="L9" s="39" t="s">
        <v>76</v>
      </c>
      <c r="M9" s="28" t="s">
        <v>1658</v>
      </c>
      <c r="N9" s="28" t="s">
        <v>1659</v>
      </c>
      <c r="O9" s="28" t="s">
        <v>1660</v>
      </c>
      <c r="P9" s="25" t="s">
        <v>60</v>
      </c>
      <c r="Q9" s="17" t="s">
        <v>29</v>
      </c>
      <c r="R9" s="29" t="s">
        <v>1938</v>
      </c>
      <c r="S9" s="26" t="s">
        <v>77</v>
      </c>
      <c r="T9" s="19" t="s">
        <v>78</v>
      </c>
      <c r="U9" s="19" t="s">
        <v>843</v>
      </c>
      <c r="V9" s="26" t="s">
        <v>54</v>
      </c>
      <c r="W9" s="21" t="s">
        <v>48</v>
      </c>
      <c r="X9" s="20" t="s">
        <v>54</v>
      </c>
      <c r="Y9" s="20" t="s">
        <v>54</v>
      </c>
      <c r="Z9" s="20"/>
      <c r="AA9" s="20" t="s">
        <v>54</v>
      </c>
    </row>
    <row r="10" spans="1:27" ht="409.5">
      <c r="A10" s="9" t="s">
        <v>71</v>
      </c>
      <c r="B10" s="10">
        <v>3</v>
      </c>
      <c r="C10" s="23" t="s">
        <v>72</v>
      </c>
      <c r="D10" s="27" t="s">
        <v>79</v>
      </c>
      <c r="E10" s="21" t="s">
        <v>80</v>
      </c>
      <c r="F10" s="165">
        <v>1</v>
      </c>
      <c r="G10" s="13" t="s">
        <v>1918</v>
      </c>
      <c r="H10" s="14"/>
      <c r="I10" s="14"/>
      <c r="J10" s="15" t="s">
        <v>1661</v>
      </c>
      <c r="K10" s="15" t="s">
        <v>901</v>
      </c>
      <c r="L10" s="15" t="s">
        <v>81</v>
      </c>
      <c r="M10" s="15" t="s">
        <v>82</v>
      </c>
      <c r="N10" s="15" t="s">
        <v>83</v>
      </c>
      <c r="O10" s="15" t="s">
        <v>84</v>
      </c>
      <c r="P10" s="29"/>
      <c r="Q10" s="17" t="s">
        <v>85</v>
      </c>
      <c r="R10" s="29" t="s">
        <v>1939</v>
      </c>
      <c r="S10" s="26" t="s">
        <v>86</v>
      </c>
      <c r="T10" s="19" t="s">
        <v>87</v>
      </c>
      <c r="U10" s="19" t="s">
        <v>843</v>
      </c>
      <c r="V10" s="26"/>
      <c r="W10" s="21" t="s">
        <v>48</v>
      </c>
      <c r="X10" s="20" t="s">
        <v>54</v>
      </c>
      <c r="Y10" s="20" t="s">
        <v>54</v>
      </c>
      <c r="Z10" s="20"/>
      <c r="AA10" s="20" t="s">
        <v>54</v>
      </c>
    </row>
    <row r="11" spans="1:27" ht="15.75" customHeight="1">
      <c r="A11" s="9" t="s">
        <v>71</v>
      </c>
      <c r="B11" s="10">
        <v>3</v>
      </c>
      <c r="C11" s="23" t="s">
        <v>72</v>
      </c>
      <c r="D11" s="27" t="s">
        <v>88</v>
      </c>
      <c r="E11" s="21" t="s">
        <v>89</v>
      </c>
      <c r="F11" s="165">
        <v>1</v>
      </c>
      <c r="G11" s="21" t="s">
        <v>1919</v>
      </c>
      <c r="H11" s="14"/>
      <c r="I11" s="14"/>
      <c r="J11" s="15" t="s">
        <v>90</v>
      </c>
      <c r="K11" s="15" t="s">
        <v>91</v>
      </c>
      <c r="L11" s="15" t="s">
        <v>1662</v>
      </c>
      <c r="M11" s="15" t="s">
        <v>1663</v>
      </c>
      <c r="N11" s="15" t="s">
        <v>1664</v>
      </c>
      <c r="O11" s="15" t="s">
        <v>1665</v>
      </c>
      <c r="P11" s="29"/>
      <c r="Q11" s="17" t="s">
        <v>92</v>
      </c>
      <c r="R11" s="29" t="s">
        <v>1940</v>
      </c>
      <c r="S11" s="26"/>
      <c r="T11" s="19" t="s">
        <v>93</v>
      </c>
      <c r="U11" s="19" t="s">
        <v>843</v>
      </c>
      <c r="V11" s="26"/>
      <c r="W11" s="21" t="s">
        <v>48</v>
      </c>
      <c r="X11" s="20"/>
      <c r="Y11" s="20"/>
      <c r="Z11" s="20"/>
      <c r="AA11" s="20"/>
    </row>
    <row r="12" spans="1:27" ht="15.75" customHeight="1">
      <c r="A12" s="9" t="s">
        <v>71</v>
      </c>
      <c r="B12" s="10">
        <v>3</v>
      </c>
      <c r="C12" s="23" t="s">
        <v>72</v>
      </c>
      <c r="D12" s="27" t="s">
        <v>94</v>
      </c>
      <c r="E12" s="21" t="s">
        <v>95</v>
      </c>
      <c r="F12" s="165">
        <v>2</v>
      </c>
      <c r="G12" s="21" t="s">
        <v>96</v>
      </c>
      <c r="H12" s="14"/>
      <c r="I12" s="14"/>
      <c r="J12" s="15" t="s">
        <v>97</v>
      </c>
      <c r="K12" s="15" t="s">
        <v>98</v>
      </c>
      <c r="L12" s="15" t="s">
        <v>1666</v>
      </c>
      <c r="M12" s="15" t="s">
        <v>99</v>
      </c>
      <c r="N12" s="15" t="s">
        <v>100</v>
      </c>
      <c r="O12" s="15" t="s">
        <v>101</v>
      </c>
      <c r="P12" s="29"/>
      <c r="Q12" s="17" t="s">
        <v>102</v>
      </c>
      <c r="R12" s="29"/>
      <c r="S12" s="26"/>
      <c r="T12" s="19" t="s">
        <v>35</v>
      </c>
      <c r="U12" s="19"/>
      <c r="V12" s="26"/>
      <c r="W12" s="21" t="s">
        <v>48</v>
      </c>
      <c r="X12" s="20" t="s">
        <v>54</v>
      </c>
      <c r="Y12" s="20"/>
      <c r="Z12" s="20"/>
      <c r="AA12" s="20"/>
    </row>
    <row r="13" spans="1:27" ht="15.75" customHeight="1">
      <c r="A13" s="9" t="s">
        <v>71</v>
      </c>
      <c r="B13" s="10">
        <v>3</v>
      </c>
      <c r="C13" s="23" t="s">
        <v>72</v>
      </c>
      <c r="D13" s="27" t="s">
        <v>103</v>
      </c>
      <c r="E13" s="13" t="s">
        <v>104</v>
      </c>
      <c r="F13" s="165">
        <v>3</v>
      </c>
      <c r="G13" s="13" t="s">
        <v>105</v>
      </c>
      <c r="H13" s="14"/>
      <c r="I13" s="14"/>
      <c r="J13" s="15" t="s">
        <v>106</v>
      </c>
      <c r="K13" s="15" t="s">
        <v>107</v>
      </c>
      <c r="L13" s="15" t="s">
        <v>108</v>
      </c>
      <c r="M13" s="15" t="s">
        <v>109</v>
      </c>
      <c r="N13" s="15" t="s">
        <v>1667</v>
      </c>
      <c r="O13" s="15" t="s">
        <v>1668</v>
      </c>
      <c r="P13" s="29"/>
      <c r="Q13" s="17" t="s">
        <v>85</v>
      </c>
      <c r="R13" s="29" t="s">
        <v>1941</v>
      </c>
      <c r="S13" s="26" t="s">
        <v>110</v>
      </c>
      <c r="T13" s="19" t="s">
        <v>111</v>
      </c>
      <c r="U13" s="19"/>
      <c r="V13" s="26"/>
      <c r="W13" s="21" t="s">
        <v>48</v>
      </c>
      <c r="X13" s="20"/>
      <c r="Y13" s="20" t="s">
        <v>54</v>
      </c>
      <c r="Z13" s="20"/>
      <c r="AA13" s="20" t="s">
        <v>54</v>
      </c>
    </row>
    <row r="14" spans="1:27" ht="409.5">
      <c r="A14" s="9" t="s">
        <v>71</v>
      </c>
      <c r="B14" s="10">
        <v>3</v>
      </c>
      <c r="C14" s="30" t="s">
        <v>72</v>
      </c>
      <c r="D14" s="27" t="s">
        <v>112</v>
      </c>
      <c r="E14" s="21" t="s">
        <v>113</v>
      </c>
      <c r="F14" s="166">
        <v>2</v>
      </c>
      <c r="G14" s="13" t="s">
        <v>114</v>
      </c>
      <c r="H14" s="14"/>
      <c r="I14" s="14"/>
      <c r="J14" s="15" t="s">
        <v>2030</v>
      </c>
      <c r="K14" s="15" t="s">
        <v>115</v>
      </c>
      <c r="L14" s="15" t="s">
        <v>1669</v>
      </c>
      <c r="M14" s="39" t="s">
        <v>1670</v>
      </c>
      <c r="N14" s="39" t="s">
        <v>824</v>
      </c>
      <c r="O14" s="28" t="s">
        <v>1671</v>
      </c>
      <c r="P14" s="29"/>
      <c r="Q14" s="17" t="s">
        <v>85</v>
      </c>
      <c r="R14" s="29" t="s">
        <v>1942</v>
      </c>
      <c r="S14" s="26"/>
      <c r="T14" s="19" t="s">
        <v>116</v>
      </c>
      <c r="U14" s="19"/>
      <c r="V14" s="26"/>
      <c r="W14" s="26"/>
      <c r="X14" s="20"/>
      <c r="Y14" s="20"/>
      <c r="Z14" s="20"/>
      <c r="AA14" s="20" t="s">
        <v>54</v>
      </c>
    </row>
    <row r="15" spans="1:27" ht="409.5">
      <c r="A15" s="9" t="s">
        <v>71</v>
      </c>
      <c r="B15" s="10">
        <v>3</v>
      </c>
      <c r="C15" s="23" t="s">
        <v>72</v>
      </c>
      <c r="D15" s="27" t="s">
        <v>117</v>
      </c>
      <c r="E15" s="21" t="s">
        <v>118</v>
      </c>
      <c r="F15" s="165">
        <v>2</v>
      </c>
      <c r="G15" s="13" t="s">
        <v>1920</v>
      </c>
      <c r="H15" s="14"/>
      <c r="I15" s="14"/>
      <c r="J15" s="15" t="s">
        <v>2033</v>
      </c>
      <c r="K15" s="15" t="s">
        <v>119</v>
      </c>
      <c r="L15" s="15" t="s">
        <v>1672</v>
      </c>
      <c r="M15" s="15" t="s">
        <v>120</v>
      </c>
      <c r="N15" s="15" t="s">
        <v>2034</v>
      </c>
      <c r="O15" s="15" t="s">
        <v>1673</v>
      </c>
      <c r="P15" s="31"/>
      <c r="Q15" s="17" t="s">
        <v>85</v>
      </c>
      <c r="R15" s="29" t="s">
        <v>1943</v>
      </c>
      <c r="S15" s="26" t="s">
        <v>121</v>
      </c>
      <c r="T15" s="19" t="s">
        <v>122</v>
      </c>
      <c r="U15" s="19" t="s">
        <v>872</v>
      </c>
      <c r="V15" s="26"/>
      <c r="W15" s="21" t="s">
        <v>48</v>
      </c>
      <c r="X15" s="20"/>
      <c r="Y15" s="20"/>
      <c r="Z15" s="20"/>
      <c r="AA15" s="20"/>
    </row>
    <row r="16" spans="1:27" ht="409.5">
      <c r="A16" s="9" t="s">
        <v>71</v>
      </c>
      <c r="B16" s="10">
        <v>3</v>
      </c>
      <c r="C16" s="23" t="s">
        <v>72</v>
      </c>
      <c r="D16" s="27" t="s">
        <v>123</v>
      </c>
      <c r="E16" s="13" t="s">
        <v>124</v>
      </c>
      <c r="F16" s="165">
        <v>2</v>
      </c>
      <c r="G16" s="13" t="s">
        <v>1921</v>
      </c>
      <c r="H16" s="14"/>
      <c r="I16" s="14"/>
      <c r="J16" s="64" t="s">
        <v>885</v>
      </c>
      <c r="K16" s="15" t="s">
        <v>125</v>
      </c>
      <c r="L16" s="15" t="s">
        <v>126</v>
      </c>
      <c r="M16" s="15" t="s">
        <v>1674</v>
      </c>
      <c r="N16" s="15" t="s">
        <v>127</v>
      </c>
      <c r="O16" s="15" t="s">
        <v>128</v>
      </c>
      <c r="P16" s="29"/>
      <c r="Q16" s="17" t="s">
        <v>85</v>
      </c>
      <c r="R16" s="29" t="s">
        <v>1944</v>
      </c>
      <c r="S16" s="26" t="s">
        <v>129</v>
      </c>
      <c r="T16" s="19" t="s">
        <v>130</v>
      </c>
      <c r="U16" s="65" t="s">
        <v>886</v>
      </c>
      <c r="V16" s="26"/>
      <c r="W16" s="21" t="s">
        <v>48</v>
      </c>
      <c r="X16" s="20" t="s">
        <v>54</v>
      </c>
      <c r="Y16" s="20" t="s">
        <v>54</v>
      </c>
      <c r="Z16" s="20"/>
      <c r="AA16" s="20" t="s">
        <v>54</v>
      </c>
    </row>
    <row r="17" spans="1:27" ht="409.5">
      <c r="A17" s="9" t="s">
        <v>71</v>
      </c>
      <c r="B17" s="10">
        <v>3</v>
      </c>
      <c r="C17" s="23" t="s">
        <v>72</v>
      </c>
      <c r="D17" s="27" t="s">
        <v>131</v>
      </c>
      <c r="E17" s="21" t="s">
        <v>132</v>
      </c>
      <c r="F17" s="165">
        <v>2</v>
      </c>
      <c r="G17" s="13" t="s">
        <v>133</v>
      </c>
      <c r="H17" s="14"/>
      <c r="I17" s="14"/>
      <c r="J17" s="15" t="s">
        <v>1675</v>
      </c>
      <c r="K17" s="15" t="s">
        <v>1676</v>
      </c>
      <c r="L17" s="15" t="s">
        <v>1677</v>
      </c>
      <c r="M17" s="15" t="s">
        <v>1678</v>
      </c>
      <c r="N17" s="15" t="s">
        <v>1679</v>
      </c>
      <c r="O17" s="15" t="s">
        <v>1680</v>
      </c>
      <c r="P17" s="29"/>
      <c r="Q17" s="17" t="s">
        <v>92</v>
      </c>
      <c r="R17" s="29" t="s">
        <v>1945</v>
      </c>
      <c r="S17" s="26" t="s">
        <v>134</v>
      </c>
      <c r="T17" s="19" t="s">
        <v>135</v>
      </c>
      <c r="U17" s="19"/>
      <c r="V17" s="26"/>
      <c r="W17" s="21" t="s">
        <v>48</v>
      </c>
      <c r="X17" s="20"/>
      <c r="Y17" s="20" t="s">
        <v>54</v>
      </c>
      <c r="Z17" s="20"/>
      <c r="AA17" s="20" t="s">
        <v>54</v>
      </c>
    </row>
    <row r="18" spans="1:27" ht="409.5">
      <c r="A18" s="9" t="s">
        <v>71</v>
      </c>
      <c r="B18" s="10">
        <v>4</v>
      </c>
      <c r="C18" s="23" t="s">
        <v>136</v>
      </c>
      <c r="D18" s="32" t="s">
        <v>137</v>
      </c>
      <c r="E18" s="21" t="s">
        <v>2077</v>
      </c>
      <c r="F18" s="165">
        <v>3</v>
      </c>
      <c r="G18" s="13" t="s">
        <v>2076</v>
      </c>
      <c r="H18" s="14"/>
      <c r="I18" s="14"/>
      <c r="J18" s="15" t="s">
        <v>2087</v>
      </c>
      <c r="K18" s="15" t="s">
        <v>2083</v>
      </c>
      <c r="L18" s="15" t="s">
        <v>2082</v>
      </c>
      <c r="M18" s="15" t="s">
        <v>2084</v>
      </c>
      <c r="N18" s="39" t="s">
        <v>2085</v>
      </c>
      <c r="O18" s="39" t="s">
        <v>2086</v>
      </c>
      <c r="P18" s="29"/>
      <c r="Q18" s="17" t="s">
        <v>138</v>
      </c>
      <c r="R18" s="29" t="s">
        <v>1946</v>
      </c>
      <c r="S18" s="26" t="s">
        <v>139</v>
      </c>
      <c r="T18" s="19" t="s">
        <v>140</v>
      </c>
      <c r="U18" s="19"/>
      <c r="V18" s="26" t="s">
        <v>54</v>
      </c>
      <c r="W18" s="21" t="s">
        <v>48</v>
      </c>
      <c r="X18" s="20"/>
      <c r="Y18" s="20"/>
      <c r="Z18" s="20"/>
      <c r="AA18" s="20"/>
    </row>
    <row r="19" spans="1:27" ht="409.5">
      <c r="A19" s="9" t="s">
        <v>71</v>
      </c>
      <c r="B19" s="10">
        <v>4</v>
      </c>
      <c r="C19" s="23" t="s">
        <v>141</v>
      </c>
      <c r="D19" s="32" t="s">
        <v>142</v>
      </c>
      <c r="E19" s="13" t="s">
        <v>143</v>
      </c>
      <c r="F19" s="165">
        <v>1</v>
      </c>
      <c r="G19" s="13" t="s">
        <v>144</v>
      </c>
      <c r="H19" s="14"/>
      <c r="I19" s="14"/>
      <c r="J19" s="15" t="s">
        <v>2037</v>
      </c>
      <c r="K19" s="28" t="s">
        <v>1681</v>
      </c>
      <c r="L19" s="15" t="s">
        <v>1682</v>
      </c>
      <c r="M19" s="15" t="s">
        <v>2088</v>
      </c>
      <c r="N19" s="39" t="s">
        <v>1683</v>
      </c>
      <c r="O19" s="15" t="s">
        <v>1684</v>
      </c>
      <c r="P19" s="33"/>
      <c r="Q19" s="33" t="s">
        <v>92</v>
      </c>
      <c r="R19" s="29" t="s">
        <v>1947</v>
      </c>
      <c r="S19" s="29" t="s">
        <v>145</v>
      </c>
      <c r="T19" s="19" t="s">
        <v>146</v>
      </c>
      <c r="U19" s="19" t="s">
        <v>850</v>
      </c>
      <c r="V19" s="26"/>
      <c r="W19" s="21" t="s">
        <v>48</v>
      </c>
      <c r="X19" s="20" t="s">
        <v>54</v>
      </c>
      <c r="Y19" s="20"/>
      <c r="Z19" s="20"/>
      <c r="AA19" s="20" t="s">
        <v>54</v>
      </c>
    </row>
    <row r="20" spans="1:27" ht="409.5">
      <c r="A20" s="9" t="s">
        <v>71</v>
      </c>
      <c r="B20" s="10">
        <v>4</v>
      </c>
      <c r="C20" s="23" t="s">
        <v>141</v>
      </c>
      <c r="D20" s="32" t="s">
        <v>147</v>
      </c>
      <c r="E20" s="13" t="s">
        <v>849</v>
      </c>
      <c r="F20" s="165">
        <v>1</v>
      </c>
      <c r="G20" s="13" t="s">
        <v>1922</v>
      </c>
      <c r="H20" s="14"/>
      <c r="I20" s="14"/>
      <c r="J20" s="15" t="s">
        <v>2038</v>
      </c>
      <c r="K20" s="15" t="s">
        <v>148</v>
      </c>
      <c r="L20" s="15" t="s">
        <v>1685</v>
      </c>
      <c r="M20" s="15" t="s">
        <v>149</v>
      </c>
      <c r="N20" s="15" t="s">
        <v>150</v>
      </c>
      <c r="O20" s="15" t="s">
        <v>151</v>
      </c>
      <c r="P20" s="29"/>
      <c r="Q20" s="17" t="s">
        <v>102</v>
      </c>
      <c r="R20" s="29" t="s">
        <v>1948</v>
      </c>
      <c r="S20" s="26"/>
      <c r="T20" s="19" t="s">
        <v>152</v>
      </c>
      <c r="U20" s="19" t="s">
        <v>859</v>
      </c>
      <c r="V20" s="26"/>
      <c r="W20" s="21" t="s">
        <v>48</v>
      </c>
      <c r="X20" s="20"/>
      <c r="Y20" s="20"/>
      <c r="Z20" s="20"/>
      <c r="AA20" s="20"/>
    </row>
    <row r="21" spans="1:27" ht="15.75" customHeight="1">
      <c r="A21" s="9" t="s">
        <v>71</v>
      </c>
      <c r="B21" s="10">
        <v>4</v>
      </c>
      <c r="C21" s="23" t="s">
        <v>141</v>
      </c>
      <c r="D21" s="32" t="s">
        <v>153</v>
      </c>
      <c r="E21" s="21" t="s">
        <v>154</v>
      </c>
      <c r="F21" s="165">
        <v>3</v>
      </c>
      <c r="G21" s="13" t="s">
        <v>1923</v>
      </c>
      <c r="H21" s="14"/>
      <c r="I21" s="14"/>
      <c r="J21" s="15" t="s">
        <v>1686</v>
      </c>
      <c r="K21" s="15" t="s">
        <v>155</v>
      </c>
      <c r="L21" s="15" t="s">
        <v>1687</v>
      </c>
      <c r="M21" s="15" t="s">
        <v>156</v>
      </c>
      <c r="N21" s="15" t="s">
        <v>157</v>
      </c>
      <c r="O21" s="15" t="s">
        <v>158</v>
      </c>
      <c r="P21" s="29"/>
      <c r="Q21" s="17" t="s">
        <v>102</v>
      </c>
      <c r="R21" s="29"/>
      <c r="S21" s="26"/>
      <c r="T21" s="19" t="s">
        <v>159</v>
      </c>
      <c r="U21" s="19"/>
      <c r="V21" s="26"/>
      <c r="W21" s="21" t="s">
        <v>48</v>
      </c>
      <c r="X21" s="20"/>
      <c r="Y21" s="20"/>
      <c r="Z21" s="20"/>
      <c r="AA21" s="20" t="s">
        <v>54</v>
      </c>
    </row>
    <row r="22" spans="1:27" ht="409.5">
      <c r="A22" s="9" t="s">
        <v>71</v>
      </c>
      <c r="B22" s="10">
        <v>4</v>
      </c>
      <c r="C22" s="23" t="s">
        <v>141</v>
      </c>
      <c r="D22" s="32" t="s">
        <v>160</v>
      </c>
      <c r="E22" s="21" t="s">
        <v>161</v>
      </c>
      <c r="F22" s="165">
        <v>2</v>
      </c>
      <c r="G22" s="13" t="s">
        <v>162</v>
      </c>
      <c r="H22" s="14"/>
      <c r="I22" s="14"/>
      <c r="J22" s="15" t="s">
        <v>1688</v>
      </c>
      <c r="K22" s="15" t="s">
        <v>163</v>
      </c>
      <c r="L22" s="15" t="s">
        <v>1689</v>
      </c>
      <c r="M22" s="15" t="s">
        <v>1690</v>
      </c>
      <c r="N22" s="15" t="s">
        <v>1691</v>
      </c>
      <c r="O22" s="15" t="s">
        <v>1692</v>
      </c>
      <c r="P22" s="29"/>
      <c r="Q22" s="17" t="s">
        <v>92</v>
      </c>
      <c r="R22" s="29" t="s">
        <v>1949</v>
      </c>
      <c r="S22" s="26" t="s">
        <v>164</v>
      </c>
      <c r="T22" s="19" t="s">
        <v>165</v>
      </c>
      <c r="U22" s="65" t="s">
        <v>884</v>
      </c>
      <c r="V22" s="26"/>
      <c r="W22" s="21" t="s">
        <v>48</v>
      </c>
      <c r="X22" s="20"/>
      <c r="Y22" s="20" t="s">
        <v>54</v>
      </c>
      <c r="Z22" s="20"/>
      <c r="AA22" s="20"/>
    </row>
    <row r="23" spans="1:27" ht="15.75" customHeight="1">
      <c r="A23" s="9" t="s">
        <v>71</v>
      </c>
      <c r="B23" s="10">
        <v>4</v>
      </c>
      <c r="C23" s="23" t="s">
        <v>141</v>
      </c>
      <c r="D23" s="32" t="s">
        <v>166</v>
      </c>
      <c r="E23" s="13" t="s">
        <v>167</v>
      </c>
      <c r="F23" s="165">
        <v>3</v>
      </c>
      <c r="G23" s="21" t="s">
        <v>168</v>
      </c>
      <c r="H23" s="14"/>
      <c r="I23" s="14"/>
      <c r="J23" s="15" t="s">
        <v>1693</v>
      </c>
      <c r="K23" s="15" t="s">
        <v>169</v>
      </c>
      <c r="L23" s="15" t="s">
        <v>828</v>
      </c>
      <c r="M23" s="39" t="s">
        <v>1694</v>
      </c>
      <c r="N23" s="28" t="s">
        <v>1695</v>
      </c>
      <c r="O23" s="15" t="s">
        <v>170</v>
      </c>
      <c r="P23" s="29"/>
      <c r="Q23" s="17" t="s">
        <v>92</v>
      </c>
      <c r="R23" s="29" t="s">
        <v>1950</v>
      </c>
      <c r="S23" s="26" t="s">
        <v>171</v>
      </c>
      <c r="T23" s="19" t="s">
        <v>146</v>
      </c>
      <c r="U23" s="19" t="s">
        <v>850</v>
      </c>
      <c r="V23" s="26"/>
      <c r="W23" s="21" t="s">
        <v>48</v>
      </c>
      <c r="X23" s="20" t="s">
        <v>54</v>
      </c>
      <c r="Y23" s="20"/>
      <c r="Z23" s="20"/>
      <c r="AA23" s="20"/>
    </row>
    <row r="24" spans="1:27" ht="409.5">
      <c r="A24" s="9" t="s">
        <v>71</v>
      </c>
      <c r="B24" s="10">
        <v>5</v>
      </c>
      <c r="C24" s="23" t="s">
        <v>172</v>
      </c>
      <c r="D24" s="32" t="s">
        <v>173</v>
      </c>
      <c r="E24" s="21" t="s">
        <v>174</v>
      </c>
      <c r="F24" s="165">
        <v>2</v>
      </c>
      <c r="G24" s="13" t="s">
        <v>175</v>
      </c>
      <c r="H24" s="14"/>
      <c r="I24" s="14"/>
      <c r="J24" s="15" t="s">
        <v>2140</v>
      </c>
      <c r="K24" s="15" t="s">
        <v>176</v>
      </c>
      <c r="L24" s="15" t="s">
        <v>2090</v>
      </c>
      <c r="M24" s="15" t="s">
        <v>2089</v>
      </c>
      <c r="N24" s="24" t="s">
        <v>2091</v>
      </c>
      <c r="O24" s="15" t="s">
        <v>899</v>
      </c>
      <c r="P24" s="17" t="s">
        <v>60</v>
      </c>
      <c r="Q24" s="17" t="s">
        <v>29</v>
      </c>
      <c r="R24" s="29" t="s">
        <v>1951</v>
      </c>
      <c r="S24" s="26" t="s">
        <v>177</v>
      </c>
      <c r="T24" s="19" t="s">
        <v>178</v>
      </c>
      <c r="U24" s="19"/>
      <c r="V24" s="26" t="s">
        <v>54</v>
      </c>
      <c r="W24" s="21" t="s">
        <v>48</v>
      </c>
      <c r="X24" s="20"/>
      <c r="Y24" s="20"/>
      <c r="Z24" s="20"/>
      <c r="AA24" s="20" t="s">
        <v>54</v>
      </c>
    </row>
    <row r="25" spans="1:27" ht="409.5">
      <c r="A25" s="9" t="s">
        <v>71</v>
      </c>
      <c r="B25" s="10">
        <v>5</v>
      </c>
      <c r="C25" s="23" t="s">
        <v>172</v>
      </c>
      <c r="D25" s="32" t="s">
        <v>179</v>
      </c>
      <c r="E25" s="21" t="s">
        <v>180</v>
      </c>
      <c r="F25" s="165">
        <v>2</v>
      </c>
      <c r="G25" s="13" t="s">
        <v>181</v>
      </c>
      <c r="H25" s="14"/>
      <c r="I25" s="14"/>
      <c r="J25" s="15" t="s">
        <v>1931</v>
      </c>
      <c r="K25" s="15" t="s">
        <v>182</v>
      </c>
      <c r="L25" s="15" t="s">
        <v>810</v>
      </c>
      <c r="M25" s="15" t="s">
        <v>2092</v>
      </c>
      <c r="N25" s="24" t="s">
        <v>2093</v>
      </c>
      <c r="O25" s="15" t="s">
        <v>2094</v>
      </c>
      <c r="P25" s="29"/>
      <c r="Q25" s="17" t="s">
        <v>29</v>
      </c>
      <c r="R25" s="29" t="s">
        <v>1952</v>
      </c>
      <c r="S25" s="26" t="s">
        <v>183</v>
      </c>
      <c r="T25" s="34" t="s">
        <v>184</v>
      </c>
      <c r="U25" s="34"/>
      <c r="V25" s="26" t="s">
        <v>54</v>
      </c>
      <c r="W25" s="21" t="s">
        <v>48</v>
      </c>
      <c r="X25" s="20"/>
      <c r="Y25" s="20"/>
      <c r="Z25" s="20"/>
      <c r="AA25" s="20" t="s">
        <v>54</v>
      </c>
    </row>
    <row r="26" spans="1:27" ht="15.75" customHeight="1">
      <c r="A26" s="9" t="s">
        <v>71</v>
      </c>
      <c r="B26" s="10">
        <v>5</v>
      </c>
      <c r="C26" s="23" t="s">
        <v>172</v>
      </c>
      <c r="D26" s="32" t="s">
        <v>185</v>
      </c>
      <c r="E26" s="13" t="s">
        <v>186</v>
      </c>
      <c r="F26" s="165">
        <v>2</v>
      </c>
      <c r="G26" s="21" t="s">
        <v>1924</v>
      </c>
      <c r="H26" s="14"/>
      <c r="I26" s="14"/>
      <c r="J26" s="15" t="s">
        <v>1696</v>
      </c>
      <c r="K26" s="15" t="s">
        <v>187</v>
      </c>
      <c r="L26" s="15" t="s">
        <v>188</v>
      </c>
      <c r="M26" s="15" t="s">
        <v>189</v>
      </c>
      <c r="N26" s="24" t="s">
        <v>190</v>
      </c>
      <c r="O26" s="15" t="s">
        <v>1697</v>
      </c>
      <c r="P26" s="29"/>
      <c r="Q26" s="17" t="s">
        <v>102</v>
      </c>
      <c r="R26" s="29" t="s">
        <v>1953</v>
      </c>
      <c r="S26" s="26" t="s">
        <v>183</v>
      </c>
      <c r="T26" s="19" t="s">
        <v>191</v>
      </c>
      <c r="U26" s="47" t="s">
        <v>863</v>
      </c>
      <c r="V26" s="26"/>
      <c r="W26" s="21" t="s">
        <v>48</v>
      </c>
      <c r="X26" s="20"/>
      <c r="Y26" s="20" t="s">
        <v>54</v>
      </c>
      <c r="Z26" s="20"/>
      <c r="AA26" s="20"/>
    </row>
    <row r="27" spans="1:27" ht="105" customHeight="1">
      <c r="A27" s="9" t="s">
        <v>71</v>
      </c>
      <c r="B27" s="10">
        <v>5</v>
      </c>
      <c r="C27" s="23" t="s">
        <v>172</v>
      </c>
      <c r="D27" s="32" t="s">
        <v>192</v>
      </c>
      <c r="E27" s="21" t="s">
        <v>193</v>
      </c>
      <c r="F27" s="165">
        <v>3</v>
      </c>
      <c r="G27" s="13" t="s">
        <v>194</v>
      </c>
      <c r="H27" s="14"/>
      <c r="I27" s="14"/>
      <c r="J27" s="15" t="s">
        <v>1930</v>
      </c>
      <c r="K27" s="15" t="s">
        <v>1698</v>
      </c>
      <c r="L27" s="15" t="s">
        <v>1699</v>
      </c>
      <c r="M27" s="15" t="s">
        <v>195</v>
      </c>
      <c r="N27" s="28" t="s">
        <v>196</v>
      </c>
      <c r="O27" s="15" t="s">
        <v>1700</v>
      </c>
      <c r="P27" s="29"/>
      <c r="Q27" s="17" t="s">
        <v>92</v>
      </c>
      <c r="R27" s="29" t="s">
        <v>1954</v>
      </c>
      <c r="S27" s="26"/>
      <c r="T27" s="19" t="s">
        <v>197</v>
      </c>
      <c r="U27" s="19" t="s">
        <v>856</v>
      </c>
      <c r="V27" s="26"/>
      <c r="W27" s="21" t="s">
        <v>48</v>
      </c>
      <c r="X27" s="20"/>
      <c r="Y27" s="20"/>
      <c r="Z27" s="20"/>
      <c r="AA27" s="20"/>
    </row>
    <row r="28" spans="1:27" ht="409.5">
      <c r="A28" s="9" t="s">
        <v>71</v>
      </c>
      <c r="B28" s="10">
        <v>5</v>
      </c>
      <c r="C28" s="23" t="s">
        <v>172</v>
      </c>
      <c r="D28" s="32" t="s">
        <v>198</v>
      </c>
      <c r="E28" s="13" t="s">
        <v>199</v>
      </c>
      <c r="F28" s="165">
        <v>2</v>
      </c>
      <c r="G28" s="21" t="s">
        <v>200</v>
      </c>
      <c r="H28" s="14"/>
      <c r="I28" s="14"/>
      <c r="J28" s="15" t="s">
        <v>2028</v>
      </c>
      <c r="K28" s="15" t="s">
        <v>1701</v>
      </c>
      <c r="L28" s="15" t="s">
        <v>201</v>
      </c>
      <c r="M28" s="15" t="s">
        <v>827</v>
      </c>
      <c r="N28" s="15" t="s">
        <v>1702</v>
      </c>
      <c r="O28" s="15" t="s">
        <v>785</v>
      </c>
      <c r="P28" s="29"/>
      <c r="Q28" s="17" t="s">
        <v>92</v>
      </c>
      <c r="R28" s="29"/>
      <c r="S28" s="26"/>
      <c r="T28" s="19" t="s">
        <v>202</v>
      </c>
      <c r="U28" s="19"/>
      <c r="V28" s="26"/>
      <c r="W28" s="26"/>
      <c r="X28" s="20"/>
      <c r="Y28" s="20"/>
      <c r="Z28" s="20"/>
      <c r="AA28" s="20"/>
    </row>
    <row r="29" spans="1:27" ht="409.5">
      <c r="A29" s="9" t="s">
        <v>71</v>
      </c>
      <c r="B29" s="10">
        <v>5</v>
      </c>
      <c r="C29" s="23" t="s">
        <v>172</v>
      </c>
      <c r="D29" s="32" t="s">
        <v>203</v>
      </c>
      <c r="E29" s="13" t="s">
        <v>204</v>
      </c>
      <c r="F29" s="165">
        <v>2</v>
      </c>
      <c r="G29" s="13" t="s">
        <v>205</v>
      </c>
      <c r="H29" s="14"/>
      <c r="I29" s="14"/>
      <c r="J29" s="15" t="s">
        <v>2067</v>
      </c>
      <c r="K29" s="15" t="s">
        <v>2099</v>
      </c>
      <c r="L29" s="15" t="s">
        <v>2095</v>
      </c>
      <c r="M29" s="15" t="s">
        <v>2096</v>
      </c>
      <c r="N29" s="15" t="s">
        <v>2097</v>
      </c>
      <c r="O29" s="15" t="s">
        <v>2098</v>
      </c>
      <c r="P29" s="29"/>
      <c r="Q29" s="17" t="s">
        <v>92</v>
      </c>
      <c r="R29" s="29" t="s">
        <v>1955</v>
      </c>
      <c r="S29" s="26" t="s">
        <v>206</v>
      </c>
      <c r="T29" s="19" t="s">
        <v>207</v>
      </c>
      <c r="U29" s="19"/>
      <c r="V29" s="26"/>
      <c r="W29" s="21" t="s">
        <v>48</v>
      </c>
      <c r="X29" s="20"/>
      <c r="Y29" s="20"/>
      <c r="Z29" s="20"/>
      <c r="AA29" s="20"/>
    </row>
    <row r="30" spans="1:27" ht="15.75" customHeight="1">
      <c r="A30" s="9" t="s">
        <v>71</v>
      </c>
      <c r="B30" s="10">
        <v>5</v>
      </c>
      <c r="C30" s="23" t="s">
        <v>172</v>
      </c>
      <c r="D30" s="32" t="s">
        <v>208</v>
      </c>
      <c r="E30" s="21" t="s">
        <v>209</v>
      </c>
      <c r="F30" s="165">
        <v>3</v>
      </c>
      <c r="G30" s="13" t="s">
        <v>210</v>
      </c>
      <c r="H30" s="14"/>
      <c r="I30" s="14"/>
      <c r="J30" s="15" t="s">
        <v>211</v>
      </c>
      <c r="K30" s="15" t="s">
        <v>1703</v>
      </c>
      <c r="L30" s="15" t="s">
        <v>212</v>
      </c>
      <c r="M30" s="15" t="s">
        <v>1704</v>
      </c>
      <c r="N30" s="15" t="s">
        <v>1705</v>
      </c>
      <c r="O30" s="15" t="s">
        <v>213</v>
      </c>
      <c r="P30" s="29"/>
      <c r="Q30" s="17" t="s">
        <v>214</v>
      </c>
      <c r="R30" s="29" t="s">
        <v>1956</v>
      </c>
      <c r="S30" s="26" t="s">
        <v>215</v>
      </c>
      <c r="T30" s="19" t="s">
        <v>216</v>
      </c>
      <c r="U30" s="19"/>
      <c r="V30" s="26"/>
      <c r="W30" s="21" t="s">
        <v>48</v>
      </c>
      <c r="X30" s="20"/>
      <c r="Y30" s="20"/>
      <c r="Z30" s="20" t="s">
        <v>54</v>
      </c>
      <c r="AA30" s="20" t="s">
        <v>54</v>
      </c>
    </row>
    <row r="31" spans="1:27" ht="15.75" customHeight="1">
      <c r="A31" s="9" t="s">
        <v>71</v>
      </c>
      <c r="B31" s="10">
        <v>5</v>
      </c>
      <c r="C31" s="23" t="s">
        <v>172</v>
      </c>
      <c r="D31" s="32" t="s">
        <v>217</v>
      </c>
      <c r="E31" s="21" t="s">
        <v>218</v>
      </c>
      <c r="F31" s="165">
        <v>3</v>
      </c>
      <c r="G31" s="13" t="s">
        <v>219</v>
      </c>
      <c r="H31" s="14"/>
      <c r="I31" s="14"/>
      <c r="J31" s="15" t="s">
        <v>1706</v>
      </c>
      <c r="K31" s="15" t="s">
        <v>220</v>
      </c>
      <c r="L31" s="15" t="s">
        <v>1707</v>
      </c>
      <c r="M31" s="15" t="s">
        <v>221</v>
      </c>
      <c r="N31" s="15" t="s">
        <v>222</v>
      </c>
      <c r="O31" s="15" t="s">
        <v>223</v>
      </c>
      <c r="P31" s="29"/>
      <c r="Q31" s="17" t="s">
        <v>92</v>
      </c>
      <c r="R31" s="29"/>
      <c r="S31" s="26"/>
      <c r="T31" s="19" t="s">
        <v>202</v>
      </c>
      <c r="U31" s="19"/>
      <c r="V31" s="26"/>
      <c r="W31" s="21" t="s">
        <v>48</v>
      </c>
      <c r="X31" s="20"/>
      <c r="Y31" s="20"/>
      <c r="Z31" s="20"/>
      <c r="AA31" s="20"/>
    </row>
    <row r="32" spans="1:27" ht="409.5">
      <c r="A32" s="9" t="s">
        <v>71</v>
      </c>
      <c r="B32" s="10">
        <v>6</v>
      </c>
      <c r="C32" s="23" t="s">
        <v>224</v>
      </c>
      <c r="D32" s="32" t="s">
        <v>225</v>
      </c>
      <c r="E32" s="13" t="s">
        <v>226</v>
      </c>
      <c r="F32" s="165">
        <v>2</v>
      </c>
      <c r="G32" s="13" t="s">
        <v>2143</v>
      </c>
      <c r="H32" s="14"/>
      <c r="I32" s="14"/>
      <c r="J32" s="15" t="s">
        <v>2039</v>
      </c>
      <c r="K32" s="15" t="s">
        <v>2144</v>
      </c>
      <c r="L32" s="15" t="s">
        <v>1708</v>
      </c>
      <c r="M32" s="15" t="s">
        <v>227</v>
      </c>
      <c r="N32" s="39" t="s">
        <v>2141</v>
      </c>
      <c r="O32" s="15" t="s">
        <v>2142</v>
      </c>
      <c r="P32" s="29"/>
      <c r="Q32" s="17" t="s">
        <v>29</v>
      </c>
      <c r="R32" s="29" t="s">
        <v>1957</v>
      </c>
      <c r="S32" s="26"/>
      <c r="T32" s="19" t="s">
        <v>228</v>
      </c>
      <c r="U32" s="65" t="s">
        <v>888</v>
      </c>
      <c r="V32" s="26"/>
      <c r="W32" s="26"/>
      <c r="X32" s="20"/>
      <c r="Y32" s="20"/>
      <c r="Z32" s="20"/>
      <c r="AA32" s="20" t="s">
        <v>54</v>
      </c>
    </row>
    <row r="33" spans="1:27" ht="15.75" customHeight="1">
      <c r="A33" s="9" t="s">
        <v>71</v>
      </c>
      <c r="B33" s="10">
        <v>6</v>
      </c>
      <c r="C33" s="23" t="s">
        <v>229</v>
      </c>
      <c r="D33" s="32" t="s">
        <v>230</v>
      </c>
      <c r="E33" s="21" t="s">
        <v>231</v>
      </c>
      <c r="F33" s="165">
        <v>2</v>
      </c>
      <c r="G33" s="21" t="s">
        <v>232</v>
      </c>
      <c r="H33" s="14"/>
      <c r="I33" s="14"/>
      <c r="J33" s="15" t="s">
        <v>1709</v>
      </c>
      <c r="K33" s="15" t="s">
        <v>1710</v>
      </c>
      <c r="L33" s="15" t="s">
        <v>233</v>
      </c>
      <c r="M33" s="15" t="s">
        <v>234</v>
      </c>
      <c r="N33" s="15" t="s">
        <v>1711</v>
      </c>
      <c r="O33" s="15" t="s">
        <v>235</v>
      </c>
      <c r="P33" s="17" t="s">
        <v>60</v>
      </c>
      <c r="Q33" s="17" t="s">
        <v>29</v>
      </c>
      <c r="R33" s="29" t="s">
        <v>1958</v>
      </c>
      <c r="S33" s="26" t="s">
        <v>236</v>
      </c>
      <c r="T33" s="19" t="s">
        <v>237</v>
      </c>
      <c r="U33" s="19" t="s">
        <v>857</v>
      </c>
      <c r="V33" s="26"/>
      <c r="W33" s="21" t="s">
        <v>48</v>
      </c>
      <c r="X33" s="20"/>
      <c r="Y33" s="20"/>
      <c r="Z33" s="20"/>
      <c r="AA33" s="20"/>
    </row>
    <row r="34" spans="1:27" ht="15.75" customHeight="1">
      <c r="A34" s="9" t="s">
        <v>71</v>
      </c>
      <c r="B34" s="10">
        <v>6</v>
      </c>
      <c r="C34" s="23" t="s">
        <v>224</v>
      </c>
      <c r="D34" s="32" t="s">
        <v>238</v>
      </c>
      <c r="E34" s="21" t="s">
        <v>239</v>
      </c>
      <c r="F34" s="165">
        <v>3</v>
      </c>
      <c r="G34" s="21" t="s">
        <v>240</v>
      </c>
      <c r="H34" s="14"/>
      <c r="I34" s="14"/>
      <c r="J34" s="15" t="s">
        <v>2139</v>
      </c>
      <c r="K34" s="15" t="s">
        <v>241</v>
      </c>
      <c r="L34" s="15" t="s">
        <v>1712</v>
      </c>
      <c r="M34" s="15" t="s">
        <v>1713</v>
      </c>
      <c r="N34" s="15" t="s">
        <v>1714</v>
      </c>
      <c r="O34" s="15" t="s">
        <v>1715</v>
      </c>
      <c r="P34" s="29"/>
      <c r="Q34" s="17" t="s">
        <v>92</v>
      </c>
      <c r="R34" s="29"/>
      <c r="S34" s="26"/>
      <c r="T34" s="19" t="s">
        <v>202</v>
      </c>
      <c r="U34" s="19"/>
      <c r="V34" s="26"/>
      <c r="W34" s="26"/>
      <c r="X34" s="20"/>
      <c r="Y34" s="20"/>
      <c r="Z34" s="20"/>
      <c r="AA34" s="20"/>
    </row>
    <row r="35" spans="1:27" ht="15.75" customHeight="1">
      <c r="A35" s="9" t="s">
        <v>71</v>
      </c>
      <c r="B35" s="10">
        <v>6</v>
      </c>
      <c r="C35" s="23" t="s">
        <v>224</v>
      </c>
      <c r="D35" s="32" t="s">
        <v>242</v>
      </c>
      <c r="E35" s="21" t="s">
        <v>243</v>
      </c>
      <c r="F35" s="165">
        <v>2</v>
      </c>
      <c r="G35" s="13" t="s">
        <v>244</v>
      </c>
      <c r="H35" s="14"/>
      <c r="I35" s="14"/>
      <c r="J35" s="15" t="s">
        <v>245</v>
      </c>
      <c r="K35" s="15" t="s">
        <v>246</v>
      </c>
      <c r="L35" s="15" t="s">
        <v>1716</v>
      </c>
      <c r="M35" s="15" t="s">
        <v>247</v>
      </c>
      <c r="N35" s="15" t="s">
        <v>248</v>
      </c>
      <c r="O35" s="15" t="s">
        <v>249</v>
      </c>
      <c r="P35" s="29"/>
      <c r="Q35" s="17" t="s">
        <v>92</v>
      </c>
      <c r="R35" s="29" t="s">
        <v>1959</v>
      </c>
      <c r="S35" s="26" t="s">
        <v>250</v>
      </c>
      <c r="T35" s="19" t="s">
        <v>251</v>
      </c>
      <c r="U35" s="47" t="s">
        <v>854</v>
      </c>
      <c r="V35" s="26" t="s">
        <v>54</v>
      </c>
      <c r="W35" s="21" t="s">
        <v>48</v>
      </c>
      <c r="X35" s="20"/>
      <c r="Y35" s="20"/>
      <c r="Z35" s="20"/>
      <c r="AA35" s="20"/>
    </row>
    <row r="36" spans="1:27" ht="409.5">
      <c r="A36" s="9" t="s">
        <v>71</v>
      </c>
      <c r="B36" s="10">
        <v>6</v>
      </c>
      <c r="C36" s="23" t="s">
        <v>224</v>
      </c>
      <c r="D36" s="32" t="s">
        <v>252</v>
      </c>
      <c r="E36" s="13" t="s">
        <v>253</v>
      </c>
      <c r="F36" s="165">
        <v>2</v>
      </c>
      <c r="G36" s="13" t="s">
        <v>254</v>
      </c>
      <c r="H36" s="14"/>
      <c r="I36" s="14"/>
      <c r="J36" s="15" t="s">
        <v>255</v>
      </c>
      <c r="K36" s="15" t="s">
        <v>256</v>
      </c>
      <c r="L36" s="15" t="s">
        <v>1717</v>
      </c>
      <c r="M36" s="15" t="s">
        <v>1718</v>
      </c>
      <c r="N36" s="15" t="s">
        <v>1719</v>
      </c>
      <c r="O36" s="15" t="s">
        <v>257</v>
      </c>
      <c r="P36" s="29"/>
      <c r="Q36" s="17" t="s">
        <v>92</v>
      </c>
      <c r="R36" s="29" t="s">
        <v>1960</v>
      </c>
      <c r="S36" s="26" t="s">
        <v>258</v>
      </c>
      <c r="T36" s="19" t="s">
        <v>259</v>
      </c>
      <c r="U36" s="19"/>
      <c r="V36" s="26"/>
      <c r="W36" s="21" t="s">
        <v>48</v>
      </c>
      <c r="X36" s="20"/>
      <c r="Y36" s="20"/>
      <c r="Z36" s="20"/>
      <c r="AA36" s="20" t="s">
        <v>54</v>
      </c>
    </row>
    <row r="37" spans="1:27" ht="15.75" customHeight="1">
      <c r="A37" s="9" t="s">
        <v>71</v>
      </c>
      <c r="B37" s="10">
        <v>6</v>
      </c>
      <c r="C37" s="23" t="s">
        <v>224</v>
      </c>
      <c r="D37" s="32" t="s">
        <v>260</v>
      </c>
      <c r="E37" s="21" t="s">
        <v>261</v>
      </c>
      <c r="F37" s="165">
        <v>1</v>
      </c>
      <c r="G37" s="13" t="s">
        <v>262</v>
      </c>
      <c r="H37" s="14"/>
      <c r="I37" s="14"/>
      <c r="J37" s="15" t="s">
        <v>1720</v>
      </c>
      <c r="K37" s="15" t="s">
        <v>1721</v>
      </c>
      <c r="L37" s="15" t="s">
        <v>1722</v>
      </c>
      <c r="M37" s="15" t="s">
        <v>1723</v>
      </c>
      <c r="N37" s="15" t="s">
        <v>1724</v>
      </c>
      <c r="O37" s="15" t="s">
        <v>1725</v>
      </c>
      <c r="P37" s="29"/>
      <c r="Q37" s="17" t="s">
        <v>92</v>
      </c>
      <c r="R37" s="29" t="s">
        <v>1961</v>
      </c>
      <c r="S37" s="26"/>
      <c r="T37" s="19" t="s">
        <v>165</v>
      </c>
      <c r="U37" s="19"/>
      <c r="V37" s="26"/>
      <c r="W37" s="21" t="s">
        <v>48</v>
      </c>
      <c r="X37" s="20"/>
      <c r="Y37" s="20" t="s">
        <v>54</v>
      </c>
      <c r="Z37" s="20"/>
      <c r="AA37" s="20"/>
    </row>
    <row r="38" spans="1:27" ht="15.75" customHeight="1">
      <c r="A38" s="9" t="s">
        <v>71</v>
      </c>
      <c r="B38" s="10">
        <v>6</v>
      </c>
      <c r="C38" s="23" t="s">
        <v>224</v>
      </c>
      <c r="D38" s="32" t="s">
        <v>263</v>
      </c>
      <c r="E38" s="13" t="s">
        <v>264</v>
      </c>
      <c r="F38" s="165">
        <v>3</v>
      </c>
      <c r="G38" s="13" t="s">
        <v>265</v>
      </c>
      <c r="H38" s="14"/>
      <c r="I38" s="14"/>
      <c r="J38" s="15" t="s">
        <v>1726</v>
      </c>
      <c r="K38" s="15" t="s">
        <v>266</v>
      </c>
      <c r="L38" s="15" t="s">
        <v>267</v>
      </c>
      <c r="M38" s="15" t="s">
        <v>1727</v>
      </c>
      <c r="N38" s="15" t="s">
        <v>268</v>
      </c>
      <c r="O38" s="15" t="s">
        <v>1728</v>
      </c>
      <c r="P38" s="29"/>
      <c r="Q38" s="17" t="s">
        <v>92</v>
      </c>
      <c r="R38" s="29"/>
      <c r="S38" s="18"/>
      <c r="T38" s="19" t="s">
        <v>269</v>
      </c>
      <c r="U38" s="19"/>
      <c r="V38" s="18"/>
      <c r="W38" s="21" t="s">
        <v>48</v>
      </c>
      <c r="X38" s="20"/>
      <c r="Y38" s="20"/>
      <c r="Z38" s="20"/>
      <c r="AA38" s="20"/>
    </row>
    <row r="39" spans="1:27" ht="15.75" customHeight="1">
      <c r="A39" s="9" t="s">
        <v>71</v>
      </c>
      <c r="B39" s="10">
        <v>6</v>
      </c>
      <c r="C39" s="23" t="s">
        <v>224</v>
      </c>
      <c r="D39" s="32" t="s">
        <v>270</v>
      </c>
      <c r="E39" s="21" t="s">
        <v>271</v>
      </c>
      <c r="F39" s="165">
        <v>3</v>
      </c>
      <c r="G39" s="21" t="s">
        <v>272</v>
      </c>
      <c r="H39" s="14"/>
      <c r="I39" s="14"/>
      <c r="J39" s="15" t="s">
        <v>2130</v>
      </c>
      <c r="K39" s="15" t="s">
        <v>1729</v>
      </c>
      <c r="L39" s="15" t="s">
        <v>273</v>
      </c>
      <c r="M39" s="15" t="s">
        <v>274</v>
      </c>
      <c r="N39" s="15" t="s">
        <v>1730</v>
      </c>
      <c r="O39" s="15" t="s">
        <v>1731</v>
      </c>
      <c r="P39" s="29"/>
      <c r="Q39" s="17" t="s">
        <v>92</v>
      </c>
      <c r="R39" s="29"/>
      <c r="S39" s="18"/>
      <c r="T39" s="19" t="s">
        <v>275</v>
      </c>
      <c r="U39" s="19"/>
      <c r="V39" s="18"/>
      <c r="W39" s="21" t="s">
        <v>48</v>
      </c>
      <c r="X39" s="20"/>
      <c r="Y39" s="20"/>
      <c r="Z39" s="20"/>
      <c r="AA39" s="20"/>
    </row>
    <row r="40" spans="1:27" ht="409.5">
      <c r="A40" s="9" t="s">
        <v>71</v>
      </c>
      <c r="B40" s="10">
        <v>6</v>
      </c>
      <c r="C40" s="23" t="s">
        <v>224</v>
      </c>
      <c r="D40" s="32" t="s">
        <v>276</v>
      </c>
      <c r="E40" s="13" t="s">
        <v>277</v>
      </c>
      <c r="F40" s="165">
        <v>1</v>
      </c>
      <c r="G40" s="13" t="s">
        <v>278</v>
      </c>
      <c r="H40" s="14"/>
      <c r="I40" s="14"/>
      <c r="J40" s="15" t="s">
        <v>1732</v>
      </c>
      <c r="K40" s="15" t="s">
        <v>1733</v>
      </c>
      <c r="L40" s="15" t="s">
        <v>1734</v>
      </c>
      <c r="M40" s="15" t="s">
        <v>1735</v>
      </c>
      <c r="N40" s="15" t="s">
        <v>1736</v>
      </c>
      <c r="O40" s="15" t="s">
        <v>1737</v>
      </c>
      <c r="P40" s="29"/>
      <c r="Q40" s="17" t="s">
        <v>92</v>
      </c>
      <c r="R40" s="29" t="s">
        <v>1962</v>
      </c>
      <c r="S40" s="26" t="s">
        <v>279</v>
      </c>
      <c r="T40" s="19" t="s">
        <v>280</v>
      </c>
      <c r="U40" s="19" t="s">
        <v>871</v>
      </c>
      <c r="V40" s="26"/>
      <c r="W40" s="21" t="s">
        <v>48</v>
      </c>
      <c r="X40" s="20"/>
      <c r="Y40" s="20" t="s">
        <v>54</v>
      </c>
      <c r="Z40" s="20"/>
      <c r="AA40" s="20"/>
    </row>
    <row r="41" spans="1:27" ht="409.5">
      <c r="A41" s="9" t="s">
        <v>71</v>
      </c>
      <c r="B41" s="12">
        <v>6</v>
      </c>
      <c r="C41" s="23" t="s">
        <v>224</v>
      </c>
      <c r="D41" s="32" t="s">
        <v>281</v>
      </c>
      <c r="E41" s="35" t="s">
        <v>282</v>
      </c>
      <c r="F41" s="165">
        <v>1</v>
      </c>
      <c r="G41" s="13" t="s">
        <v>283</v>
      </c>
      <c r="H41" s="14"/>
      <c r="I41" s="14"/>
      <c r="J41" s="15" t="s">
        <v>1738</v>
      </c>
      <c r="K41" s="15" t="s">
        <v>829</v>
      </c>
      <c r="L41" s="15" t="s">
        <v>284</v>
      </c>
      <c r="M41" s="15" t="s">
        <v>285</v>
      </c>
      <c r="N41" s="28" t="s">
        <v>1739</v>
      </c>
      <c r="O41" s="28" t="s">
        <v>1740</v>
      </c>
      <c r="P41" s="29"/>
      <c r="Q41" s="17" t="s">
        <v>92</v>
      </c>
      <c r="R41" s="29" t="s">
        <v>1963</v>
      </c>
      <c r="S41" s="26" t="s">
        <v>279</v>
      </c>
      <c r="T41" s="19"/>
      <c r="U41" s="19"/>
      <c r="V41" s="26"/>
      <c r="W41" s="26"/>
      <c r="X41" s="20"/>
      <c r="Y41" s="20" t="s">
        <v>54</v>
      </c>
      <c r="Z41" s="20"/>
      <c r="AA41" s="20" t="s">
        <v>54</v>
      </c>
    </row>
    <row r="42" spans="1:27" ht="409.5">
      <c r="A42" s="9" t="s">
        <v>71</v>
      </c>
      <c r="B42" s="10">
        <v>6</v>
      </c>
      <c r="C42" s="23" t="s">
        <v>224</v>
      </c>
      <c r="D42" s="32" t="s">
        <v>286</v>
      </c>
      <c r="E42" s="21" t="s">
        <v>287</v>
      </c>
      <c r="F42" s="165">
        <v>2</v>
      </c>
      <c r="G42" s="13" t="s">
        <v>288</v>
      </c>
      <c r="H42" s="14"/>
      <c r="I42" s="14"/>
      <c r="J42" s="15" t="s">
        <v>289</v>
      </c>
      <c r="K42" s="15" t="s">
        <v>290</v>
      </c>
      <c r="L42" s="15" t="s">
        <v>1741</v>
      </c>
      <c r="M42" s="15" t="s">
        <v>1742</v>
      </c>
      <c r="N42" s="15" t="s">
        <v>826</v>
      </c>
      <c r="O42" s="15" t="s">
        <v>825</v>
      </c>
      <c r="P42" s="29"/>
      <c r="Q42" s="17" t="s">
        <v>92</v>
      </c>
      <c r="R42" s="29" t="s">
        <v>1964</v>
      </c>
      <c r="S42" s="26" t="s">
        <v>291</v>
      </c>
      <c r="T42" s="19" t="s">
        <v>292</v>
      </c>
      <c r="U42" s="19" t="s">
        <v>831</v>
      </c>
      <c r="V42" s="26"/>
      <c r="W42" s="21" t="s">
        <v>48</v>
      </c>
      <c r="X42" s="20"/>
      <c r="Y42" s="20"/>
      <c r="Z42" s="20"/>
      <c r="AA42" s="20"/>
    </row>
    <row r="43" spans="1:27" ht="409.5">
      <c r="A43" s="9" t="s">
        <v>71</v>
      </c>
      <c r="B43" s="10">
        <v>6</v>
      </c>
      <c r="C43" s="23" t="s">
        <v>224</v>
      </c>
      <c r="D43" s="32" t="s">
        <v>293</v>
      </c>
      <c r="E43" s="21" t="s">
        <v>294</v>
      </c>
      <c r="F43" s="165">
        <v>3</v>
      </c>
      <c r="G43" s="21" t="s">
        <v>295</v>
      </c>
      <c r="H43" s="14"/>
      <c r="I43" s="14"/>
      <c r="J43" s="15" t="s">
        <v>1743</v>
      </c>
      <c r="K43" s="15" t="s">
        <v>296</v>
      </c>
      <c r="L43" s="15" t="s">
        <v>297</v>
      </c>
      <c r="M43" s="15" t="s">
        <v>298</v>
      </c>
      <c r="N43" s="15" t="s">
        <v>299</v>
      </c>
      <c r="O43" s="15" t="s">
        <v>300</v>
      </c>
      <c r="P43" s="29"/>
      <c r="Q43" s="17" t="s">
        <v>92</v>
      </c>
      <c r="R43" s="29"/>
      <c r="S43" s="26"/>
      <c r="T43" s="19"/>
      <c r="U43" s="19"/>
      <c r="V43" s="26"/>
      <c r="W43" s="26"/>
      <c r="X43" s="20"/>
      <c r="Y43" s="20"/>
      <c r="Z43" s="20"/>
      <c r="AA43" s="20"/>
    </row>
    <row r="44" spans="1:27" ht="409.5">
      <c r="A44" s="9" t="s">
        <v>71</v>
      </c>
      <c r="B44" s="10">
        <v>7</v>
      </c>
      <c r="C44" s="23" t="s">
        <v>301</v>
      </c>
      <c r="D44" s="32" t="s">
        <v>302</v>
      </c>
      <c r="E44" s="13" t="s">
        <v>303</v>
      </c>
      <c r="F44" s="165">
        <v>2</v>
      </c>
      <c r="G44" s="13" t="s">
        <v>820</v>
      </c>
      <c r="H44" s="14"/>
      <c r="I44" s="14"/>
      <c r="J44" s="15" t="s">
        <v>1744</v>
      </c>
      <c r="K44" s="15" t="s">
        <v>868</v>
      </c>
      <c r="L44" s="15" t="s">
        <v>819</v>
      </c>
      <c r="M44" s="15" t="s">
        <v>1745</v>
      </c>
      <c r="N44" s="15" t="s">
        <v>304</v>
      </c>
      <c r="O44" s="15" t="s">
        <v>1746</v>
      </c>
      <c r="P44" s="29"/>
      <c r="Q44" s="17" t="s">
        <v>92</v>
      </c>
      <c r="R44" s="29" t="s">
        <v>1965</v>
      </c>
      <c r="S44" s="26" t="s">
        <v>305</v>
      </c>
      <c r="T44" s="19" t="s">
        <v>306</v>
      </c>
      <c r="U44" s="19"/>
      <c r="V44" s="18"/>
      <c r="W44" s="21" t="s">
        <v>48</v>
      </c>
      <c r="X44" s="20"/>
      <c r="Y44" s="20"/>
      <c r="Z44" s="20"/>
      <c r="AA44" s="20"/>
    </row>
    <row r="45" spans="1:27" ht="409.5">
      <c r="A45" s="9" t="s">
        <v>71</v>
      </c>
      <c r="B45" s="10">
        <v>7</v>
      </c>
      <c r="C45" s="23" t="s">
        <v>301</v>
      </c>
      <c r="D45" s="32" t="s">
        <v>307</v>
      </c>
      <c r="E45" s="13" t="s">
        <v>308</v>
      </c>
      <c r="F45" s="165">
        <v>3</v>
      </c>
      <c r="G45" s="21" t="s">
        <v>309</v>
      </c>
      <c r="H45" s="14"/>
      <c r="I45" s="14"/>
      <c r="J45" s="15" t="s">
        <v>1747</v>
      </c>
      <c r="K45" s="15" t="s">
        <v>310</v>
      </c>
      <c r="L45" s="15" t="s">
        <v>311</v>
      </c>
      <c r="M45" s="15" t="s">
        <v>1748</v>
      </c>
      <c r="N45" s="15" t="s">
        <v>1749</v>
      </c>
      <c r="O45" s="15" t="s">
        <v>1750</v>
      </c>
      <c r="P45" s="29"/>
      <c r="Q45" s="17" t="s">
        <v>92</v>
      </c>
      <c r="R45" s="29"/>
      <c r="S45" s="26" t="s">
        <v>312</v>
      </c>
      <c r="T45" s="19" t="s">
        <v>313</v>
      </c>
      <c r="U45" s="19"/>
      <c r="V45" s="26"/>
      <c r="W45" s="21" t="s">
        <v>48</v>
      </c>
      <c r="X45" s="20"/>
      <c r="Y45" s="20"/>
      <c r="Z45" s="20"/>
      <c r="AA45" s="20"/>
    </row>
    <row r="46" spans="1:27" ht="15.75" customHeight="1">
      <c r="A46" s="9" t="s">
        <v>71</v>
      </c>
      <c r="B46" s="10">
        <v>7</v>
      </c>
      <c r="C46" s="23" t="s">
        <v>301</v>
      </c>
      <c r="D46" s="32" t="s">
        <v>314</v>
      </c>
      <c r="E46" s="21" t="s">
        <v>315</v>
      </c>
      <c r="F46" s="165">
        <v>2</v>
      </c>
      <c r="G46" s="21" t="s">
        <v>316</v>
      </c>
      <c r="H46" s="14"/>
      <c r="I46" s="14"/>
      <c r="J46" s="15" t="s">
        <v>1751</v>
      </c>
      <c r="K46" s="15" t="s">
        <v>317</v>
      </c>
      <c r="L46" s="15" t="s">
        <v>1752</v>
      </c>
      <c r="M46" s="15" t="s">
        <v>318</v>
      </c>
      <c r="N46" s="15" t="s">
        <v>319</v>
      </c>
      <c r="O46" s="15" t="s">
        <v>1753</v>
      </c>
      <c r="P46" s="29"/>
      <c r="Q46" s="17" t="s">
        <v>92</v>
      </c>
      <c r="R46" s="29" t="s">
        <v>1966</v>
      </c>
      <c r="S46" s="26"/>
      <c r="T46" s="36" t="s">
        <v>320</v>
      </c>
      <c r="U46" s="36" t="s">
        <v>850</v>
      </c>
      <c r="V46" s="26"/>
      <c r="W46" s="26"/>
      <c r="X46" s="20"/>
      <c r="Y46" s="20"/>
      <c r="Z46" s="20"/>
      <c r="AA46" s="20"/>
    </row>
    <row r="47" spans="1:27" ht="15.75" customHeight="1">
      <c r="A47" s="9" t="s">
        <v>71</v>
      </c>
      <c r="B47" s="10">
        <v>8</v>
      </c>
      <c r="C47" s="23" t="s">
        <v>321</v>
      </c>
      <c r="D47" s="32" t="s">
        <v>322</v>
      </c>
      <c r="E47" s="26" t="s">
        <v>323</v>
      </c>
      <c r="F47" s="165">
        <v>2</v>
      </c>
      <c r="G47" s="13" t="s">
        <v>324</v>
      </c>
      <c r="H47" s="14"/>
      <c r="I47" s="14"/>
      <c r="J47" s="15" t="s">
        <v>902</v>
      </c>
      <c r="K47" s="15" t="s">
        <v>325</v>
      </c>
      <c r="L47" s="15" t="s">
        <v>1754</v>
      </c>
      <c r="M47" s="28" t="s">
        <v>1755</v>
      </c>
      <c r="N47" s="28" t="s">
        <v>326</v>
      </c>
      <c r="O47" s="28" t="s">
        <v>1756</v>
      </c>
      <c r="P47" s="29"/>
      <c r="Q47" s="17" t="s">
        <v>85</v>
      </c>
      <c r="R47" s="29" t="s">
        <v>1967</v>
      </c>
      <c r="S47" s="26"/>
      <c r="T47" s="19" t="s">
        <v>327</v>
      </c>
      <c r="U47" s="19" t="s">
        <v>855</v>
      </c>
      <c r="V47" s="26"/>
      <c r="W47" s="26"/>
      <c r="X47" s="20"/>
      <c r="Y47" s="20"/>
      <c r="Z47" s="20"/>
      <c r="AA47" s="20"/>
    </row>
    <row r="48" spans="1:27" ht="15.75" customHeight="1">
      <c r="A48" s="9" t="s">
        <v>71</v>
      </c>
      <c r="B48" s="10">
        <v>8</v>
      </c>
      <c r="C48" s="23" t="s">
        <v>321</v>
      </c>
      <c r="D48" s="32" t="s">
        <v>328</v>
      </c>
      <c r="E48" s="21" t="s">
        <v>329</v>
      </c>
      <c r="F48" s="165">
        <v>2</v>
      </c>
      <c r="G48" s="13" t="s">
        <v>1757</v>
      </c>
      <c r="H48" s="14"/>
      <c r="I48" s="14"/>
      <c r="J48" s="15" t="s">
        <v>330</v>
      </c>
      <c r="K48" s="15" t="s">
        <v>331</v>
      </c>
      <c r="L48" s="15" t="s">
        <v>1758</v>
      </c>
      <c r="M48" s="15" t="s">
        <v>332</v>
      </c>
      <c r="N48" s="15" t="s">
        <v>1759</v>
      </c>
      <c r="O48" s="15" t="s">
        <v>333</v>
      </c>
      <c r="P48" s="29"/>
      <c r="Q48" s="17" t="s">
        <v>102</v>
      </c>
      <c r="R48" s="29"/>
      <c r="S48" s="26"/>
      <c r="T48" s="19" t="s">
        <v>334</v>
      </c>
      <c r="U48" s="19"/>
      <c r="V48" s="26"/>
      <c r="W48" s="26"/>
      <c r="X48" s="20"/>
      <c r="Y48" s="20"/>
      <c r="Z48" s="20"/>
      <c r="AA48" s="20" t="s">
        <v>54</v>
      </c>
    </row>
    <row r="49" spans="1:27" ht="15.75" customHeight="1">
      <c r="A49" s="9" t="s">
        <v>71</v>
      </c>
      <c r="B49" s="10">
        <v>8</v>
      </c>
      <c r="C49" s="23" t="s">
        <v>321</v>
      </c>
      <c r="D49" s="32" t="s">
        <v>335</v>
      </c>
      <c r="E49" s="21" t="s">
        <v>336</v>
      </c>
      <c r="F49" s="165">
        <v>3</v>
      </c>
      <c r="G49" s="13" t="s">
        <v>337</v>
      </c>
      <c r="H49" s="26"/>
      <c r="I49" s="26"/>
      <c r="J49" s="15" t="s">
        <v>2040</v>
      </c>
      <c r="K49" s="15" t="s">
        <v>338</v>
      </c>
      <c r="L49" s="15" t="s">
        <v>339</v>
      </c>
      <c r="M49" s="15" t="s">
        <v>340</v>
      </c>
      <c r="N49" s="15" t="s">
        <v>341</v>
      </c>
      <c r="O49" s="15" t="s">
        <v>342</v>
      </c>
      <c r="P49" s="17" t="s">
        <v>60</v>
      </c>
      <c r="Q49" s="17" t="s">
        <v>29</v>
      </c>
      <c r="R49" s="29" t="s">
        <v>1968</v>
      </c>
      <c r="S49" s="26"/>
      <c r="T49" s="19" t="s">
        <v>343</v>
      </c>
      <c r="U49" s="19"/>
      <c r="V49" s="26"/>
      <c r="W49" s="26"/>
      <c r="X49" s="20"/>
      <c r="Y49" s="20"/>
      <c r="Z49" s="20"/>
      <c r="AA49" s="20"/>
    </row>
    <row r="50" spans="1:27" ht="15.75" customHeight="1">
      <c r="A50" s="9" t="s">
        <v>71</v>
      </c>
      <c r="B50" s="10">
        <v>9</v>
      </c>
      <c r="C50" s="23" t="s">
        <v>344</v>
      </c>
      <c r="D50" s="32" t="s">
        <v>345</v>
      </c>
      <c r="E50" s="13" t="s">
        <v>346</v>
      </c>
      <c r="F50" s="165">
        <v>2</v>
      </c>
      <c r="G50" s="13" t="s">
        <v>347</v>
      </c>
      <c r="H50" s="14"/>
      <c r="I50" s="14"/>
      <c r="J50" s="15" t="s">
        <v>2041</v>
      </c>
      <c r="K50" s="15" t="s">
        <v>348</v>
      </c>
      <c r="L50" s="37" t="s">
        <v>860</v>
      </c>
      <c r="M50" s="15" t="s">
        <v>1760</v>
      </c>
      <c r="N50" s="15" t="s">
        <v>1761</v>
      </c>
      <c r="O50" s="15" t="s">
        <v>349</v>
      </c>
      <c r="P50" s="29"/>
      <c r="Q50" s="17" t="s">
        <v>29</v>
      </c>
      <c r="R50" s="29" t="s">
        <v>1969</v>
      </c>
      <c r="S50" s="26" t="s">
        <v>350</v>
      </c>
      <c r="T50" s="19" t="s">
        <v>351</v>
      </c>
      <c r="U50" s="65" t="s">
        <v>881</v>
      </c>
      <c r="V50" s="26"/>
      <c r="W50" s="21" t="s">
        <v>48</v>
      </c>
      <c r="X50" s="20"/>
      <c r="Y50" s="20"/>
      <c r="Z50" s="20"/>
      <c r="AA50" s="20"/>
    </row>
    <row r="51" spans="1:27" ht="15.75" customHeight="1">
      <c r="A51" s="9" t="s">
        <v>71</v>
      </c>
      <c r="B51" s="10">
        <v>9</v>
      </c>
      <c r="C51" s="23" t="s">
        <v>344</v>
      </c>
      <c r="D51" s="32" t="s">
        <v>352</v>
      </c>
      <c r="E51" s="13" t="s">
        <v>353</v>
      </c>
      <c r="F51" s="165">
        <v>2</v>
      </c>
      <c r="G51" s="13" t="s">
        <v>354</v>
      </c>
      <c r="H51" s="14"/>
      <c r="I51" s="14"/>
      <c r="J51" s="15" t="s">
        <v>355</v>
      </c>
      <c r="K51" s="15" t="s">
        <v>356</v>
      </c>
      <c r="L51" s="15" t="s">
        <v>357</v>
      </c>
      <c r="M51" s="15" t="s">
        <v>358</v>
      </c>
      <c r="N51" s="15" t="s">
        <v>359</v>
      </c>
      <c r="O51" s="15" t="s">
        <v>1762</v>
      </c>
      <c r="P51" s="29"/>
      <c r="Q51" s="17" t="s">
        <v>29</v>
      </c>
      <c r="R51" s="29" t="s">
        <v>1970</v>
      </c>
      <c r="S51" s="26" t="s">
        <v>360</v>
      </c>
      <c r="T51" s="19" t="s">
        <v>361</v>
      </c>
      <c r="U51" s="19"/>
      <c r="V51" s="26"/>
      <c r="W51" s="21" t="s">
        <v>48</v>
      </c>
      <c r="X51" s="20" t="s">
        <v>54</v>
      </c>
      <c r="Y51" s="20"/>
      <c r="Z51" s="20"/>
      <c r="AA51" s="20" t="s">
        <v>54</v>
      </c>
    </row>
    <row r="52" spans="1:27" ht="15.75" customHeight="1">
      <c r="A52" s="9" t="s">
        <v>71</v>
      </c>
      <c r="B52" s="10">
        <v>9</v>
      </c>
      <c r="C52" s="23" t="s">
        <v>344</v>
      </c>
      <c r="D52" s="32" t="s">
        <v>362</v>
      </c>
      <c r="E52" s="21" t="s">
        <v>363</v>
      </c>
      <c r="F52" s="165">
        <v>3</v>
      </c>
      <c r="G52" s="13" t="s">
        <v>364</v>
      </c>
      <c r="H52" s="14"/>
      <c r="I52" s="14"/>
      <c r="J52" s="15" t="s">
        <v>365</v>
      </c>
      <c r="K52" s="15" t="s">
        <v>366</v>
      </c>
      <c r="L52" s="15" t="s">
        <v>1763</v>
      </c>
      <c r="M52" s="15" t="s">
        <v>367</v>
      </c>
      <c r="N52" s="15" t="s">
        <v>368</v>
      </c>
      <c r="O52" s="15" t="s">
        <v>369</v>
      </c>
      <c r="P52" s="29"/>
      <c r="Q52" s="17" t="s">
        <v>102</v>
      </c>
      <c r="R52" s="29" t="s">
        <v>1971</v>
      </c>
      <c r="S52" s="26" t="s">
        <v>370</v>
      </c>
      <c r="T52" s="19" t="s">
        <v>371</v>
      </c>
      <c r="U52" s="19"/>
      <c r="V52" s="26"/>
      <c r="W52" s="21" t="s">
        <v>48</v>
      </c>
      <c r="X52" s="20"/>
      <c r="Y52" s="20"/>
      <c r="Z52" s="20"/>
      <c r="AA52" s="20"/>
    </row>
    <row r="53" spans="1:27" ht="15.75" customHeight="1">
      <c r="A53" s="9" t="s">
        <v>71</v>
      </c>
      <c r="B53" s="10">
        <v>9</v>
      </c>
      <c r="C53" s="23" t="s">
        <v>344</v>
      </c>
      <c r="D53" s="32" t="s">
        <v>372</v>
      </c>
      <c r="E53" s="21" t="s">
        <v>373</v>
      </c>
      <c r="F53" s="165">
        <v>2</v>
      </c>
      <c r="G53" s="38" t="s">
        <v>374</v>
      </c>
      <c r="H53" s="14"/>
      <c r="I53" s="14"/>
      <c r="J53" s="15" t="s">
        <v>1764</v>
      </c>
      <c r="K53" s="15" t="s">
        <v>375</v>
      </c>
      <c r="L53" s="15" t="s">
        <v>376</v>
      </c>
      <c r="M53" s="15" t="s">
        <v>1765</v>
      </c>
      <c r="N53" s="15" t="s">
        <v>1766</v>
      </c>
      <c r="O53" s="15" t="s">
        <v>377</v>
      </c>
      <c r="P53" s="29"/>
      <c r="Q53" s="17" t="s">
        <v>85</v>
      </c>
      <c r="R53" s="29" t="s">
        <v>1972</v>
      </c>
      <c r="S53" s="26" t="s">
        <v>378</v>
      </c>
      <c r="T53" s="19" t="s">
        <v>379</v>
      </c>
      <c r="U53" s="65" t="s">
        <v>882</v>
      </c>
      <c r="V53" s="26" t="s">
        <v>54</v>
      </c>
      <c r="W53" s="21" t="s">
        <v>48</v>
      </c>
      <c r="X53" s="20"/>
      <c r="Y53" s="20"/>
      <c r="Z53" s="20"/>
      <c r="AA53" s="20"/>
    </row>
    <row r="54" spans="1:27" ht="15.75" customHeight="1">
      <c r="A54" s="9" t="s">
        <v>71</v>
      </c>
      <c r="B54" s="10">
        <v>9</v>
      </c>
      <c r="C54" s="23" t="s">
        <v>344</v>
      </c>
      <c r="D54" s="32" t="s">
        <v>380</v>
      </c>
      <c r="E54" s="13" t="s">
        <v>381</v>
      </c>
      <c r="F54" s="165">
        <v>4</v>
      </c>
      <c r="G54" s="13" t="s">
        <v>382</v>
      </c>
      <c r="H54" s="14"/>
      <c r="I54" s="14"/>
      <c r="J54" s="15" t="s">
        <v>383</v>
      </c>
      <c r="K54" s="15" t="s">
        <v>384</v>
      </c>
      <c r="L54" s="15" t="s">
        <v>385</v>
      </c>
      <c r="M54" s="15" t="s">
        <v>386</v>
      </c>
      <c r="N54" s="15" t="s">
        <v>387</v>
      </c>
      <c r="O54" s="15" t="s">
        <v>388</v>
      </c>
      <c r="P54" s="29"/>
      <c r="Q54" s="17" t="s">
        <v>92</v>
      </c>
      <c r="R54" s="29"/>
      <c r="S54" s="26"/>
      <c r="T54" s="19" t="s">
        <v>389</v>
      </c>
      <c r="U54" s="19"/>
      <c r="V54" s="26"/>
      <c r="W54" s="26"/>
      <c r="X54" s="20"/>
      <c r="Y54" s="20"/>
      <c r="Z54" s="20"/>
      <c r="AA54" s="20"/>
    </row>
    <row r="55" spans="1:27" ht="15.75" customHeight="1">
      <c r="A55" s="9" t="s">
        <v>71</v>
      </c>
      <c r="B55" s="10">
        <v>9</v>
      </c>
      <c r="C55" s="23" t="s">
        <v>344</v>
      </c>
      <c r="D55" s="32" t="s">
        <v>390</v>
      </c>
      <c r="E55" s="13" t="s">
        <v>391</v>
      </c>
      <c r="F55" s="165">
        <v>4</v>
      </c>
      <c r="G55" s="13" t="s">
        <v>392</v>
      </c>
      <c r="H55" s="14"/>
      <c r="I55" s="14"/>
      <c r="J55" s="15" t="s">
        <v>1767</v>
      </c>
      <c r="K55" s="15" t="s">
        <v>393</v>
      </c>
      <c r="L55" s="15" t="s">
        <v>394</v>
      </c>
      <c r="M55" s="28" t="s">
        <v>395</v>
      </c>
      <c r="N55" s="28" t="s">
        <v>396</v>
      </c>
      <c r="O55" s="28" t="s">
        <v>397</v>
      </c>
      <c r="P55" s="29"/>
      <c r="Q55" s="17" t="s">
        <v>92</v>
      </c>
      <c r="R55" s="29" t="s">
        <v>1973</v>
      </c>
      <c r="S55" s="26"/>
      <c r="T55" s="19" t="s">
        <v>389</v>
      </c>
      <c r="U55" s="47" t="s">
        <v>850</v>
      </c>
      <c r="V55" s="26"/>
      <c r="W55" s="26"/>
      <c r="X55" s="20"/>
      <c r="Y55" s="20"/>
      <c r="Z55" s="20"/>
      <c r="AA55" s="20"/>
    </row>
    <row r="56" spans="1:27" ht="15.75" customHeight="1">
      <c r="A56" s="9" t="s">
        <v>71</v>
      </c>
      <c r="B56" s="10">
        <v>9</v>
      </c>
      <c r="C56" s="23" t="s">
        <v>344</v>
      </c>
      <c r="D56" s="32" t="s">
        <v>398</v>
      </c>
      <c r="E56" s="21" t="s">
        <v>399</v>
      </c>
      <c r="F56" s="165">
        <v>3</v>
      </c>
      <c r="G56" s="39" t="s">
        <v>400</v>
      </c>
      <c r="H56" s="14"/>
      <c r="I56" s="14"/>
      <c r="J56" s="15" t="s">
        <v>401</v>
      </c>
      <c r="K56" s="15" t="s">
        <v>402</v>
      </c>
      <c r="L56" s="15" t="s">
        <v>403</v>
      </c>
      <c r="M56" s="15" t="s">
        <v>404</v>
      </c>
      <c r="N56" s="24" t="s">
        <v>405</v>
      </c>
      <c r="O56" s="24" t="s">
        <v>406</v>
      </c>
      <c r="P56" s="29"/>
      <c r="Q56" s="17" t="s">
        <v>407</v>
      </c>
      <c r="R56" s="29" t="s">
        <v>1974</v>
      </c>
      <c r="S56" s="26" t="s">
        <v>408</v>
      </c>
      <c r="T56" s="19" t="s">
        <v>409</v>
      </c>
      <c r="U56" s="19"/>
      <c r="V56" s="26"/>
      <c r="W56" s="21" t="s">
        <v>48</v>
      </c>
      <c r="X56" s="20"/>
      <c r="Y56" s="20"/>
      <c r="Z56" s="20"/>
      <c r="AA56" s="20"/>
    </row>
    <row r="57" spans="1:27" ht="15.75" customHeight="1">
      <c r="A57" s="9" t="s">
        <v>71</v>
      </c>
      <c r="B57" s="10">
        <v>9</v>
      </c>
      <c r="C57" s="23" t="s">
        <v>344</v>
      </c>
      <c r="D57" s="32" t="s">
        <v>410</v>
      </c>
      <c r="E57" s="13" t="s">
        <v>411</v>
      </c>
      <c r="F57" s="165">
        <v>4</v>
      </c>
      <c r="G57" s="39" t="s">
        <v>412</v>
      </c>
      <c r="H57" s="14"/>
      <c r="I57" s="14"/>
      <c r="J57" s="39" t="s">
        <v>2131</v>
      </c>
      <c r="K57" s="15" t="s">
        <v>413</v>
      </c>
      <c r="L57" s="15" t="s">
        <v>1768</v>
      </c>
      <c r="M57" s="15" t="s">
        <v>1769</v>
      </c>
      <c r="N57" s="15" t="s">
        <v>1770</v>
      </c>
      <c r="O57" s="15" t="s">
        <v>1771</v>
      </c>
      <c r="P57" s="29"/>
      <c r="Q57" s="17" t="s">
        <v>414</v>
      </c>
      <c r="R57" s="29"/>
      <c r="S57" s="26"/>
      <c r="T57" s="19" t="s">
        <v>389</v>
      </c>
      <c r="U57" s="19"/>
      <c r="V57" s="26"/>
      <c r="W57" s="26"/>
      <c r="X57" s="20"/>
      <c r="Y57" s="20"/>
      <c r="Z57" s="20"/>
      <c r="AA57" s="20"/>
    </row>
    <row r="58" spans="1:27" ht="15.75" customHeight="1">
      <c r="A58" s="9" t="s">
        <v>71</v>
      </c>
      <c r="B58" s="12">
        <v>9</v>
      </c>
      <c r="C58" s="23" t="s">
        <v>344</v>
      </c>
      <c r="D58" s="32" t="s">
        <v>415</v>
      </c>
      <c r="E58" s="21" t="s">
        <v>416</v>
      </c>
      <c r="F58" s="165">
        <v>1</v>
      </c>
      <c r="G58" s="21" t="s">
        <v>417</v>
      </c>
      <c r="H58" s="14"/>
      <c r="I58" s="14"/>
      <c r="J58" s="15" t="s">
        <v>1772</v>
      </c>
      <c r="K58" s="15" t="s">
        <v>418</v>
      </c>
      <c r="L58" s="15" t="s">
        <v>419</v>
      </c>
      <c r="M58" s="15" t="s">
        <v>1773</v>
      </c>
      <c r="N58" s="15" t="s">
        <v>1774</v>
      </c>
      <c r="O58" s="15" t="s">
        <v>420</v>
      </c>
      <c r="P58" s="29"/>
      <c r="Q58" s="17" t="s">
        <v>92</v>
      </c>
      <c r="R58" s="29" t="s">
        <v>1975</v>
      </c>
      <c r="S58" s="26" t="s">
        <v>421</v>
      </c>
      <c r="T58" s="19" t="s">
        <v>422</v>
      </c>
      <c r="U58" s="19"/>
      <c r="V58" s="26"/>
      <c r="W58" s="21" t="s">
        <v>48</v>
      </c>
      <c r="X58" s="20"/>
      <c r="Y58" s="20"/>
      <c r="Z58" s="20"/>
      <c r="AA58" s="20"/>
    </row>
    <row r="59" spans="1:27" ht="15.75" customHeight="1">
      <c r="A59" s="9" t="s">
        <v>71</v>
      </c>
      <c r="B59" s="10">
        <v>10</v>
      </c>
      <c r="C59" s="23" t="s">
        <v>423</v>
      </c>
      <c r="D59" s="12">
        <v>10.1</v>
      </c>
      <c r="E59" s="21" t="s">
        <v>805</v>
      </c>
      <c r="F59" s="165">
        <v>1</v>
      </c>
      <c r="G59" s="13" t="s">
        <v>424</v>
      </c>
      <c r="H59" s="14"/>
      <c r="I59" s="14"/>
      <c r="J59" s="15" t="s">
        <v>2042</v>
      </c>
      <c r="K59" s="15" t="s">
        <v>425</v>
      </c>
      <c r="L59" s="15" t="s">
        <v>1775</v>
      </c>
      <c r="M59" s="15" t="s">
        <v>1776</v>
      </c>
      <c r="N59" s="15" t="s">
        <v>1777</v>
      </c>
      <c r="O59" s="15" t="s">
        <v>426</v>
      </c>
      <c r="P59" s="29"/>
      <c r="Q59" s="17" t="s">
        <v>85</v>
      </c>
      <c r="R59" s="29" t="s">
        <v>1976</v>
      </c>
      <c r="S59" s="26" t="s">
        <v>427</v>
      </c>
      <c r="T59" s="19" t="s">
        <v>428</v>
      </c>
      <c r="U59" s="19" t="s">
        <v>864</v>
      </c>
      <c r="V59" s="26"/>
      <c r="W59" s="21" t="s">
        <v>48</v>
      </c>
      <c r="X59" s="20" t="s">
        <v>54</v>
      </c>
      <c r="Y59" s="20"/>
      <c r="Z59" s="20"/>
      <c r="AA59" s="20"/>
    </row>
    <row r="60" spans="1:27" ht="15.75" customHeight="1">
      <c r="A60" s="9" t="s">
        <v>71</v>
      </c>
      <c r="B60" s="10">
        <v>10</v>
      </c>
      <c r="C60" s="23" t="s">
        <v>423</v>
      </c>
      <c r="D60" s="12">
        <v>10.199999999999999</v>
      </c>
      <c r="E60" s="13" t="s">
        <v>848</v>
      </c>
      <c r="F60" s="165">
        <v>2</v>
      </c>
      <c r="G60" s="13" t="s">
        <v>847</v>
      </c>
      <c r="H60" s="14"/>
      <c r="I60" s="14"/>
      <c r="J60" s="15" t="s">
        <v>846</v>
      </c>
      <c r="K60" s="15" t="s">
        <v>845</v>
      </c>
      <c r="L60" s="15" t="s">
        <v>429</v>
      </c>
      <c r="M60" s="15" t="s">
        <v>1778</v>
      </c>
      <c r="N60" s="15" t="s">
        <v>430</v>
      </c>
      <c r="O60" s="15" t="s">
        <v>431</v>
      </c>
      <c r="P60" s="29"/>
      <c r="Q60" s="17" t="s">
        <v>29</v>
      </c>
      <c r="R60" s="29" t="s">
        <v>1977</v>
      </c>
      <c r="S60" s="26" t="s">
        <v>432</v>
      </c>
      <c r="T60" s="19" t="s">
        <v>433</v>
      </c>
      <c r="U60" s="19" t="s">
        <v>844</v>
      </c>
      <c r="V60" s="26" t="s">
        <v>54</v>
      </c>
      <c r="W60" s="21" t="s">
        <v>48</v>
      </c>
      <c r="X60" s="20" t="s">
        <v>54</v>
      </c>
      <c r="Y60" s="20"/>
      <c r="Z60" s="20"/>
      <c r="AA60" s="20"/>
    </row>
    <row r="61" spans="1:27" ht="15.75" customHeight="1">
      <c r="A61" s="9" t="s">
        <v>71</v>
      </c>
      <c r="B61" s="10">
        <v>10</v>
      </c>
      <c r="C61" s="23" t="s">
        <v>423</v>
      </c>
      <c r="D61" s="12">
        <v>10.3</v>
      </c>
      <c r="E61" s="13" t="s">
        <v>434</v>
      </c>
      <c r="F61" s="165">
        <v>2</v>
      </c>
      <c r="G61" s="39" t="s">
        <v>435</v>
      </c>
      <c r="H61" s="14"/>
      <c r="I61" s="14"/>
      <c r="J61" s="15" t="s">
        <v>1779</v>
      </c>
      <c r="K61" s="15" t="s">
        <v>436</v>
      </c>
      <c r="L61" s="15" t="s">
        <v>437</v>
      </c>
      <c r="M61" s="15" t="s">
        <v>438</v>
      </c>
      <c r="N61" s="15" t="s">
        <v>439</v>
      </c>
      <c r="O61" s="15" t="s">
        <v>440</v>
      </c>
      <c r="P61" s="29"/>
      <c r="Q61" s="17" t="s">
        <v>29</v>
      </c>
      <c r="R61" s="29" t="s">
        <v>1978</v>
      </c>
      <c r="S61" s="26"/>
      <c r="T61" s="19" t="s">
        <v>433</v>
      </c>
      <c r="U61" s="19"/>
      <c r="V61" s="26"/>
      <c r="W61" s="26"/>
      <c r="X61" s="20"/>
      <c r="Y61" s="20" t="s">
        <v>54</v>
      </c>
      <c r="Z61" s="20"/>
      <c r="AA61" s="20"/>
    </row>
    <row r="62" spans="1:27" ht="15.75" customHeight="1">
      <c r="A62" s="9" t="s">
        <v>71</v>
      </c>
      <c r="B62" s="10">
        <v>11</v>
      </c>
      <c r="C62" s="41" t="s">
        <v>441</v>
      </c>
      <c r="D62" s="42" t="s">
        <v>442</v>
      </c>
      <c r="E62" s="38" t="s">
        <v>443</v>
      </c>
      <c r="F62" s="162">
        <v>3</v>
      </c>
      <c r="G62" s="38" t="s">
        <v>444</v>
      </c>
      <c r="H62" s="14"/>
      <c r="I62" s="14"/>
      <c r="J62" s="15" t="s">
        <v>1780</v>
      </c>
      <c r="K62" s="15" t="s">
        <v>445</v>
      </c>
      <c r="L62" s="15" t="s">
        <v>446</v>
      </c>
      <c r="M62" s="15" t="s">
        <v>447</v>
      </c>
      <c r="N62" s="15" t="s">
        <v>448</v>
      </c>
      <c r="O62" s="15" t="s">
        <v>449</v>
      </c>
      <c r="P62" s="17" t="s">
        <v>60</v>
      </c>
      <c r="Q62" s="17" t="s">
        <v>29</v>
      </c>
      <c r="R62" s="29" t="s">
        <v>1979</v>
      </c>
      <c r="S62" s="26" t="s">
        <v>450</v>
      </c>
      <c r="T62" s="19" t="s">
        <v>451</v>
      </c>
      <c r="U62" s="19"/>
      <c r="V62" s="26"/>
      <c r="W62" s="21" t="s">
        <v>48</v>
      </c>
      <c r="X62" s="20"/>
      <c r="Y62" s="20"/>
      <c r="Z62" s="20"/>
      <c r="AA62" s="20"/>
    </row>
    <row r="63" spans="1:27" ht="409.5">
      <c r="A63" s="9" t="s">
        <v>71</v>
      </c>
      <c r="B63" s="10">
        <v>11</v>
      </c>
      <c r="C63" s="43" t="s">
        <v>441</v>
      </c>
      <c r="D63" s="42" t="s">
        <v>452</v>
      </c>
      <c r="E63" s="39" t="s">
        <v>453</v>
      </c>
      <c r="F63" s="162">
        <v>3</v>
      </c>
      <c r="G63" s="38" t="s">
        <v>454</v>
      </c>
      <c r="H63" s="14"/>
      <c r="I63" s="14"/>
      <c r="J63" s="15" t="s">
        <v>1781</v>
      </c>
      <c r="K63" s="15" t="s">
        <v>455</v>
      </c>
      <c r="L63" s="44" t="s">
        <v>2122</v>
      </c>
      <c r="M63" s="15" t="s">
        <v>2123</v>
      </c>
      <c r="N63" s="15" t="s">
        <v>2124</v>
      </c>
      <c r="O63" s="15" t="s">
        <v>2125</v>
      </c>
      <c r="P63" s="17" t="s">
        <v>60</v>
      </c>
      <c r="Q63" s="17" t="s">
        <v>102</v>
      </c>
      <c r="R63" s="29" t="s">
        <v>1980</v>
      </c>
      <c r="S63" s="26" t="s">
        <v>456</v>
      </c>
      <c r="T63" s="19" t="s">
        <v>111</v>
      </c>
      <c r="U63" s="19"/>
      <c r="V63" s="26"/>
      <c r="W63" s="21" t="s">
        <v>48</v>
      </c>
      <c r="X63" s="20"/>
      <c r="Y63" s="20"/>
      <c r="Z63" s="20"/>
      <c r="AA63" s="20"/>
    </row>
    <row r="64" spans="1:27" ht="409.5">
      <c r="A64" s="9" t="s">
        <v>71</v>
      </c>
      <c r="B64" s="10">
        <v>11</v>
      </c>
      <c r="C64" s="43" t="s">
        <v>441</v>
      </c>
      <c r="D64" s="42" t="s">
        <v>457</v>
      </c>
      <c r="E64" s="38" t="s">
        <v>458</v>
      </c>
      <c r="F64" s="162">
        <v>2</v>
      </c>
      <c r="G64" s="38" t="s">
        <v>459</v>
      </c>
      <c r="H64" s="14"/>
      <c r="I64" s="14"/>
      <c r="J64" s="15" t="s">
        <v>460</v>
      </c>
      <c r="K64" s="15" t="s">
        <v>461</v>
      </c>
      <c r="L64" s="44" t="s">
        <v>2110</v>
      </c>
      <c r="M64" s="15" t="s">
        <v>2113</v>
      </c>
      <c r="N64" s="15" t="s">
        <v>2111</v>
      </c>
      <c r="O64" s="15" t="s">
        <v>2112</v>
      </c>
      <c r="P64" s="45"/>
      <c r="Q64" s="45" t="s">
        <v>92</v>
      </c>
      <c r="R64" s="29" t="s">
        <v>1981</v>
      </c>
      <c r="S64" s="39" t="s">
        <v>462</v>
      </c>
      <c r="T64" s="19" t="s">
        <v>463</v>
      </c>
      <c r="U64" s="19"/>
      <c r="V64" s="39"/>
      <c r="W64" s="39" t="s">
        <v>48</v>
      </c>
      <c r="X64" s="20"/>
      <c r="Y64" s="20"/>
      <c r="Z64" s="20"/>
      <c r="AA64" s="20"/>
    </row>
    <row r="65" spans="1:27" ht="15.75" customHeight="1">
      <c r="A65" s="9" t="s">
        <v>71</v>
      </c>
      <c r="B65" s="10">
        <v>11</v>
      </c>
      <c r="C65" s="43" t="s">
        <v>441</v>
      </c>
      <c r="D65" s="42" t="s">
        <v>464</v>
      </c>
      <c r="E65" s="39" t="s">
        <v>465</v>
      </c>
      <c r="F65" s="162">
        <v>2</v>
      </c>
      <c r="G65" s="38" t="s">
        <v>466</v>
      </c>
      <c r="H65" s="14"/>
      <c r="I65" s="14"/>
      <c r="J65" s="15" t="s">
        <v>467</v>
      </c>
      <c r="K65" s="15" t="s">
        <v>468</v>
      </c>
      <c r="L65" s="15" t="s">
        <v>469</v>
      </c>
      <c r="M65" s="15" t="s">
        <v>470</v>
      </c>
      <c r="N65" s="15" t="s">
        <v>471</v>
      </c>
      <c r="O65" s="15" t="s">
        <v>472</v>
      </c>
      <c r="P65" s="45"/>
      <c r="Q65" s="45" t="s">
        <v>92</v>
      </c>
      <c r="R65" s="29" t="s">
        <v>1982</v>
      </c>
      <c r="S65" s="39"/>
      <c r="T65" s="19"/>
      <c r="U65" s="19" t="s">
        <v>852</v>
      </c>
      <c r="V65" s="18"/>
      <c r="W65" s="39" t="s">
        <v>48</v>
      </c>
      <c r="X65" s="20"/>
      <c r="Y65" s="20"/>
      <c r="Z65" s="20"/>
      <c r="AA65" s="20"/>
    </row>
    <row r="66" spans="1:27" ht="15.75" customHeight="1">
      <c r="A66" s="9" t="s">
        <v>71</v>
      </c>
      <c r="B66" s="10">
        <v>11</v>
      </c>
      <c r="C66" s="43" t="s">
        <v>441</v>
      </c>
      <c r="D66" s="42" t="s">
        <v>473</v>
      </c>
      <c r="E66" s="38" t="s">
        <v>474</v>
      </c>
      <c r="F66" s="162">
        <v>2</v>
      </c>
      <c r="G66" s="38" t="s">
        <v>1925</v>
      </c>
      <c r="H66" s="14"/>
      <c r="I66" s="14"/>
      <c r="J66" s="15" t="s">
        <v>1782</v>
      </c>
      <c r="K66" s="15" t="s">
        <v>475</v>
      </c>
      <c r="L66" s="15" t="s">
        <v>476</v>
      </c>
      <c r="M66" s="15" t="s">
        <v>477</v>
      </c>
      <c r="N66" s="15" t="s">
        <v>478</v>
      </c>
      <c r="O66" s="15" t="s">
        <v>479</v>
      </c>
      <c r="P66" s="45"/>
      <c r="Q66" s="45" t="s">
        <v>92</v>
      </c>
      <c r="R66" s="29"/>
      <c r="S66" s="39" t="s">
        <v>480</v>
      </c>
      <c r="T66" s="19"/>
      <c r="U66" s="19"/>
      <c r="V66" s="39"/>
      <c r="W66" s="39" t="s">
        <v>48</v>
      </c>
      <c r="X66" s="20"/>
      <c r="Y66" s="20"/>
      <c r="Z66" s="20"/>
      <c r="AA66" s="20"/>
    </row>
    <row r="67" spans="1:27" ht="138" customHeight="1">
      <c r="A67" s="9" t="s">
        <v>71</v>
      </c>
      <c r="B67" s="10">
        <v>11</v>
      </c>
      <c r="C67" s="43" t="s">
        <v>441</v>
      </c>
      <c r="D67" s="42" t="s">
        <v>481</v>
      </c>
      <c r="E67" s="21" t="s">
        <v>482</v>
      </c>
      <c r="F67" s="165">
        <v>3</v>
      </c>
      <c r="G67" s="13" t="s">
        <v>483</v>
      </c>
      <c r="H67" s="14"/>
      <c r="I67" s="14"/>
      <c r="J67" s="15" t="s">
        <v>1783</v>
      </c>
      <c r="K67" s="15" t="s">
        <v>484</v>
      </c>
      <c r="L67" s="15" t="s">
        <v>1784</v>
      </c>
      <c r="M67" s="15" t="s">
        <v>485</v>
      </c>
      <c r="N67" s="15" t="s">
        <v>1785</v>
      </c>
      <c r="O67" s="15" t="s">
        <v>486</v>
      </c>
      <c r="P67" s="29"/>
      <c r="Q67" s="17" t="s">
        <v>487</v>
      </c>
      <c r="R67" s="29"/>
      <c r="S67" s="26"/>
      <c r="T67" s="19"/>
      <c r="U67" s="19"/>
      <c r="V67" s="26"/>
      <c r="W67" s="26"/>
      <c r="X67" s="20"/>
      <c r="Y67" s="20"/>
      <c r="Z67" s="20"/>
      <c r="AA67" s="20"/>
    </row>
    <row r="68" spans="1:27" ht="409.5">
      <c r="A68" s="9" t="s">
        <v>71</v>
      </c>
      <c r="B68" s="10">
        <v>12</v>
      </c>
      <c r="C68" s="43" t="s">
        <v>488</v>
      </c>
      <c r="D68" s="42" t="s">
        <v>489</v>
      </c>
      <c r="E68" s="13" t="s">
        <v>490</v>
      </c>
      <c r="F68" s="162">
        <v>2</v>
      </c>
      <c r="G68" s="38" t="s">
        <v>491</v>
      </c>
      <c r="H68" s="14"/>
      <c r="I68" s="14"/>
      <c r="J68" s="15" t="s">
        <v>492</v>
      </c>
      <c r="K68" s="15" t="s">
        <v>493</v>
      </c>
      <c r="L68" s="15" t="s">
        <v>2074</v>
      </c>
      <c r="M68" s="15" t="s">
        <v>2075</v>
      </c>
      <c r="N68" s="15" t="s">
        <v>2073</v>
      </c>
      <c r="O68" s="15" t="s">
        <v>2072</v>
      </c>
      <c r="P68" s="45" t="s">
        <v>60</v>
      </c>
      <c r="Q68" s="45" t="s">
        <v>29</v>
      </c>
      <c r="R68" s="29" t="s">
        <v>1983</v>
      </c>
      <c r="S68" s="46" t="s">
        <v>494</v>
      </c>
      <c r="T68" s="19" t="s">
        <v>495</v>
      </c>
      <c r="U68" s="19" t="s">
        <v>874</v>
      </c>
      <c r="V68" s="18" t="s">
        <v>54</v>
      </c>
      <c r="W68" s="39" t="s">
        <v>48</v>
      </c>
      <c r="X68" s="20"/>
      <c r="Y68" s="20"/>
      <c r="Z68" s="20" t="s">
        <v>54</v>
      </c>
      <c r="AA68" s="20"/>
    </row>
    <row r="69" spans="1:27" ht="409.5">
      <c r="A69" s="9" t="s">
        <v>71</v>
      </c>
      <c r="B69" s="10">
        <v>12</v>
      </c>
      <c r="C69" s="43" t="s">
        <v>488</v>
      </c>
      <c r="D69" s="42">
        <v>12.2</v>
      </c>
      <c r="E69" s="21" t="s">
        <v>496</v>
      </c>
      <c r="F69" s="162">
        <v>2</v>
      </c>
      <c r="G69" s="39" t="s">
        <v>497</v>
      </c>
      <c r="H69" s="14"/>
      <c r="I69" s="14"/>
      <c r="J69" s="15" t="s">
        <v>1786</v>
      </c>
      <c r="K69" s="15" t="s">
        <v>498</v>
      </c>
      <c r="L69" s="15" t="s">
        <v>1787</v>
      </c>
      <c r="M69" s="15" t="s">
        <v>1788</v>
      </c>
      <c r="N69" s="15" t="s">
        <v>1789</v>
      </c>
      <c r="O69" s="15" t="s">
        <v>1790</v>
      </c>
      <c r="P69" s="45"/>
      <c r="Q69" s="45" t="s">
        <v>92</v>
      </c>
      <c r="R69" s="29" t="s">
        <v>1984</v>
      </c>
      <c r="S69" s="46" t="s">
        <v>499</v>
      </c>
      <c r="T69" s="19" t="s">
        <v>500</v>
      </c>
      <c r="U69" s="19" t="s">
        <v>872</v>
      </c>
      <c r="V69" s="18" t="s">
        <v>501</v>
      </c>
      <c r="W69" s="39" t="s">
        <v>48</v>
      </c>
      <c r="X69" s="20"/>
      <c r="Y69" s="20"/>
      <c r="Z69" s="20" t="s">
        <v>54</v>
      </c>
      <c r="AA69" s="20"/>
    </row>
    <row r="70" spans="1:27" ht="15.75" customHeight="1">
      <c r="A70" s="9" t="s">
        <v>71</v>
      </c>
      <c r="B70" s="10">
        <v>12</v>
      </c>
      <c r="C70" s="43" t="s">
        <v>488</v>
      </c>
      <c r="D70" s="42" t="s">
        <v>502</v>
      </c>
      <c r="E70" s="21" t="s">
        <v>503</v>
      </c>
      <c r="F70" s="162">
        <v>1</v>
      </c>
      <c r="G70" s="39" t="s">
        <v>504</v>
      </c>
      <c r="H70" s="14"/>
      <c r="I70" s="14"/>
      <c r="J70" s="39" t="s">
        <v>2052</v>
      </c>
      <c r="K70" s="15" t="s">
        <v>505</v>
      </c>
      <c r="L70" s="15" t="s">
        <v>1791</v>
      </c>
      <c r="M70" s="15" t="s">
        <v>1792</v>
      </c>
      <c r="N70" s="15" t="s">
        <v>1793</v>
      </c>
      <c r="O70" s="15" t="s">
        <v>1794</v>
      </c>
      <c r="P70" s="45"/>
      <c r="Q70" s="45" t="s">
        <v>85</v>
      </c>
      <c r="R70" s="29" t="s">
        <v>1985</v>
      </c>
      <c r="S70" s="46" t="s">
        <v>506</v>
      </c>
      <c r="T70" s="19" t="s">
        <v>507</v>
      </c>
      <c r="U70" s="47" t="s">
        <v>870</v>
      </c>
      <c r="V70" s="18"/>
      <c r="W70" s="39" t="s">
        <v>48</v>
      </c>
      <c r="X70" s="20"/>
      <c r="Y70" s="20"/>
      <c r="Z70" s="20"/>
      <c r="AA70" s="20"/>
    </row>
    <row r="71" spans="1:27" ht="15.75" customHeight="1">
      <c r="A71" s="9" t="s">
        <v>71</v>
      </c>
      <c r="B71" s="10">
        <v>12</v>
      </c>
      <c r="C71" s="43" t="s">
        <v>488</v>
      </c>
      <c r="D71" s="42" t="s">
        <v>508</v>
      </c>
      <c r="E71" s="21" t="s">
        <v>509</v>
      </c>
      <c r="F71" s="162">
        <v>1</v>
      </c>
      <c r="G71" s="39" t="s">
        <v>510</v>
      </c>
      <c r="H71" s="14"/>
      <c r="I71" s="14"/>
      <c r="J71" s="15" t="s">
        <v>2053</v>
      </c>
      <c r="K71" s="15" t="s">
        <v>511</v>
      </c>
      <c r="L71" s="15" t="s">
        <v>1795</v>
      </c>
      <c r="M71" s="15" t="s">
        <v>1796</v>
      </c>
      <c r="N71" s="15" t="s">
        <v>1797</v>
      </c>
      <c r="O71" s="15" t="s">
        <v>512</v>
      </c>
      <c r="P71" s="45"/>
      <c r="Q71" s="45"/>
      <c r="R71" s="29" t="s">
        <v>1986</v>
      </c>
      <c r="S71" s="46"/>
      <c r="T71" s="19" t="s">
        <v>513</v>
      </c>
      <c r="U71" s="19" t="s">
        <v>858</v>
      </c>
      <c r="V71" s="18"/>
      <c r="W71" s="39"/>
      <c r="X71" s="20"/>
      <c r="Y71" s="20" t="s">
        <v>54</v>
      </c>
      <c r="Z71" s="20"/>
      <c r="AA71" s="20"/>
    </row>
    <row r="72" spans="1:27" ht="15.75" customHeight="1">
      <c r="A72" s="9" t="s">
        <v>71</v>
      </c>
      <c r="B72" s="10">
        <v>12</v>
      </c>
      <c r="C72" s="43" t="s">
        <v>488</v>
      </c>
      <c r="D72" s="42" t="s">
        <v>514</v>
      </c>
      <c r="E72" s="21" t="s">
        <v>515</v>
      </c>
      <c r="F72" s="162">
        <v>3</v>
      </c>
      <c r="G72" s="39" t="s">
        <v>516</v>
      </c>
      <c r="H72" s="14"/>
      <c r="I72" s="14"/>
      <c r="J72" s="15" t="s">
        <v>2031</v>
      </c>
      <c r="K72" s="15" t="s">
        <v>517</v>
      </c>
      <c r="L72" s="15" t="s">
        <v>1798</v>
      </c>
      <c r="M72" s="15" t="s">
        <v>1799</v>
      </c>
      <c r="N72" s="40" t="s">
        <v>2132</v>
      </c>
      <c r="O72" s="15" t="s">
        <v>1800</v>
      </c>
      <c r="P72" s="29"/>
      <c r="Q72" s="17" t="s">
        <v>92</v>
      </c>
      <c r="R72" s="29"/>
      <c r="S72" s="26"/>
      <c r="T72" s="19" t="s">
        <v>518</v>
      </c>
      <c r="U72" s="19"/>
      <c r="V72" s="26"/>
      <c r="W72" s="26"/>
      <c r="X72" s="20"/>
      <c r="Y72" s="20"/>
      <c r="Z72" s="20"/>
      <c r="AA72" s="20"/>
    </row>
    <row r="73" spans="1:27" ht="409.5">
      <c r="A73" s="9" t="s">
        <v>71</v>
      </c>
      <c r="B73" s="10">
        <v>12</v>
      </c>
      <c r="C73" s="43" t="s">
        <v>488</v>
      </c>
      <c r="D73" s="42" t="s">
        <v>519</v>
      </c>
      <c r="E73" s="21" t="s">
        <v>520</v>
      </c>
      <c r="F73" s="165">
        <v>1</v>
      </c>
      <c r="G73" s="13" t="s">
        <v>521</v>
      </c>
      <c r="H73" s="14"/>
      <c r="I73" s="14"/>
      <c r="J73" s="15" t="s">
        <v>2133</v>
      </c>
      <c r="K73" s="15" t="s">
        <v>806</v>
      </c>
      <c r="L73" s="15" t="s">
        <v>1801</v>
      </c>
      <c r="M73" s="15" t="s">
        <v>807</v>
      </c>
      <c r="N73" s="15" t="s">
        <v>1802</v>
      </c>
      <c r="O73" s="15" t="s">
        <v>1803</v>
      </c>
      <c r="P73" s="29"/>
      <c r="Q73" s="17" t="s">
        <v>92</v>
      </c>
      <c r="R73" s="29" t="s">
        <v>1987</v>
      </c>
      <c r="S73" s="26"/>
      <c r="T73" s="19" t="s">
        <v>518</v>
      </c>
      <c r="U73" s="19"/>
      <c r="V73" s="26"/>
      <c r="W73" s="26"/>
      <c r="X73" s="20"/>
      <c r="Y73" s="20"/>
      <c r="Z73" s="20"/>
      <c r="AA73" s="20"/>
    </row>
    <row r="74" spans="1:27" ht="15.75" customHeight="1">
      <c r="A74" s="9" t="s">
        <v>71</v>
      </c>
      <c r="B74" s="10">
        <v>12</v>
      </c>
      <c r="C74" s="43" t="s">
        <v>488</v>
      </c>
      <c r="D74" s="42" t="s">
        <v>522</v>
      </c>
      <c r="E74" s="38" t="s">
        <v>523</v>
      </c>
      <c r="F74" s="165">
        <v>3</v>
      </c>
      <c r="G74" s="13" t="s">
        <v>524</v>
      </c>
      <c r="H74" s="14"/>
      <c r="I74" s="14"/>
      <c r="J74" s="15" t="s">
        <v>1804</v>
      </c>
      <c r="K74" s="15" t="s">
        <v>525</v>
      </c>
      <c r="L74" s="15" t="s">
        <v>1805</v>
      </c>
      <c r="M74" s="15" t="s">
        <v>1806</v>
      </c>
      <c r="N74" s="15" t="s">
        <v>1807</v>
      </c>
      <c r="O74" s="15" t="s">
        <v>1808</v>
      </c>
      <c r="P74" s="29"/>
      <c r="Q74" s="17" t="s">
        <v>92</v>
      </c>
      <c r="R74" s="29"/>
      <c r="S74" s="26"/>
      <c r="T74" s="19" t="s">
        <v>526</v>
      </c>
      <c r="U74" s="19"/>
      <c r="V74" s="26"/>
      <c r="W74" s="26"/>
      <c r="X74" s="20"/>
      <c r="Y74" s="20"/>
      <c r="Z74" s="20"/>
      <c r="AA74" s="20"/>
    </row>
    <row r="75" spans="1:27" ht="409.5">
      <c r="A75" s="9" t="s">
        <v>71</v>
      </c>
      <c r="B75" s="10">
        <v>12</v>
      </c>
      <c r="C75" s="43" t="s">
        <v>488</v>
      </c>
      <c r="D75" s="42" t="s">
        <v>527</v>
      </c>
      <c r="E75" s="21" t="s">
        <v>528</v>
      </c>
      <c r="F75" s="165">
        <v>2</v>
      </c>
      <c r="G75" s="21" t="s">
        <v>529</v>
      </c>
      <c r="H75" s="14"/>
      <c r="I75" s="14"/>
      <c r="J75" s="15" t="s">
        <v>1809</v>
      </c>
      <c r="K75" s="15" t="s">
        <v>530</v>
      </c>
      <c r="L75" s="15" t="s">
        <v>2117</v>
      </c>
      <c r="M75" s="15" t="s">
        <v>2114</v>
      </c>
      <c r="N75" s="15" t="s">
        <v>2115</v>
      </c>
      <c r="O75" s="15" t="s">
        <v>2116</v>
      </c>
      <c r="P75" s="29"/>
      <c r="Q75" s="17" t="s">
        <v>92</v>
      </c>
      <c r="R75" s="29" t="s">
        <v>1988</v>
      </c>
      <c r="S75" s="26"/>
      <c r="T75" s="19" t="s">
        <v>202</v>
      </c>
      <c r="U75" s="19"/>
      <c r="V75" s="26"/>
      <c r="W75" s="26"/>
      <c r="X75" s="20"/>
      <c r="Y75" s="20"/>
      <c r="Z75" s="20"/>
      <c r="AA75" s="20"/>
    </row>
    <row r="76" spans="1:27" ht="15.75" customHeight="1">
      <c r="A76" s="9" t="s">
        <v>71</v>
      </c>
      <c r="B76" s="10">
        <v>12</v>
      </c>
      <c r="C76" s="43" t="s">
        <v>488</v>
      </c>
      <c r="D76" s="42" t="s">
        <v>531</v>
      </c>
      <c r="E76" s="21" t="s">
        <v>532</v>
      </c>
      <c r="F76" s="165">
        <v>1</v>
      </c>
      <c r="G76" s="13" t="s">
        <v>533</v>
      </c>
      <c r="H76" s="14"/>
      <c r="I76" s="14"/>
      <c r="J76" s="15" t="s">
        <v>534</v>
      </c>
      <c r="K76" s="15" t="s">
        <v>1810</v>
      </c>
      <c r="L76" s="15" t="s">
        <v>1811</v>
      </c>
      <c r="M76" s="15" t="s">
        <v>1812</v>
      </c>
      <c r="N76" s="15" t="s">
        <v>1813</v>
      </c>
      <c r="O76" s="15" t="s">
        <v>535</v>
      </c>
      <c r="P76" s="29"/>
      <c r="Q76" s="17" t="s">
        <v>92</v>
      </c>
      <c r="R76" s="29" t="s">
        <v>1989</v>
      </c>
      <c r="S76" s="26"/>
      <c r="T76" s="19" t="s">
        <v>536</v>
      </c>
      <c r="U76" s="19" t="s">
        <v>879</v>
      </c>
      <c r="V76" s="26"/>
      <c r="W76" s="26"/>
      <c r="X76" s="20"/>
      <c r="Y76" s="20"/>
      <c r="Z76" s="20"/>
      <c r="AA76" s="20"/>
    </row>
    <row r="77" spans="1:27" ht="409.5">
      <c r="A77" s="9" t="s">
        <v>71</v>
      </c>
      <c r="B77" s="10">
        <v>12</v>
      </c>
      <c r="C77" s="43" t="s">
        <v>488</v>
      </c>
      <c r="D77" s="42" t="s">
        <v>537</v>
      </c>
      <c r="E77" s="13" t="s">
        <v>538</v>
      </c>
      <c r="F77" s="165">
        <v>2</v>
      </c>
      <c r="G77" s="21" t="s">
        <v>539</v>
      </c>
      <c r="H77" s="14"/>
      <c r="I77" s="14"/>
      <c r="J77" s="15" t="s">
        <v>837</v>
      </c>
      <c r="K77" s="15" t="s">
        <v>835</v>
      </c>
      <c r="L77" s="15" t="s">
        <v>1814</v>
      </c>
      <c r="M77" s="15" t="s">
        <v>1815</v>
      </c>
      <c r="N77" s="15" t="s">
        <v>1816</v>
      </c>
      <c r="O77" s="15" t="s">
        <v>1817</v>
      </c>
      <c r="P77" s="29"/>
      <c r="Q77" s="17" t="s">
        <v>92</v>
      </c>
      <c r="R77" s="29" t="s">
        <v>1990</v>
      </c>
      <c r="S77" s="26"/>
      <c r="T77" s="19" t="s">
        <v>540</v>
      </c>
      <c r="U77" s="19"/>
      <c r="V77" s="26" t="s">
        <v>872</v>
      </c>
      <c r="W77" s="26"/>
      <c r="X77" s="20"/>
      <c r="Y77" s="20"/>
      <c r="Z77" s="20"/>
      <c r="AA77" s="20"/>
    </row>
    <row r="78" spans="1:27" ht="362.25">
      <c r="A78" s="9" t="s">
        <v>71</v>
      </c>
      <c r="B78" s="10">
        <v>12</v>
      </c>
      <c r="C78" s="43" t="s">
        <v>488</v>
      </c>
      <c r="D78" s="42" t="s">
        <v>541</v>
      </c>
      <c r="E78" s="21" t="s">
        <v>542</v>
      </c>
      <c r="F78" s="165">
        <v>1</v>
      </c>
      <c r="G78" s="13" t="s">
        <v>543</v>
      </c>
      <c r="H78" s="14"/>
      <c r="I78" s="14"/>
      <c r="J78" s="15" t="s">
        <v>544</v>
      </c>
      <c r="K78" s="15" t="s">
        <v>2129</v>
      </c>
      <c r="L78" s="15" t="s">
        <v>1818</v>
      </c>
      <c r="M78" s="15" t="s">
        <v>2128</v>
      </c>
      <c r="N78" s="15" t="s">
        <v>2126</v>
      </c>
      <c r="O78" s="15" t="s">
        <v>2127</v>
      </c>
      <c r="P78" s="29"/>
      <c r="Q78" s="17" t="s">
        <v>92</v>
      </c>
      <c r="R78" s="29"/>
      <c r="S78" s="26"/>
      <c r="T78" s="19" t="s">
        <v>536</v>
      </c>
      <c r="U78" s="19" t="s">
        <v>853</v>
      </c>
      <c r="V78" s="26" t="s">
        <v>872</v>
      </c>
      <c r="W78" s="26"/>
      <c r="X78" s="20"/>
      <c r="Y78" s="20" t="s">
        <v>54</v>
      </c>
      <c r="Z78" s="20"/>
      <c r="AA78" s="20" t="s">
        <v>54</v>
      </c>
    </row>
    <row r="79" spans="1:27" ht="409.5">
      <c r="A79" s="9" t="s">
        <v>71</v>
      </c>
      <c r="B79" s="10">
        <v>12</v>
      </c>
      <c r="C79" s="43" t="s">
        <v>488</v>
      </c>
      <c r="D79" s="27" t="s">
        <v>545</v>
      </c>
      <c r="E79" s="21" t="s">
        <v>546</v>
      </c>
      <c r="F79" s="165">
        <v>1</v>
      </c>
      <c r="G79" s="21" t="s">
        <v>547</v>
      </c>
      <c r="H79" s="14"/>
      <c r="I79" s="14"/>
      <c r="J79" s="15" t="s">
        <v>1819</v>
      </c>
      <c r="K79" s="15" t="s">
        <v>2104</v>
      </c>
      <c r="L79" s="15" t="s">
        <v>2100</v>
      </c>
      <c r="M79" s="15" t="s">
        <v>2101</v>
      </c>
      <c r="N79" s="15" t="s">
        <v>2102</v>
      </c>
      <c r="O79" s="15" t="s">
        <v>2103</v>
      </c>
      <c r="P79" s="29"/>
      <c r="Q79" s="17" t="s">
        <v>92</v>
      </c>
      <c r="R79" s="29" t="s">
        <v>1991</v>
      </c>
      <c r="S79" s="26"/>
      <c r="T79" s="19" t="s">
        <v>548</v>
      </c>
      <c r="U79" s="19" t="s">
        <v>873</v>
      </c>
      <c r="V79" s="26"/>
      <c r="W79" s="26"/>
      <c r="X79" s="20"/>
      <c r="Y79" s="20"/>
      <c r="Z79" s="20"/>
      <c r="AA79" s="20"/>
    </row>
    <row r="80" spans="1:27" ht="15.75" customHeight="1">
      <c r="A80" s="9" t="s">
        <v>71</v>
      </c>
      <c r="B80" s="10">
        <v>13</v>
      </c>
      <c r="C80" s="43" t="s">
        <v>549</v>
      </c>
      <c r="D80" s="42" t="s">
        <v>550</v>
      </c>
      <c r="E80" s="13" t="s">
        <v>551</v>
      </c>
      <c r="F80" s="165">
        <v>1</v>
      </c>
      <c r="G80" s="21" t="s">
        <v>552</v>
      </c>
      <c r="H80" s="14"/>
      <c r="I80" s="14"/>
      <c r="J80" s="15" t="s">
        <v>2032</v>
      </c>
      <c r="K80" s="15" t="s">
        <v>553</v>
      </c>
      <c r="L80" s="15" t="s">
        <v>1820</v>
      </c>
      <c r="M80" s="15" t="s">
        <v>554</v>
      </c>
      <c r="N80" s="15" t="s">
        <v>1821</v>
      </c>
      <c r="O80" s="15" t="s">
        <v>1822</v>
      </c>
      <c r="P80" s="29"/>
      <c r="Q80" s="17" t="s">
        <v>92</v>
      </c>
      <c r="R80" s="29" t="s">
        <v>1992</v>
      </c>
      <c r="S80" s="26"/>
      <c r="T80" s="19" t="s">
        <v>548</v>
      </c>
      <c r="U80" s="19"/>
      <c r="V80" s="26" t="s">
        <v>872</v>
      </c>
      <c r="W80" s="26"/>
      <c r="X80" s="20"/>
      <c r="Y80" s="20" t="s">
        <v>54</v>
      </c>
      <c r="Z80" s="20"/>
      <c r="AA80" s="20"/>
    </row>
    <row r="81" spans="1:27" ht="15.75" customHeight="1">
      <c r="A81" s="9" t="s">
        <v>71</v>
      </c>
      <c r="B81" s="10">
        <v>13</v>
      </c>
      <c r="C81" s="43" t="s">
        <v>549</v>
      </c>
      <c r="D81" s="42" t="s">
        <v>555</v>
      </c>
      <c r="E81" s="13" t="s">
        <v>556</v>
      </c>
      <c r="F81" s="165">
        <v>1</v>
      </c>
      <c r="G81" s="21" t="s">
        <v>557</v>
      </c>
      <c r="H81" s="14"/>
      <c r="I81" s="14"/>
      <c r="J81" s="15" t="s">
        <v>558</v>
      </c>
      <c r="K81" s="15" t="s">
        <v>1823</v>
      </c>
      <c r="L81" s="15" t="s">
        <v>1824</v>
      </c>
      <c r="M81" s="15" t="s">
        <v>1825</v>
      </c>
      <c r="N81" s="15" t="s">
        <v>1826</v>
      </c>
      <c r="O81" s="15" t="s">
        <v>1827</v>
      </c>
      <c r="P81" s="29"/>
      <c r="Q81" s="17" t="s">
        <v>92</v>
      </c>
      <c r="R81" s="29" t="s">
        <v>1993</v>
      </c>
      <c r="S81" s="26"/>
      <c r="T81" s="19" t="s">
        <v>548</v>
      </c>
      <c r="U81" s="19"/>
      <c r="V81" s="26"/>
      <c r="W81" s="26"/>
      <c r="X81" s="20"/>
      <c r="Y81" s="20" t="s">
        <v>54</v>
      </c>
      <c r="Z81" s="20"/>
      <c r="AA81" s="20"/>
    </row>
    <row r="82" spans="1:27" ht="409.5">
      <c r="A82" s="9" t="s">
        <v>71</v>
      </c>
      <c r="B82" s="10">
        <v>13</v>
      </c>
      <c r="C82" s="43" t="s">
        <v>549</v>
      </c>
      <c r="D82" s="12">
        <v>13.3</v>
      </c>
      <c r="E82" s="13" t="s">
        <v>559</v>
      </c>
      <c r="F82" s="165">
        <v>1</v>
      </c>
      <c r="G82" s="39" t="s">
        <v>560</v>
      </c>
      <c r="H82" s="14"/>
      <c r="I82" s="14"/>
      <c r="J82" s="15" t="s">
        <v>2134</v>
      </c>
      <c r="K82" s="15" t="s">
        <v>823</v>
      </c>
      <c r="L82" s="15" t="s">
        <v>1828</v>
      </c>
      <c r="M82" s="15" t="s">
        <v>561</v>
      </c>
      <c r="N82" s="15" t="s">
        <v>1829</v>
      </c>
      <c r="O82" s="15" t="s">
        <v>562</v>
      </c>
      <c r="P82" s="29"/>
      <c r="Q82" s="17" t="s">
        <v>563</v>
      </c>
      <c r="R82" s="29" t="s">
        <v>1994</v>
      </c>
      <c r="S82" s="26"/>
      <c r="T82" s="19" t="s">
        <v>564</v>
      </c>
      <c r="U82" s="19"/>
      <c r="V82" s="26"/>
      <c r="W82" s="26"/>
      <c r="X82" s="20"/>
      <c r="Y82" s="20" t="s">
        <v>54</v>
      </c>
      <c r="Z82" s="20"/>
      <c r="AA82" s="20"/>
    </row>
    <row r="83" spans="1:27" ht="409.5">
      <c r="A83" s="9" t="s">
        <v>71</v>
      </c>
      <c r="B83" s="10">
        <v>13</v>
      </c>
      <c r="C83" s="43" t="s">
        <v>549</v>
      </c>
      <c r="D83" s="12">
        <v>13.4</v>
      </c>
      <c r="E83" s="21" t="s">
        <v>565</v>
      </c>
      <c r="F83" s="165">
        <v>1</v>
      </c>
      <c r="G83" s="39" t="s">
        <v>566</v>
      </c>
      <c r="H83" s="14"/>
      <c r="I83" s="14"/>
      <c r="J83" s="15" t="s">
        <v>2138</v>
      </c>
      <c r="K83" s="15" t="s">
        <v>821</v>
      </c>
      <c r="L83" s="15" t="s">
        <v>1830</v>
      </c>
      <c r="M83" s="15" t="s">
        <v>1831</v>
      </c>
      <c r="N83" s="15" t="s">
        <v>1832</v>
      </c>
      <c r="O83" s="15" t="s">
        <v>1833</v>
      </c>
      <c r="P83" s="26"/>
      <c r="Q83" s="21" t="s">
        <v>563</v>
      </c>
      <c r="R83" s="29" t="s">
        <v>1995</v>
      </c>
      <c r="S83" s="26"/>
      <c r="T83" s="19" t="s">
        <v>564</v>
      </c>
      <c r="U83" s="19"/>
      <c r="V83" s="26"/>
      <c r="W83" s="26"/>
      <c r="X83" s="20"/>
      <c r="Y83" s="20"/>
      <c r="Z83" s="20" t="s">
        <v>54</v>
      </c>
      <c r="AA83" s="20"/>
    </row>
    <row r="84" spans="1:27" ht="15.75" customHeight="1">
      <c r="A84" s="9" t="s">
        <v>71</v>
      </c>
      <c r="B84" s="10">
        <v>13</v>
      </c>
      <c r="C84" s="43" t="s">
        <v>549</v>
      </c>
      <c r="D84" s="42" t="s">
        <v>567</v>
      </c>
      <c r="E84" s="21" t="s">
        <v>568</v>
      </c>
      <c r="F84" s="165">
        <v>2</v>
      </c>
      <c r="G84" s="21" t="s">
        <v>569</v>
      </c>
      <c r="H84" s="14"/>
      <c r="I84" s="14"/>
      <c r="J84" s="15" t="s">
        <v>2135</v>
      </c>
      <c r="K84" s="15" t="s">
        <v>570</v>
      </c>
      <c r="L84" s="15" t="s">
        <v>1834</v>
      </c>
      <c r="M84" s="15" t="s">
        <v>1835</v>
      </c>
      <c r="N84" s="15" t="s">
        <v>1836</v>
      </c>
      <c r="O84" s="15" t="s">
        <v>1837</v>
      </c>
      <c r="P84" s="29"/>
      <c r="Q84" s="17" t="s">
        <v>487</v>
      </c>
      <c r="R84" s="29" t="s">
        <v>1996</v>
      </c>
      <c r="S84" s="26"/>
      <c r="T84" s="19" t="s">
        <v>564</v>
      </c>
      <c r="U84" s="19"/>
      <c r="V84" s="26"/>
      <c r="W84" s="26"/>
      <c r="X84" s="20"/>
      <c r="Y84" s="20"/>
      <c r="Z84" s="20"/>
      <c r="AA84" s="20"/>
    </row>
    <row r="85" spans="1:27" ht="15.75" customHeight="1">
      <c r="A85" s="9" t="s">
        <v>71</v>
      </c>
      <c r="B85" s="10">
        <v>13</v>
      </c>
      <c r="C85" s="43" t="s">
        <v>549</v>
      </c>
      <c r="D85" s="27" t="s">
        <v>571</v>
      </c>
      <c r="E85" s="21" t="s">
        <v>572</v>
      </c>
      <c r="F85" s="165">
        <v>1</v>
      </c>
      <c r="G85" s="13" t="s">
        <v>573</v>
      </c>
      <c r="H85" s="14"/>
      <c r="I85" s="14"/>
      <c r="J85" s="15" t="s">
        <v>866</v>
      </c>
      <c r="K85" s="15" t="s">
        <v>574</v>
      </c>
      <c r="L85" s="15" t="s">
        <v>1838</v>
      </c>
      <c r="M85" s="15" t="s">
        <v>1839</v>
      </c>
      <c r="N85" s="15" t="s">
        <v>1840</v>
      </c>
      <c r="O85" s="15" t="s">
        <v>575</v>
      </c>
      <c r="P85" s="29"/>
      <c r="Q85" s="17" t="s">
        <v>85</v>
      </c>
      <c r="R85" s="29" t="s">
        <v>1997</v>
      </c>
      <c r="S85" s="26" t="s">
        <v>576</v>
      </c>
      <c r="T85" s="19" t="s">
        <v>577</v>
      </c>
      <c r="U85" s="19" t="s">
        <v>867</v>
      </c>
      <c r="V85" s="26" t="s">
        <v>54</v>
      </c>
      <c r="W85" s="21" t="s">
        <v>48</v>
      </c>
      <c r="X85" s="20"/>
      <c r="Y85" s="20" t="s">
        <v>54</v>
      </c>
      <c r="Z85" s="20"/>
      <c r="AA85" s="20" t="s">
        <v>54</v>
      </c>
    </row>
    <row r="86" spans="1:27" ht="15.75" customHeight="1">
      <c r="A86" s="9" t="s">
        <v>71</v>
      </c>
      <c r="B86" s="10">
        <v>13</v>
      </c>
      <c r="C86" s="43" t="s">
        <v>549</v>
      </c>
      <c r="D86" s="42" t="s">
        <v>578</v>
      </c>
      <c r="E86" s="21" t="s">
        <v>579</v>
      </c>
      <c r="F86" s="165">
        <v>2</v>
      </c>
      <c r="G86" s="13" t="s">
        <v>2050</v>
      </c>
      <c r="H86" s="14"/>
      <c r="I86" s="14"/>
      <c r="J86" s="15" t="s">
        <v>2051</v>
      </c>
      <c r="K86" s="15" t="s">
        <v>580</v>
      </c>
      <c r="L86" s="15" t="s">
        <v>581</v>
      </c>
      <c r="M86" s="15" t="s">
        <v>582</v>
      </c>
      <c r="N86" s="15" t="s">
        <v>1841</v>
      </c>
      <c r="O86" s="15" t="s">
        <v>1842</v>
      </c>
      <c r="P86" s="29"/>
      <c r="Q86" s="17" t="s">
        <v>487</v>
      </c>
      <c r="R86" s="29" t="s">
        <v>1998</v>
      </c>
      <c r="S86" s="26"/>
      <c r="T86" s="19" t="s">
        <v>583</v>
      </c>
      <c r="U86" s="19"/>
      <c r="V86" s="26"/>
      <c r="W86" s="26"/>
      <c r="X86" s="20"/>
      <c r="Y86" s="20"/>
      <c r="Z86" s="20"/>
      <c r="AA86" s="20"/>
    </row>
    <row r="87" spans="1:27" ht="409.5">
      <c r="A87" s="9" t="s">
        <v>71</v>
      </c>
      <c r="B87" s="10">
        <v>13</v>
      </c>
      <c r="C87" s="43" t="s">
        <v>549</v>
      </c>
      <c r="D87" s="42" t="s">
        <v>584</v>
      </c>
      <c r="E87" s="21" t="s">
        <v>585</v>
      </c>
      <c r="F87" s="165">
        <v>2</v>
      </c>
      <c r="G87" s="21" t="s">
        <v>586</v>
      </c>
      <c r="H87" s="14"/>
      <c r="I87" s="14"/>
      <c r="J87" s="15" t="s">
        <v>1843</v>
      </c>
      <c r="K87" s="15" t="s">
        <v>822</v>
      </c>
      <c r="L87" s="15" t="s">
        <v>1844</v>
      </c>
      <c r="M87" s="39" t="s">
        <v>1845</v>
      </c>
      <c r="N87" s="39" t="s">
        <v>786</v>
      </c>
      <c r="O87" s="39" t="s">
        <v>1846</v>
      </c>
      <c r="P87" s="29"/>
      <c r="Q87" s="17" t="s">
        <v>92</v>
      </c>
      <c r="R87" s="29"/>
      <c r="S87" s="26"/>
      <c r="T87" s="19" t="s">
        <v>587</v>
      </c>
      <c r="U87" s="19"/>
      <c r="V87" s="26"/>
      <c r="W87" s="26"/>
      <c r="X87" s="20"/>
      <c r="Y87" s="20"/>
      <c r="Z87" s="20"/>
      <c r="AA87" s="20"/>
    </row>
    <row r="88" spans="1:27" ht="409.5">
      <c r="A88" s="9" t="s">
        <v>71</v>
      </c>
      <c r="B88" s="10">
        <v>13</v>
      </c>
      <c r="C88" s="43" t="s">
        <v>549</v>
      </c>
      <c r="D88" s="42" t="s">
        <v>588</v>
      </c>
      <c r="E88" s="13" t="s">
        <v>589</v>
      </c>
      <c r="F88" s="165">
        <v>2</v>
      </c>
      <c r="G88" s="38" t="s">
        <v>590</v>
      </c>
      <c r="H88" s="14"/>
      <c r="I88" s="14"/>
      <c r="J88" s="64" t="s">
        <v>1847</v>
      </c>
      <c r="K88" s="15" t="s">
        <v>591</v>
      </c>
      <c r="L88" s="15" t="s">
        <v>2118</v>
      </c>
      <c r="M88" s="15" t="s">
        <v>2119</v>
      </c>
      <c r="N88" s="15" t="s">
        <v>2120</v>
      </c>
      <c r="O88" s="15" t="s">
        <v>2121</v>
      </c>
      <c r="P88" s="29"/>
      <c r="Q88" s="17" t="s">
        <v>92</v>
      </c>
      <c r="R88" s="29" t="s">
        <v>1999</v>
      </c>
      <c r="S88" s="26" t="s">
        <v>592</v>
      </c>
      <c r="T88" s="65" t="s">
        <v>593</v>
      </c>
      <c r="U88" s="65" t="s">
        <v>887</v>
      </c>
      <c r="V88" s="26"/>
      <c r="W88" s="21" t="s">
        <v>48</v>
      </c>
      <c r="X88" s="20"/>
      <c r="Y88" s="20"/>
      <c r="Z88" s="20"/>
      <c r="AA88" s="20"/>
    </row>
    <row r="89" spans="1:27" ht="409.5">
      <c r="A89" s="9" t="s">
        <v>71</v>
      </c>
      <c r="B89" s="10">
        <v>13</v>
      </c>
      <c r="C89" s="43" t="s">
        <v>549</v>
      </c>
      <c r="D89" s="42" t="s">
        <v>594</v>
      </c>
      <c r="E89" s="13" t="s">
        <v>595</v>
      </c>
      <c r="F89" s="165">
        <v>2</v>
      </c>
      <c r="G89" s="13" t="s">
        <v>596</v>
      </c>
      <c r="H89" s="14"/>
      <c r="I89" s="14"/>
      <c r="J89" s="15" t="s">
        <v>597</v>
      </c>
      <c r="K89" s="15" t="s">
        <v>1848</v>
      </c>
      <c r="L89" s="15" t="s">
        <v>598</v>
      </c>
      <c r="M89" s="15" t="s">
        <v>599</v>
      </c>
      <c r="N89" s="15" t="s">
        <v>2035</v>
      </c>
      <c r="O89" s="15" t="s">
        <v>1849</v>
      </c>
      <c r="P89" s="29"/>
      <c r="Q89" s="17" t="s">
        <v>487</v>
      </c>
      <c r="R89" s="29" t="s">
        <v>2000</v>
      </c>
      <c r="S89" s="26"/>
      <c r="T89" s="19" t="s">
        <v>600</v>
      </c>
      <c r="U89" s="19"/>
      <c r="V89" s="26"/>
      <c r="W89" s="26"/>
      <c r="X89" s="20"/>
      <c r="Y89" s="20"/>
      <c r="Z89" s="20"/>
      <c r="AA89" s="20" t="s">
        <v>54</v>
      </c>
    </row>
    <row r="90" spans="1:27" ht="190.5" customHeight="1">
      <c r="A90" s="9" t="s">
        <v>71</v>
      </c>
      <c r="B90" s="10">
        <v>13</v>
      </c>
      <c r="C90" s="43" t="s">
        <v>549</v>
      </c>
      <c r="D90" s="42" t="s">
        <v>601</v>
      </c>
      <c r="E90" s="13" t="s">
        <v>602</v>
      </c>
      <c r="F90" s="165">
        <v>3</v>
      </c>
      <c r="G90" s="13" t="s">
        <v>603</v>
      </c>
      <c r="H90" s="14"/>
      <c r="I90" s="14"/>
      <c r="J90" s="15" t="s">
        <v>604</v>
      </c>
      <c r="K90" s="15" t="s">
        <v>605</v>
      </c>
      <c r="L90" s="15" t="s">
        <v>606</v>
      </c>
      <c r="M90" s="15" t="s">
        <v>607</v>
      </c>
      <c r="N90" s="15" t="s">
        <v>608</v>
      </c>
      <c r="O90" s="15" t="s">
        <v>609</v>
      </c>
      <c r="P90" s="29"/>
      <c r="Q90" s="17" t="s">
        <v>487</v>
      </c>
      <c r="R90" s="29" t="s">
        <v>1982</v>
      </c>
      <c r="S90" s="26"/>
      <c r="T90" s="19" t="s">
        <v>600</v>
      </c>
      <c r="U90" s="19"/>
      <c r="V90" s="26"/>
      <c r="W90" s="26"/>
      <c r="X90" s="20"/>
      <c r="Y90" s="20"/>
      <c r="Z90" s="20"/>
      <c r="AA90" s="20"/>
    </row>
    <row r="91" spans="1:27" ht="190.5" customHeight="1">
      <c r="A91" s="9" t="s">
        <v>71</v>
      </c>
      <c r="B91" s="23">
        <v>13</v>
      </c>
      <c r="C91" s="43" t="s">
        <v>549</v>
      </c>
      <c r="D91" s="42" t="s">
        <v>2043</v>
      </c>
      <c r="E91" s="26" t="s">
        <v>2044</v>
      </c>
      <c r="F91" s="165">
        <v>3</v>
      </c>
      <c r="G91" s="63" t="s">
        <v>2045</v>
      </c>
      <c r="H91" s="14"/>
      <c r="I91" s="14"/>
      <c r="J91" s="64" t="s">
        <v>2137</v>
      </c>
      <c r="K91" s="64" t="s">
        <v>2046</v>
      </c>
      <c r="L91" s="64" t="s">
        <v>2047</v>
      </c>
      <c r="M91" s="64" t="s">
        <v>2078</v>
      </c>
      <c r="N91" s="39" t="s">
        <v>2048</v>
      </c>
      <c r="O91" s="39" t="s">
        <v>2049</v>
      </c>
      <c r="P91" s="29"/>
      <c r="Q91" s="29" t="s">
        <v>92</v>
      </c>
      <c r="R91" s="29"/>
      <c r="S91" s="26"/>
      <c r="T91" s="47"/>
      <c r="U91" s="47"/>
      <c r="V91" s="26"/>
      <c r="W91" s="26"/>
      <c r="X91" s="20"/>
      <c r="Y91" s="20"/>
      <c r="Z91" s="20"/>
      <c r="AA91" s="20"/>
    </row>
    <row r="92" spans="1:27" ht="409.5">
      <c r="A92" s="9" t="s">
        <v>71</v>
      </c>
      <c r="B92" s="10">
        <v>14</v>
      </c>
      <c r="C92" s="41" t="s">
        <v>610</v>
      </c>
      <c r="D92" s="42" t="s">
        <v>611</v>
      </c>
      <c r="E92" s="21" t="s">
        <v>612</v>
      </c>
      <c r="F92" s="162">
        <v>2</v>
      </c>
      <c r="G92" s="13" t="s">
        <v>613</v>
      </c>
      <c r="H92" s="14"/>
      <c r="I92" s="14"/>
      <c r="J92" s="15" t="s">
        <v>1850</v>
      </c>
      <c r="K92" s="15" t="s">
        <v>1851</v>
      </c>
      <c r="L92" s="15" t="s">
        <v>1852</v>
      </c>
      <c r="M92" s="15" t="s">
        <v>614</v>
      </c>
      <c r="N92" s="15" t="s">
        <v>615</v>
      </c>
      <c r="O92" s="15" t="s">
        <v>1853</v>
      </c>
      <c r="P92" s="45"/>
      <c r="Q92" s="17" t="s">
        <v>92</v>
      </c>
      <c r="R92" s="29" t="s">
        <v>2001</v>
      </c>
      <c r="S92" s="46" t="s">
        <v>616</v>
      </c>
      <c r="T92" s="19" t="s">
        <v>617</v>
      </c>
      <c r="U92" s="19" t="s">
        <v>851</v>
      </c>
      <c r="V92" s="18"/>
      <c r="W92" s="39" t="s">
        <v>48</v>
      </c>
      <c r="X92" s="20"/>
      <c r="Y92" s="20"/>
      <c r="Z92" s="20"/>
      <c r="AA92" s="20"/>
    </row>
    <row r="93" spans="1:27" ht="15.75" customHeight="1">
      <c r="A93" s="9" t="s">
        <v>71</v>
      </c>
      <c r="B93" s="10">
        <v>14</v>
      </c>
      <c r="C93" s="43" t="s">
        <v>610</v>
      </c>
      <c r="D93" s="42" t="s">
        <v>618</v>
      </c>
      <c r="E93" s="13" t="s">
        <v>619</v>
      </c>
      <c r="F93" s="165">
        <v>3</v>
      </c>
      <c r="G93" s="13" t="s">
        <v>620</v>
      </c>
      <c r="H93" s="14"/>
      <c r="I93" s="14"/>
      <c r="J93" s="15" t="s">
        <v>621</v>
      </c>
      <c r="K93" s="15" t="s">
        <v>622</v>
      </c>
      <c r="L93" s="15" t="s">
        <v>1854</v>
      </c>
      <c r="M93" s="15" t="s">
        <v>1855</v>
      </c>
      <c r="N93" s="15" t="s">
        <v>1856</v>
      </c>
      <c r="O93" s="15" t="s">
        <v>1857</v>
      </c>
      <c r="P93" s="45"/>
      <c r="Q93" s="17" t="s">
        <v>92</v>
      </c>
      <c r="R93" s="29" t="s">
        <v>2002</v>
      </c>
      <c r="S93" s="46"/>
      <c r="T93" s="19" t="s">
        <v>617</v>
      </c>
      <c r="U93" s="19"/>
      <c r="V93" s="18"/>
      <c r="W93" s="39" t="s">
        <v>48</v>
      </c>
      <c r="X93" s="20"/>
      <c r="Y93" s="20"/>
      <c r="Z93" s="20"/>
      <c r="AA93" s="20"/>
    </row>
    <row r="94" spans="1:27" ht="15.75" customHeight="1">
      <c r="A94" s="9" t="s">
        <v>71</v>
      </c>
      <c r="B94" s="10">
        <v>14</v>
      </c>
      <c r="C94" s="43" t="s">
        <v>610</v>
      </c>
      <c r="D94" s="42" t="s">
        <v>623</v>
      </c>
      <c r="E94" s="13" t="s">
        <v>624</v>
      </c>
      <c r="F94" s="162">
        <v>3</v>
      </c>
      <c r="G94" s="13" t="s">
        <v>625</v>
      </c>
      <c r="H94" s="14"/>
      <c r="I94" s="14"/>
      <c r="J94" s="15" t="s">
        <v>1858</v>
      </c>
      <c r="K94" s="15" t="s">
        <v>1859</v>
      </c>
      <c r="L94" s="15" t="s">
        <v>1860</v>
      </c>
      <c r="M94" s="15" t="s">
        <v>1861</v>
      </c>
      <c r="N94" s="15" t="s">
        <v>1862</v>
      </c>
      <c r="O94" s="15" t="s">
        <v>626</v>
      </c>
      <c r="P94" s="45"/>
      <c r="Q94" s="17" t="s">
        <v>92</v>
      </c>
      <c r="R94" s="29" t="s">
        <v>2003</v>
      </c>
      <c r="S94" s="46"/>
      <c r="T94" s="19" t="s">
        <v>617</v>
      </c>
      <c r="U94" s="19"/>
      <c r="V94" s="18"/>
      <c r="W94" s="39" t="s">
        <v>48</v>
      </c>
      <c r="X94" s="20"/>
      <c r="Y94" s="20"/>
      <c r="Z94" s="20"/>
      <c r="AA94" s="20"/>
    </row>
    <row r="95" spans="1:27" ht="15.75" customHeight="1">
      <c r="A95" s="9" t="s">
        <v>627</v>
      </c>
      <c r="B95" s="10">
        <v>15</v>
      </c>
      <c r="C95" s="23" t="s">
        <v>628</v>
      </c>
      <c r="D95" s="12">
        <v>15.1</v>
      </c>
      <c r="E95" s="13" t="s">
        <v>629</v>
      </c>
      <c r="F95" s="164">
        <v>1</v>
      </c>
      <c r="G95" s="13" t="s">
        <v>630</v>
      </c>
      <c r="H95" s="14"/>
      <c r="I95" s="14"/>
      <c r="J95" s="15" t="s">
        <v>2054</v>
      </c>
      <c r="K95" s="15" t="s">
        <v>839</v>
      </c>
      <c r="L95" s="15" t="s">
        <v>1863</v>
      </c>
      <c r="M95" s="15" t="s">
        <v>1864</v>
      </c>
      <c r="N95" s="15" t="s">
        <v>1865</v>
      </c>
      <c r="O95" s="15" t="s">
        <v>1866</v>
      </c>
      <c r="P95" s="17" t="s">
        <v>60</v>
      </c>
      <c r="Q95" s="17" t="s">
        <v>29</v>
      </c>
      <c r="R95" s="29" t="s">
        <v>2004</v>
      </c>
      <c r="S95" s="26" t="s">
        <v>631</v>
      </c>
      <c r="T95" s="19" t="s">
        <v>632</v>
      </c>
      <c r="U95" s="65" t="s">
        <v>889</v>
      </c>
      <c r="V95" s="26"/>
      <c r="W95" s="21" t="s">
        <v>48</v>
      </c>
      <c r="X95" s="20"/>
      <c r="Y95" s="20"/>
      <c r="Z95" s="20"/>
      <c r="AA95" s="20"/>
    </row>
    <row r="96" spans="1:27" ht="15.75" customHeight="1">
      <c r="A96" s="9" t="s">
        <v>627</v>
      </c>
      <c r="B96" s="10">
        <v>15</v>
      </c>
      <c r="C96" s="23" t="s">
        <v>628</v>
      </c>
      <c r="D96" s="12">
        <v>15.2</v>
      </c>
      <c r="E96" s="21" t="s">
        <v>633</v>
      </c>
      <c r="F96" s="164">
        <v>2</v>
      </c>
      <c r="G96" s="13" t="s">
        <v>634</v>
      </c>
      <c r="H96" s="14"/>
      <c r="I96" s="14"/>
      <c r="J96" s="15" t="s">
        <v>635</v>
      </c>
      <c r="K96" s="15" t="s">
        <v>636</v>
      </c>
      <c r="L96" s="15" t="s">
        <v>637</v>
      </c>
      <c r="M96" s="15" t="s">
        <v>1867</v>
      </c>
      <c r="N96" s="15" t="s">
        <v>1868</v>
      </c>
      <c r="O96" s="15" t="s">
        <v>1869</v>
      </c>
      <c r="P96" s="29"/>
      <c r="Q96" s="17" t="s">
        <v>638</v>
      </c>
      <c r="R96" s="29" t="s">
        <v>2005</v>
      </c>
      <c r="S96" s="26" t="s">
        <v>639</v>
      </c>
      <c r="T96" s="19" t="s">
        <v>640</v>
      </c>
      <c r="U96" s="19"/>
      <c r="V96" s="26"/>
      <c r="W96" s="21" t="s">
        <v>48</v>
      </c>
      <c r="X96" s="20"/>
      <c r="Y96" s="20"/>
      <c r="Z96" s="20"/>
      <c r="AA96" s="20"/>
    </row>
    <row r="97" spans="1:27" ht="409.5">
      <c r="A97" s="9" t="s">
        <v>627</v>
      </c>
      <c r="B97" s="10">
        <v>15</v>
      </c>
      <c r="C97" s="23" t="s">
        <v>628</v>
      </c>
      <c r="D97" s="12">
        <v>15.3</v>
      </c>
      <c r="E97" s="13" t="s">
        <v>641</v>
      </c>
      <c r="F97" s="164">
        <v>2</v>
      </c>
      <c r="G97" s="13" t="s">
        <v>642</v>
      </c>
      <c r="H97" s="14"/>
      <c r="I97" s="14"/>
      <c r="J97" s="15" t="s">
        <v>2055</v>
      </c>
      <c r="K97" s="15" t="s">
        <v>804</v>
      </c>
      <c r="L97" s="15" t="s">
        <v>1870</v>
      </c>
      <c r="M97" s="15" t="s">
        <v>643</v>
      </c>
      <c r="N97" s="15" t="s">
        <v>784</v>
      </c>
      <c r="O97" s="15" t="s">
        <v>783</v>
      </c>
      <c r="P97" s="29"/>
      <c r="Q97" s="17" t="s">
        <v>92</v>
      </c>
      <c r="R97" s="29" t="s">
        <v>2006</v>
      </c>
      <c r="S97" s="26" t="s">
        <v>644</v>
      </c>
      <c r="T97" s="19" t="s">
        <v>645</v>
      </c>
      <c r="U97" s="19" t="s">
        <v>838</v>
      </c>
      <c r="V97" s="26"/>
      <c r="W97" s="21" t="s">
        <v>48</v>
      </c>
      <c r="X97" s="20"/>
      <c r="Y97" s="20" t="s">
        <v>54</v>
      </c>
      <c r="Z97" s="20"/>
      <c r="AA97" s="20" t="s">
        <v>54</v>
      </c>
    </row>
    <row r="98" spans="1:27" ht="15.75" customHeight="1">
      <c r="A98" s="9" t="s">
        <v>627</v>
      </c>
      <c r="B98" s="10">
        <v>15</v>
      </c>
      <c r="C98" s="23" t="s">
        <v>628</v>
      </c>
      <c r="D98" s="12">
        <v>15.4</v>
      </c>
      <c r="E98" s="21" t="s">
        <v>646</v>
      </c>
      <c r="F98" s="164">
        <v>3</v>
      </c>
      <c r="G98" s="13" t="s">
        <v>647</v>
      </c>
      <c r="H98" s="14"/>
      <c r="I98" s="14"/>
      <c r="J98" s="15" t="s">
        <v>2056</v>
      </c>
      <c r="K98" s="15" t="s">
        <v>648</v>
      </c>
      <c r="L98" s="15" t="s">
        <v>649</v>
      </c>
      <c r="M98" s="15" t="s">
        <v>650</v>
      </c>
      <c r="N98" s="15" t="s">
        <v>651</v>
      </c>
      <c r="O98" s="15" t="s">
        <v>652</v>
      </c>
      <c r="P98" s="29"/>
      <c r="Q98" s="17" t="s">
        <v>214</v>
      </c>
      <c r="R98" s="29" t="s">
        <v>2007</v>
      </c>
      <c r="S98" s="26" t="s">
        <v>653</v>
      </c>
      <c r="T98" s="19" t="s">
        <v>654</v>
      </c>
      <c r="U98" s="19"/>
      <c r="V98" s="26" t="s">
        <v>54</v>
      </c>
      <c r="W98" s="26"/>
      <c r="X98" s="20"/>
      <c r="Y98" s="20"/>
      <c r="Z98" s="20"/>
      <c r="AA98" s="20"/>
    </row>
    <row r="99" spans="1:27" ht="15.75" customHeight="1">
      <c r="A99" s="9" t="s">
        <v>627</v>
      </c>
      <c r="B99" s="10">
        <v>15</v>
      </c>
      <c r="C99" s="23" t="s">
        <v>628</v>
      </c>
      <c r="D99" s="12">
        <v>15.5</v>
      </c>
      <c r="E99" s="47" t="s">
        <v>655</v>
      </c>
      <c r="F99" s="164">
        <v>3</v>
      </c>
      <c r="G99" s="13" t="s">
        <v>656</v>
      </c>
      <c r="H99" s="14"/>
      <c r="I99" s="14"/>
      <c r="J99" s="28" t="s">
        <v>657</v>
      </c>
      <c r="K99" s="24" t="s">
        <v>658</v>
      </c>
      <c r="L99" s="15" t="s">
        <v>659</v>
      </c>
      <c r="M99" s="15" t="s">
        <v>660</v>
      </c>
      <c r="N99" s="15" t="s">
        <v>1871</v>
      </c>
      <c r="O99" s="15" t="s">
        <v>661</v>
      </c>
      <c r="P99" s="29"/>
      <c r="Q99" s="17" t="s">
        <v>662</v>
      </c>
      <c r="R99" s="29" t="s">
        <v>2008</v>
      </c>
      <c r="S99" s="26" t="s">
        <v>30</v>
      </c>
      <c r="T99" s="19"/>
      <c r="U99" s="19" t="s">
        <v>840</v>
      </c>
      <c r="V99" s="26"/>
      <c r="W99" s="26"/>
      <c r="X99" s="20"/>
      <c r="Y99" s="20"/>
      <c r="Z99" s="20"/>
      <c r="AA99" s="20"/>
    </row>
    <row r="100" spans="1:27" ht="15.75" customHeight="1">
      <c r="A100" s="9" t="s">
        <v>627</v>
      </c>
      <c r="B100" s="10">
        <v>15</v>
      </c>
      <c r="C100" s="23" t="s">
        <v>663</v>
      </c>
      <c r="D100" s="12">
        <v>15.6</v>
      </c>
      <c r="E100" s="21" t="s">
        <v>664</v>
      </c>
      <c r="F100" s="164">
        <v>3</v>
      </c>
      <c r="G100" s="21" t="s">
        <v>665</v>
      </c>
      <c r="H100" s="14"/>
      <c r="I100" s="14"/>
      <c r="J100" s="28" t="s">
        <v>2079</v>
      </c>
      <c r="K100" s="15" t="s">
        <v>2080</v>
      </c>
      <c r="L100" s="24" t="s">
        <v>1872</v>
      </c>
      <c r="M100" s="15" t="s">
        <v>1873</v>
      </c>
      <c r="N100" s="15" t="s">
        <v>2081</v>
      </c>
      <c r="O100" s="15" t="s">
        <v>1874</v>
      </c>
      <c r="P100" s="29"/>
      <c r="Q100" s="17" t="s">
        <v>662</v>
      </c>
      <c r="R100" s="29" t="s">
        <v>2009</v>
      </c>
      <c r="S100" s="26" t="s">
        <v>46</v>
      </c>
      <c r="T100" s="19"/>
      <c r="U100" s="19"/>
      <c r="V100" s="26"/>
      <c r="W100" s="21" t="s">
        <v>48</v>
      </c>
      <c r="X100" s="20"/>
      <c r="Y100" s="20"/>
      <c r="Z100" s="20"/>
      <c r="AA100" s="20"/>
    </row>
    <row r="101" spans="1:27" ht="15.75" customHeight="1">
      <c r="A101" s="9" t="s">
        <v>627</v>
      </c>
      <c r="B101" s="10">
        <v>16</v>
      </c>
      <c r="C101" s="23" t="s">
        <v>666</v>
      </c>
      <c r="D101" s="12">
        <v>16.100000000000001</v>
      </c>
      <c r="E101" s="13" t="s">
        <v>667</v>
      </c>
      <c r="F101" s="164">
        <v>3</v>
      </c>
      <c r="G101" s="13" t="s">
        <v>1875</v>
      </c>
      <c r="H101" s="14"/>
      <c r="I101" s="14"/>
      <c r="J101" s="24" t="s">
        <v>2057</v>
      </c>
      <c r="K101" s="64" t="s">
        <v>668</v>
      </c>
      <c r="L101" s="64" t="s">
        <v>1876</v>
      </c>
      <c r="M101" s="15" t="s">
        <v>669</v>
      </c>
      <c r="N101" s="15" t="s">
        <v>670</v>
      </c>
      <c r="O101" s="15" t="s">
        <v>671</v>
      </c>
      <c r="P101" s="17" t="s">
        <v>60</v>
      </c>
      <c r="Q101" s="17" t="s">
        <v>29</v>
      </c>
      <c r="R101" s="29" t="s">
        <v>2010</v>
      </c>
      <c r="S101" s="26" t="s">
        <v>672</v>
      </c>
      <c r="T101" s="19" t="s">
        <v>673</v>
      </c>
      <c r="U101" s="19" t="s">
        <v>892</v>
      </c>
      <c r="V101" s="26" t="s">
        <v>54</v>
      </c>
      <c r="W101" s="26"/>
      <c r="X101" s="20"/>
      <c r="Y101" s="20"/>
      <c r="Z101" s="20"/>
      <c r="AA101" s="20"/>
    </row>
    <row r="102" spans="1:27" ht="409.5">
      <c r="A102" s="9" t="s">
        <v>627</v>
      </c>
      <c r="B102" s="10">
        <v>16</v>
      </c>
      <c r="C102" s="23" t="s">
        <v>666</v>
      </c>
      <c r="D102" s="12">
        <v>16.2</v>
      </c>
      <c r="E102" s="21" t="s">
        <v>674</v>
      </c>
      <c r="F102" s="164">
        <v>2</v>
      </c>
      <c r="G102" s="13" t="s">
        <v>675</v>
      </c>
      <c r="H102" s="14"/>
      <c r="I102" s="14"/>
      <c r="J102" s="15" t="s">
        <v>2058</v>
      </c>
      <c r="K102" s="33" t="s">
        <v>769</v>
      </c>
      <c r="L102" s="33" t="s">
        <v>1877</v>
      </c>
      <c r="M102" s="33" t="s">
        <v>1878</v>
      </c>
      <c r="N102" s="33" t="s">
        <v>770</v>
      </c>
      <c r="O102" s="33" t="s">
        <v>1879</v>
      </c>
      <c r="P102" s="29"/>
      <c r="Q102" s="17" t="s">
        <v>676</v>
      </c>
      <c r="R102" s="29" t="s">
        <v>2011</v>
      </c>
      <c r="S102" s="26" t="s">
        <v>677</v>
      </c>
      <c r="T102" s="49" t="s">
        <v>678</v>
      </c>
      <c r="U102" s="49" t="s">
        <v>875</v>
      </c>
      <c r="V102" s="26" t="s">
        <v>54</v>
      </c>
      <c r="W102" s="21" t="s">
        <v>48</v>
      </c>
      <c r="X102" s="20"/>
      <c r="Y102" s="20"/>
      <c r="Z102" s="20"/>
      <c r="AA102" s="20"/>
    </row>
    <row r="103" spans="1:27" ht="409.5">
      <c r="A103" s="9" t="s">
        <v>627</v>
      </c>
      <c r="B103" s="10">
        <v>16</v>
      </c>
      <c r="C103" s="23" t="s">
        <v>666</v>
      </c>
      <c r="D103" s="12">
        <v>16.3</v>
      </c>
      <c r="E103" s="21" t="s">
        <v>679</v>
      </c>
      <c r="F103" s="164">
        <v>2</v>
      </c>
      <c r="G103" s="21" t="s">
        <v>679</v>
      </c>
      <c r="H103" s="14"/>
      <c r="I103" s="14"/>
      <c r="J103" s="33" t="s">
        <v>2060</v>
      </c>
      <c r="K103" s="33" t="s">
        <v>2150</v>
      </c>
      <c r="L103" s="33" t="s">
        <v>2146</v>
      </c>
      <c r="M103" s="33" t="s">
        <v>2147</v>
      </c>
      <c r="N103" s="33" t="s">
        <v>2148</v>
      </c>
      <c r="O103" s="33" t="s">
        <v>2149</v>
      </c>
      <c r="P103" s="29"/>
      <c r="Q103" s="17" t="s">
        <v>676</v>
      </c>
      <c r="R103" s="29" t="s">
        <v>2012</v>
      </c>
      <c r="S103" s="26" t="s">
        <v>680</v>
      </c>
      <c r="T103" s="19" t="s">
        <v>678</v>
      </c>
      <c r="U103" s="19" t="s">
        <v>869</v>
      </c>
      <c r="V103" s="26"/>
      <c r="W103" s="21" t="s">
        <v>48</v>
      </c>
      <c r="X103" s="20"/>
      <c r="Y103" s="20"/>
      <c r="Z103" s="20"/>
      <c r="AA103" s="20"/>
    </row>
    <row r="104" spans="1:27" ht="409.5">
      <c r="A104" s="9" t="s">
        <v>627</v>
      </c>
      <c r="B104" s="43">
        <v>16</v>
      </c>
      <c r="C104" s="23" t="s">
        <v>666</v>
      </c>
      <c r="D104" s="12">
        <v>16.399999999999999</v>
      </c>
      <c r="E104" s="21" t="s">
        <v>681</v>
      </c>
      <c r="F104" s="164">
        <v>3</v>
      </c>
      <c r="G104" s="21" t="s">
        <v>1926</v>
      </c>
      <c r="H104" s="14"/>
      <c r="I104" s="14"/>
      <c r="J104" s="33" t="s">
        <v>2059</v>
      </c>
      <c r="K104" s="33" t="s">
        <v>771</v>
      </c>
      <c r="L104" s="33" t="s">
        <v>1880</v>
      </c>
      <c r="M104" s="33" t="s">
        <v>772</v>
      </c>
      <c r="N104" s="33" t="s">
        <v>773</v>
      </c>
      <c r="O104" s="33" t="s">
        <v>774</v>
      </c>
      <c r="P104" s="29"/>
      <c r="Q104" s="17" t="s">
        <v>102</v>
      </c>
      <c r="R104" s="29" t="s">
        <v>2013</v>
      </c>
      <c r="S104" s="26" t="s">
        <v>672</v>
      </c>
      <c r="T104" s="19" t="s">
        <v>682</v>
      </c>
      <c r="U104" s="19"/>
      <c r="V104" s="26" t="s">
        <v>54</v>
      </c>
      <c r="W104" s="26"/>
      <c r="X104" s="20"/>
      <c r="Y104" s="20"/>
      <c r="Z104" s="20"/>
      <c r="AA104" s="20"/>
    </row>
    <row r="105" spans="1:27" ht="362.25">
      <c r="A105" s="9" t="s">
        <v>627</v>
      </c>
      <c r="B105" s="43">
        <v>16</v>
      </c>
      <c r="C105" s="23" t="s">
        <v>666</v>
      </c>
      <c r="D105" s="12">
        <v>16.5</v>
      </c>
      <c r="E105" s="21" t="s">
        <v>776</v>
      </c>
      <c r="F105" s="164">
        <v>2</v>
      </c>
      <c r="G105" s="21" t="s">
        <v>777</v>
      </c>
      <c r="H105" s="14"/>
      <c r="I105" s="14"/>
      <c r="J105" s="33" t="s">
        <v>683</v>
      </c>
      <c r="K105" s="33" t="s">
        <v>775</v>
      </c>
      <c r="L105" s="33" t="s">
        <v>684</v>
      </c>
      <c r="M105" s="33" t="s">
        <v>685</v>
      </c>
      <c r="N105" s="33" t="s">
        <v>808</v>
      </c>
      <c r="O105" s="33" t="s">
        <v>686</v>
      </c>
      <c r="P105" s="29"/>
      <c r="Q105" s="17" t="s">
        <v>214</v>
      </c>
      <c r="R105" s="29"/>
      <c r="S105" s="26" t="s">
        <v>672</v>
      </c>
      <c r="T105" s="19" t="s">
        <v>343</v>
      </c>
      <c r="U105" s="19"/>
      <c r="V105" s="26" t="s">
        <v>54</v>
      </c>
      <c r="W105" s="26"/>
      <c r="X105" s="20"/>
      <c r="Y105" s="20"/>
      <c r="Z105" s="20"/>
      <c r="AA105" s="20"/>
    </row>
    <row r="106" spans="1:27" ht="409.5">
      <c r="A106" s="9" t="s">
        <v>627</v>
      </c>
      <c r="B106" s="43">
        <v>16</v>
      </c>
      <c r="C106" s="23" t="s">
        <v>666</v>
      </c>
      <c r="D106" s="12">
        <v>16.600000000000001</v>
      </c>
      <c r="E106" s="21" t="s">
        <v>687</v>
      </c>
      <c r="F106" s="164">
        <v>2</v>
      </c>
      <c r="G106" s="21" t="s">
        <v>688</v>
      </c>
      <c r="H106" s="14"/>
      <c r="I106" s="14"/>
      <c r="J106" s="33" t="s">
        <v>2145</v>
      </c>
      <c r="K106" s="33" t="s">
        <v>809</v>
      </c>
      <c r="L106" s="33" t="s">
        <v>1881</v>
      </c>
      <c r="M106" s="33" t="s">
        <v>1882</v>
      </c>
      <c r="N106" s="33" t="s">
        <v>689</v>
      </c>
      <c r="O106" s="33" t="s">
        <v>778</v>
      </c>
      <c r="P106" s="29"/>
      <c r="Q106" s="17" t="s">
        <v>214</v>
      </c>
      <c r="R106" s="29"/>
      <c r="S106" s="26" t="s">
        <v>672</v>
      </c>
      <c r="T106" s="19" t="s">
        <v>690</v>
      </c>
      <c r="U106" s="19"/>
      <c r="V106" s="26" t="s">
        <v>54</v>
      </c>
      <c r="W106" s="26"/>
      <c r="X106" s="20"/>
      <c r="Y106" s="20"/>
      <c r="Z106" s="20"/>
      <c r="AA106" s="20"/>
    </row>
    <row r="107" spans="1:27" ht="362.25">
      <c r="A107" s="9" t="s">
        <v>627</v>
      </c>
      <c r="B107" s="43">
        <v>17</v>
      </c>
      <c r="C107" s="23" t="s">
        <v>666</v>
      </c>
      <c r="D107" s="12">
        <v>17.100000000000001</v>
      </c>
      <c r="E107" s="21" t="s">
        <v>691</v>
      </c>
      <c r="F107" s="164">
        <v>2</v>
      </c>
      <c r="G107" s="21" t="s">
        <v>692</v>
      </c>
      <c r="H107" s="14"/>
      <c r="I107" s="14"/>
      <c r="J107" s="33" t="s">
        <v>2061</v>
      </c>
      <c r="K107" s="33" t="s">
        <v>811</v>
      </c>
      <c r="L107" s="33" t="s">
        <v>1883</v>
      </c>
      <c r="M107" s="33" t="s">
        <v>812</v>
      </c>
      <c r="N107" s="33" t="s">
        <v>813</v>
      </c>
      <c r="O107" s="33" t="s">
        <v>1884</v>
      </c>
      <c r="P107" s="29"/>
      <c r="Q107" s="17" t="s">
        <v>676</v>
      </c>
      <c r="R107" s="29" t="s">
        <v>2014</v>
      </c>
      <c r="S107" s="26" t="s">
        <v>693</v>
      </c>
      <c r="T107" s="19" t="s">
        <v>694</v>
      </c>
      <c r="U107" s="19" t="s">
        <v>876</v>
      </c>
      <c r="V107" s="26"/>
      <c r="W107" s="21" t="s">
        <v>48</v>
      </c>
      <c r="X107" s="20"/>
      <c r="Y107" s="20"/>
      <c r="Z107" s="20"/>
      <c r="AA107" s="20"/>
    </row>
    <row r="108" spans="1:27" ht="409.5">
      <c r="A108" s="9" t="s">
        <v>627</v>
      </c>
      <c r="B108" s="43">
        <v>17</v>
      </c>
      <c r="C108" s="23" t="s">
        <v>666</v>
      </c>
      <c r="D108" s="12">
        <v>17.2</v>
      </c>
      <c r="E108" s="21" t="s">
        <v>695</v>
      </c>
      <c r="F108" s="164">
        <v>2</v>
      </c>
      <c r="G108" s="21" t="s">
        <v>696</v>
      </c>
      <c r="H108" s="14"/>
      <c r="I108" s="14"/>
      <c r="J108" s="33" t="s">
        <v>2062</v>
      </c>
      <c r="K108" s="33" t="s">
        <v>836</v>
      </c>
      <c r="L108" s="33" t="s">
        <v>1885</v>
      </c>
      <c r="M108" s="33" t="s">
        <v>697</v>
      </c>
      <c r="N108" s="33" t="s">
        <v>1886</v>
      </c>
      <c r="O108" s="33" t="s">
        <v>1887</v>
      </c>
      <c r="P108" s="29"/>
      <c r="Q108" s="17" t="s">
        <v>676</v>
      </c>
      <c r="R108" s="29" t="s">
        <v>2015</v>
      </c>
      <c r="S108" s="26" t="s">
        <v>698</v>
      </c>
      <c r="T108" s="19" t="s">
        <v>699</v>
      </c>
      <c r="U108" s="19" t="s">
        <v>877</v>
      </c>
      <c r="V108" s="26"/>
      <c r="W108" s="21" t="s">
        <v>48</v>
      </c>
      <c r="X108" s="20"/>
      <c r="Y108" s="20"/>
      <c r="Z108" s="20"/>
      <c r="AA108" s="20"/>
    </row>
    <row r="109" spans="1:27" ht="409.5">
      <c r="A109" s="9" t="s">
        <v>627</v>
      </c>
      <c r="B109" s="43">
        <v>17</v>
      </c>
      <c r="C109" s="23" t="s">
        <v>666</v>
      </c>
      <c r="D109" s="12">
        <v>17.3</v>
      </c>
      <c r="E109" s="21" t="s">
        <v>700</v>
      </c>
      <c r="F109" s="164">
        <v>2</v>
      </c>
      <c r="G109" s="21" t="s">
        <v>701</v>
      </c>
      <c r="H109" s="14"/>
      <c r="I109" s="14"/>
      <c r="J109" s="33" t="s">
        <v>780</v>
      </c>
      <c r="K109" s="33" t="s">
        <v>779</v>
      </c>
      <c r="L109" s="33" t="s">
        <v>1888</v>
      </c>
      <c r="M109" s="33" t="s">
        <v>1889</v>
      </c>
      <c r="N109" s="33" t="s">
        <v>1890</v>
      </c>
      <c r="O109" s="33" t="s">
        <v>702</v>
      </c>
      <c r="P109" s="29"/>
      <c r="Q109" s="17" t="s">
        <v>92</v>
      </c>
      <c r="R109" s="29" t="s">
        <v>1988</v>
      </c>
      <c r="S109" s="26" t="s">
        <v>698</v>
      </c>
      <c r="T109" s="19" t="s">
        <v>699</v>
      </c>
      <c r="U109" s="19" t="s">
        <v>878</v>
      </c>
      <c r="V109" s="26"/>
      <c r="W109" s="21" t="s">
        <v>48</v>
      </c>
      <c r="X109" s="20"/>
      <c r="Y109" s="20"/>
      <c r="Z109" s="20"/>
      <c r="AA109" s="20"/>
    </row>
    <row r="110" spans="1:27" ht="409.5">
      <c r="A110" s="9" t="s">
        <v>627</v>
      </c>
      <c r="B110" s="10">
        <v>17</v>
      </c>
      <c r="C110" s="23" t="s">
        <v>666</v>
      </c>
      <c r="D110" s="12">
        <v>17.399999999999999</v>
      </c>
      <c r="E110" s="21" t="s">
        <v>703</v>
      </c>
      <c r="F110" s="164">
        <v>2</v>
      </c>
      <c r="G110" s="21" t="s">
        <v>704</v>
      </c>
      <c r="H110" s="14"/>
      <c r="I110" s="14"/>
      <c r="J110" s="64" t="s">
        <v>2063</v>
      </c>
      <c r="K110" s="33" t="s">
        <v>814</v>
      </c>
      <c r="L110" s="64" t="s">
        <v>1891</v>
      </c>
      <c r="M110" s="33" t="s">
        <v>1892</v>
      </c>
      <c r="N110" s="33" t="s">
        <v>1893</v>
      </c>
      <c r="O110" s="33" t="s">
        <v>2136</v>
      </c>
      <c r="P110" s="29"/>
      <c r="Q110" s="17" t="s">
        <v>705</v>
      </c>
      <c r="R110" s="29" t="s">
        <v>2016</v>
      </c>
      <c r="S110" s="26" t="s">
        <v>706</v>
      </c>
      <c r="T110" s="19" t="s">
        <v>707</v>
      </c>
      <c r="U110" s="65" t="s">
        <v>890</v>
      </c>
      <c r="V110" s="26"/>
      <c r="W110" s="21" t="s">
        <v>48</v>
      </c>
      <c r="X110" s="20"/>
      <c r="Y110" s="20"/>
      <c r="Z110" s="20"/>
      <c r="AA110" s="20"/>
    </row>
    <row r="111" spans="1:27" ht="409.5">
      <c r="A111" s="9" t="s">
        <v>627</v>
      </c>
      <c r="B111" s="10">
        <v>17</v>
      </c>
      <c r="C111" s="23" t="s">
        <v>666</v>
      </c>
      <c r="D111" s="12">
        <v>17.5</v>
      </c>
      <c r="E111" s="21" t="s">
        <v>1927</v>
      </c>
      <c r="F111" s="164">
        <v>3</v>
      </c>
      <c r="G111" s="63" t="s">
        <v>880</v>
      </c>
      <c r="H111" s="14"/>
      <c r="I111" s="14"/>
      <c r="J111" s="33" t="s">
        <v>1894</v>
      </c>
      <c r="K111" s="33" t="s">
        <v>781</v>
      </c>
      <c r="L111" s="33" t="s">
        <v>1895</v>
      </c>
      <c r="M111" s="33" t="s">
        <v>708</v>
      </c>
      <c r="N111" s="33" t="s">
        <v>1896</v>
      </c>
      <c r="O111" s="33" t="s">
        <v>1897</v>
      </c>
      <c r="P111" s="29"/>
      <c r="Q111" s="17" t="s">
        <v>709</v>
      </c>
      <c r="R111" s="29" t="s">
        <v>2017</v>
      </c>
      <c r="S111" s="26" t="s">
        <v>706</v>
      </c>
      <c r="T111" s="19" t="s">
        <v>710</v>
      </c>
      <c r="U111" s="65" t="s">
        <v>883</v>
      </c>
      <c r="V111" s="26"/>
      <c r="W111" s="21" t="s">
        <v>48</v>
      </c>
      <c r="X111" s="20" t="s">
        <v>54</v>
      </c>
      <c r="Y111" s="20"/>
      <c r="Z111" s="20"/>
      <c r="AA111" s="20"/>
    </row>
    <row r="112" spans="1:27" ht="409.5">
      <c r="A112" s="9" t="s">
        <v>627</v>
      </c>
      <c r="B112" s="43">
        <v>17</v>
      </c>
      <c r="C112" s="23" t="s">
        <v>666</v>
      </c>
      <c r="D112" s="12">
        <v>17.600000000000001</v>
      </c>
      <c r="E112" s="21" t="s">
        <v>1928</v>
      </c>
      <c r="F112" s="164">
        <v>3</v>
      </c>
      <c r="G112" s="21" t="s">
        <v>711</v>
      </c>
      <c r="H112" s="14"/>
      <c r="I112" s="14"/>
      <c r="J112" s="33" t="s">
        <v>712</v>
      </c>
      <c r="K112" s="33" t="s">
        <v>1898</v>
      </c>
      <c r="L112" s="33" t="s">
        <v>2029</v>
      </c>
      <c r="M112" s="33" t="s">
        <v>1899</v>
      </c>
      <c r="N112" s="33" t="s">
        <v>1900</v>
      </c>
      <c r="O112" s="33" t="s">
        <v>1901</v>
      </c>
      <c r="P112" s="29"/>
      <c r="Q112" s="17" t="s">
        <v>676</v>
      </c>
      <c r="R112" s="29" t="s">
        <v>2018</v>
      </c>
      <c r="S112" s="26"/>
      <c r="T112" s="19" t="s">
        <v>713</v>
      </c>
      <c r="U112" s="65" t="s">
        <v>891</v>
      </c>
      <c r="V112" s="26"/>
      <c r="W112" s="21" t="s">
        <v>48</v>
      </c>
      <c r="X112" s="20" t="s">
        <v>54</v>
      </c>
      <c r="Y112" s="20"/>
      <c r="Z112" s="20"/>
      <c r="AA112" s="20"/>
    </row>
    <row r="113" spans="1:27" ht="409.5">
      <c r="A113" s="9" t="s">
        <v>627</v>
      </c>
      <c r="B113" s="43">
        <v>17</v>
      </c>
      <c r="C113" s="23" t="s">
        <v>666</v>
      </c>
      <c r="D113" s="12">
        <v>17.7</v>
      </c>
      <c r="E113" s="21" t="s">
        <v>714</v>
      </c>
      <c r="F113" s="164">
        <v>3</v>
      </c>
      <c r="G113" s="21" t="s">
        <v>715</v>
      </c>
      <c r="H113" s="14"/>
      <c r="I113" s="14"/>
      <c r="J113" s="33" t="s">
        <v>787</v>
      </c>
      <c r="K113" s="33" t="s">
        <v>782</v>
      </c>
      <c r="L113" s="33" t="s">
        <v>788</v>
      </c>
      <c r="M113" s="33" t="s">
        <v>789</v>
      </c>
      <c r="N113" s="33" t="s">
        <v>716</v>
      </c>
      <c r="O113" s="33" t="s">
        <v>1902</v>
      </c>
      <c r="P113" s="26"/>
      <c r="Q113" s="21" t="s">
        <v>92</v>
      </c>
      <c r="R113" s="29"/>
      <c r="S113" s="26"/>
      <c r="T113" s="19" t="s">
        <v>717</v>
      </c>
      <c r="U113" s="19"/>
      <c r="V113" s="26"/>
      <c r="W113" s="26"/>
      <c r="X113" s="20"/>
      <c r="Y113" s="20"/>
      <c r="Z113" s="20"/>
      <c r="AA113" s="20"/>
    </row>
    <row r="114" spans="1:27" ht="409.5">
      <c r="A114" s="50" t="s">
        <v>718</v>
      </c>
      <c r="B114" s="43">
        <v>18</v>
      </c>
      <c r="C114" s="43" t="s">
        <v>719</v>
      </c>
      <c r="D114" s="51">
        <v>18.100000000000001</v>
      </c>
      <c r="E114" s="21" t="s">
        <v>720</v>
      </c>
      <c r="F114" s="163">
        <v>2</v>
      </c>
      <c r="G114" s="64" t="s">
        <v>721</v>
      </c>
      <c r="H114" s="14"/>
      <c r="I114" s="14"/>
      <c r="J114" s="64" t="s">
        <v>2064</v>
      </c>
      <c r="K114" s="33" t="s">
        <v>895</v>
      </c>
      <c r="L114" s="64" t="s">
        <v>1929</v>
      </c>
      <c r="M114" s="64" t="s">
        <v>898</v>
      </c>
      <c r="N114" s="64" t="s">
        <v>1903</v>
      </c>
      <c r="O114" s="64" t="s">
        <v>896</v>
      </c>
      <c r="P114" s="52"/>
      <c r="Q114" s="17" t="s">
        <v>722</v>
      </c>
      <c r="R114" s="29" t="s">
        <v>2019</v>
      </c>
      <c r="S114" s="53" t="s">
        <v>723</v>
      </c>
      <c r="T114" s="19" t="s">
        <v>216</v>
      </c>
      <c r="U114" s="65" t="s">
        <v>897</v>
      </c>
      <c r="V114" s="53"/>
      <c r="W114" s="54" t="s">
        <v>48</v>
      </c>
      <c r="X114" s="20"/>
      <c r="Y114" s="20"/>
      <c r="Z114" s="20"/>
      <c r="AA114" s="20"/>
    </row>
    <row r="115" spans="1:27" ht="409.5">
      <c r="A115" s="50" t="s">
        <v>718</v>
      </c>
      <c r="B115" s="10">
        <v>18</v>
      </c>
      <c r="C115" s="43" t="s">
        <v>719</v>
      </c>
      <c r="D115" s="51">
        <v>18.2</v>
      </c>
      <c r="E115" s="21" t="s">
        <v>724</v>
      </c>
      <c r="F115" s="163">
        <v>1</v>
      </c>
      <c r="G115" s="39" t="s">
        <v>725</v>
      </c>
      <c r="H115" s="14"/>
      <c r="I115" s="14"/>
      <c r="J115" s="33" t="s">
        <v>815</v>
      </c>
      <c r="K115" s="33" t="s">
        <v>790</v>
      </c>
      <c r="L115" s="33" t="s">
        <v>726</v>
      </c>
      <c r="M115" s="33" t="s">
        <v>1904</v>
      </c>
      <c r="N115" s="33" t="s">
        <v>1905</v>
      </c>
      <c r="O115" s="33" t="s">
        <v>1906</v>
      </c>
      <c r="P115" s="52"/>
      <c r="Q115" s="17" t="s">
        <v>722</v>
      </c>
      <c r="R115" s="29" t="s">
        <v>2020</v>
      </c>
      <c r="S115" s="53" t="s">
        <v>727</v>
      </c>
      <c r="T115" s="19" t="s">
        <v>728</v>
      </c>
      <c r="U115" s="19"/>
      <c r="V115" s="53"/>
      <c r="W115" s="54" t="s">
        <v>48</v>
      </c>
      <c r="X115" s="20"/>
      <c r="Y115" s="20"/>
      <c r="Z115" s="20"/>
      <c r="AA115" s="20"/>
    </row>
    <row r="116" spans="1:27" ht="220.5">
      <c r="A116" s="50" t="s">
        <v>718</v>
      </c>
      <c r="B116" s="10">
        <v>18</v>
      </c>
      <c r="C116" s="43" t="s">
        <v>719</v>
      </c>
      <c r="D116" s="51">
        <v>18.3</v>
      </c>
      <c r="E116" s="21" t="s">
        <v>729</v>
      </c>
      <c r="F116" s="163">
        <v>2</v>
      </c>
      <c r="G116" s="39" t="s">
        <v>730</v>
      </c>
      <c r="H116" s="14"/>
      <c r="I116" s="14"/>
      <c r="J116" s="33" t="s">
        <v>2065</v>
      </c>
      <c r="K116" s="33" t="s">
        <v>791</v>
      </c>
      <c r="L116" s="33" t="s">
        <v>731</v>
      </c>
      <c r="M116" s="33" t="s">
        <v>732</v>
      </c>
      <c r="N116" s="33" t="s">
        <v>816</v>
      </c>
      <c r="O116" s="33" t="s">
        <v>793</v>
      </c>
      <c r="P116" s="45"/>
      <c r="Q116" s="45" t="s">
        <v>722</v>
      </c>
      <c r="R116" s="29" t="s">
        <v>2021</v>
      </c>
      <c r="S116" s="46" t="s">
        <v>733</v>
      </c>
      <c r="T116" s="19" t="s">
        <v>734</v>
      </c>
      <c r="U116" s="19"/>
      <c r="V116" s="53"/>
      <c r="W116" s="55" t="s">
        <v>48</v>
      </c>
      <c r="X116" s="20"/>
      <c r="Y116" s="20"/>
      <c r="Z116" s="20"/>
      <c r="AA116" s="20"/>
    </row>
    <row r="117" spans="1:27" ht="299.25">
      <c r="A117" s="50" t="s">
        <v>718</v>
      </c>
      <c r="B117" s="10">
        <v>18</v>
      </c>
      <c r="C117" s="43" t="s">
        <v>719</v>
      </c>
      <c r="D117" s="51">
        <v>18.399999999999999</v>
      </c>
      <c r="E117" s="21" t="s">
        <v>735</v>
      </c>
      <c r="F117" s="163">
        <v>2</v>
      </c>
      <c r="G117" s="39" t="s">
        <v>736</v>
      </c>
      <c r="H117" s="14"/>
      <c r="I117" s="14"/>
      <c r="J117" s="33" t="s">
        <v>2066</v>
      </c>
      <c r="K117" s="33" t="s">
        <v>792</v>
      </c>
      <c r="L117" s="33" t="s">
        <v>737</v>
      </c>
      <c r="M117" s="33" t="s">
        <v>1907</v>
      </c>
      <c r="N117" s="33" t="s">
        <v>738</v>
      </c>
      <c r="O117" s="33" t="s">
        <v>794</v>
      </c>
      <c r="P117" s="45"/>
      <c r="Q117" s="45" t="s">
        <v>739</v>
      </c>
      <c r="R117" s="29" t="s">
        <v>2022</v>
      </c>
      <c r="S117" s="46" t="s">
        <v>740</v>
      </c>
      <c r="T117" s="19" t="s">
        <v>741</v>
      </c>
      <c r="U117" s="19" t="s">
        <v>894</v>
      </c>
      <c r="V117" s="53"/>
      <c r="W117" s="55" t="s">
        <v>48</v>
      </c>
      <c r="X117" s="20"/>
      <c r="Y117" s="20"/>
      <c r="Z117" s="20"/>
      <c r="AA117" s="20"/>
    </row>
    <row r="118" spans="1:27" ht="315">
      <c r="A118" s="50" t="s">
        <v>718</v>
      </c>
      <c r="B118" s="10">
        <v>18</v>
      </c>
      <c r="C118" s="43" t="s">
        <v>719</v>
      </c>
      <c r="D118" s="51">
        <v>18.5</v>
      </c>
      <c r="E118" s="39" t="s">
        <v>742</v>
      </c>
      <c r="F118" s="163">
        <v>2</v>
      </c>
      <c r="G118" s="39" t="s">
        <v>743</v>
      </c>
      <c r="H118" s="14"/>
      <c r="I118" s="14"/>
      <c r="J118" s="33" t="s">
        <v>795</v>
      </c>
      <c r="K118" s="33" t="s">
        <v>796</v>
      </c>
      <c r="L118" s="33" t="s">
        <v>744</v>
      </c>
      <c r="M118" s="33" t="s">
        <v>1908</v>
      </c>
      <c r="N118" s="33" t="s">
        <v>1909</v>
      </c>
      <c r="O118" s="33" t="s">
        <v>745</v>
      </c>
      <c r="P118" s="45"/>
      <c r="Q118" s="45" t="s">
        <v>739</v>
      </c>
      <c r="R118" s="29" t="s">
        <v>2023</v>
      </c>
      <c r="S118" s="46" t="s">
        <v>740</v>
      </c>
      <c r="T118" s="19" t="s">
        <v>741</v>
      </c>
      <c r="U118" s="47" t="s">
        <v>894</v>
      </c>
      <c r="V118" s="53"/>
      <c r="W118" s="55" t="s">
        <v>48</v>
      </c>
      <c r="X118" s="20"/>
      <c r="Y118" s="20"/>
      <c r="Z118" s="20"/>
      <c r="AA118" s="20"/>
    </row>
    <row r="119" spans="1:27" ht="409.5">
      <c r="A119" s="9" t="s">
        <v>746</v>
      </c>
      <c r="B119" s="10">
        <v>19</v>
      </c>
      <c r="C119" s="23" t="s">
        <v>747</v>
      </c>
      <c r="D119" s="12">
        <v>19.100000000000001</v>
      </c>
      <c r="E119" s="21" t="s">
        <v>748</v>
      </c>
      <c r="F119" s="165">
        <v>2</v>
      </c>
      <c r="G119" s="21" t="s">
        <v>749</v>
      </c>
      <c r="H119" s="14"/>
      <c r="I119" s="14"/>
      <c r="J119" s="64" t="s">
        <v>2068</v>
      </c>
      <c r="K119" s="33" t="s">
        <v>797</v>
      </c>
      <c r="L119" s="33" t="s">
        <v>817</v>
      </c>
      <c r="M119" s="33" t="s">
        <v>1910</v>
      </c>
      <c r="N119" s="33" t="s">
        <v>1911</v>
      </c>
      <c r="O119" s="33" t="s">
        <v>798</v>
      </c>
      <c r="P119" s="29"/>
      <c r="Q119" s="17" t="s">
        <v>102</v>
      </c>
      <c r="R119" s="29" t="s">
        <v>2024</v>
      </c>
      <c r="S119" s="26" t="s">
        <v>750</v>
      </c>
      <c r="T119" s="19" t="s">
        <v>751</v>
      </c>
      <c r="U119" s="65" t="s">
        <v>893</v>
      </c>
      <c r="V119" s="26" t="s">
        <v>54</v>
      </c>
      <c r="W119" s="21" t="s">
        <v>48</v>
      </c>
      <c r="X119" s="20"/>
      <c r="Y119" s="20" t="s">
        <v>54</v>
      </c>
      <c r="Z119" s="20" t="s">
        <v>54</v>
      </c>
      <c r="AA119" s="20"/>
    </row>
    <row r="120" spans="1:27" ht="303.75" customHeight="1">
      <c r="A120" s="9" t="s">
        <v>746</v>
      </c>
      <c r="B120" s="10">
        <v>19</v>
      </c>
      <c r="C120" s="23" t="s">
        <v>747</v>
      </c>
      <c r="D120" s="12">
        <v>19.2</v>
      </c>
      <c r="E120" s="21" t="s">
        <v>752</v>
      </c>
      <c r="F120" s="165">
        <v>2</v>
      </c>
      <c r="G120" s="21" t="s">
        <v>753</v>
      </c>
      <c r="H120" s="14"/>
      <c r="I120" s="14"/>
      <c r="J120" s="33" t="s">
        <v>2069</v>
      </c>
      <c r="K120" s="33" t="s">
        <v>799</v>
      </c>
      <c r="L120" s="33" t="s">
        <v>818</v>
      </c>
      <c r="M120" s="33" t="s">
        <v>1912</v>
      </c>
      <c r="N120" s="33" t="s">
        <v>754</v>
      </c>
      <c r="O120" s="33" t="s">
        <v>755</v>
      </c>
      <c r="P120" s="29"/>
      <c r="Q120" s="17" t="s">
        <v>102</v>
      </c>
      <c r="R120" s="29" t="s">
        <v>2025</v>
      </c>
      <c r="S120" s="26" t="s">
        <v>756</v>
      </c>
      <c r="T120" s="19" t="s">
        <v>757</v>
      </c>
      <c r="U120" s="19"/>
      <c r="V120" s="26"/>
      <c r="W120" s="21" t="s">
        <v>48</v>
      </c>
      <c r="X120" s="20"/>
      <c r="Y120" s="20" t="s">
        <v>54</v>
      </c>
      <c r="Z120" s="20" t="s">
        <v>54</v>
      </c>
      <c r="AA120" s="20"/>
    </row>
    <row r="121" spans="1:27" ht="409.5">
      <c r="A121" s="9" t="s">
        <v>746</v>
      </c>
      <c r="B121" s="10">
        <v>19</v>
      </c>
      <c r="C121" s="23" t="s">
        <v>747</v>
      </c>
      <c r="D121" s="12">
        <v>19.3</v>
      </c>
      <c r="E121" s="21" t="s">
        <v>758</v>
      </c>
      <c r="F121" s="165">
        <v>2</v>
      </c>
      <c r="G121" s="39" t="s">
        <v>759</v>
      </c>
      <c r="H121" s="14"/>
      <c r="I121" s="14"/>
      <c r="J121" s="33" t="s">
        <v>2070</v>
      </c>
      <c r="K121" s="33" t="s">
        <v>800</v>
      </c>
      <c r="L121" s="33" t="s">
        <v>1913</v>
      </c>
      <c r="M121" s="33" t="s">
        <v>1914</v>
      </c>
      <c r="N121" s="33" t="s">
        <v>1915</v>
      </c>
      <c r="O121" s="33" t="s">
        <v>801</v>
      </c>
      <c r="P121" s="29"/>
      <c r="Q121" s="17" t="s">
        <v>760</v>
      </c>
      <c r="R121" s="29" t="s">
        <v>2026</v>
      </c>
      <c r="S121" s="26" t="s">
        <v>761</v>
      </c>
      <c r="T121" s="19" t="s">
        <v>762</v>
      </c>
      <c r="U121" s="19"/>
      <c r="V121" s="26"/>
      <c r="W121" s="21" t="s">
        <v>48</v>
      </c>
      <c r="X121" s="20"/>
      <c r="Y121" s="20"/>
      <c r="Z121" s="20"/>
      <c r="AA121" s="20"/>
    </row>
    <row r="122" spans="1:27" ht="267.75">
      <c r="A122" s="9" t="s">
        <v>746</v>
      </c>
      <c r="B122" s="10">
        <v>19</v>
      </c>
      <c r="C122" s="23" t="s">
        <v>747</v>
      </c>
      <c r="D122" s="12">
        <v>19.399999999999999</v>
      </c>
      <c r="E122" s="21" t="s">
        <v>763</v>
      </c>
      <c r="F122" s="165">
        <v>2</v>
      </c>
      <c r="G122" s="39" t="s">
        <v>764</v>
      </c>
      <c r="H122" s="14"/>
      <c r="I122" s="14"/>
      <c r="J122" s="33" t="s">
        <v>2071</v>
      </c>
      <c r="K122" s="33" t="s">
        <v>803</v>
      </c>
      <c r="L122" s="33" t="s">
        <v>802</v>
      </c>
      <c r="M122" s="33" t="s">
        <v>765</v>
      </c>
      <c r="N122" s="33" t="s">
        <v>1916</v>
      </c>
      <c r="O122" s="33" t="s">
        <v>1917</v>
      </c>
      <c r="P122" s="29"/>
      <c r="Q122" s="17" t="s">
        <v>29</v>
      </c>
      <c r="R122" s="29" t="s">
        <v>2027</v>
      </c>
      <c r="S122" s="26" t="s">
        <v>766</v>
      </c>
      <c r="T122" s="19" t="s">
        <v>767</v>
      </c>
      <c r="U122" s="19"/>
      <c r="V122" s="26"/>
      <c r="W122" s="21" t="s">
        <v>48</v>
      </c>
      <c r="X122" s="20"/>
      <c r="Y122" s="20" t="s">
        <v>54</v>
      </c>
      <c r="Z122" s="20" t="s">
        <v>54</v>
      </c>
      <c r="AA122" s="20"/>
    </row>
    <row r="123" spans="1:27" ht="15.75" customHeight="1">
      <c r="A123" s="48"/>
      <c r="B123" s="56"/>
      <c r="C123" s="56"/>
      <c r="D123" s="57"/>
      <c r="E123" s="20"/>
      <c r="F123" s="58"/>
      <c r="G123" s="59"/>
      <c r="H123" s="60"/>
      <c r="I123" s="60"/>
      <c r="J123" s="61"/>
      <c r="K123" s="61"/>
      <c r="L123" s="59"/>
      <c r="M123" s="59"/>
      <c r="N123" s="59"/>
      <c r="O123" s="20"/>
      <c r="P123" s="20"/>
      <c r="Q123" s="20"/>
      <c r="R123" s="20"/>
      <c r="S123" s="20"/>
      <c r="T123" s="62"/>
      <c r="U123" s="62"/>
      <c r="V123" s="20"/>
      <c r="W123" s="20"/>
      <c r="X123" s="20"/>
      <c r="Y123" s="20"/>
      <c r="Z123" s="20"/>
      <c r="AA123" s="20"/>
    </row>
    <row r="124" spans="1:27" ht="15.75" customHeight="1">
      <c r="A124" s="48"/>
      <c r="B124" s="56"/>
      <c r="C124" s="56"/>
      <c r="D124" s="57"/>
      <c r="E124" s="20"/>
      <c r="F124" s="58"/>
      <c r="G124" s="59"/>
      <c r="H124" s="60"/>
      <c r="I124" s="60"/>
      <c r="J124" s="61"/>
      <c r="K124" s="61"/>
      <c r="L124" s="59"/>
      <c r="M124" s="59"/>
      <c r="N124" s="59"/>
      <c r="O124" s="20"/>
      <c r="P124" s="20"/>
      <c r="Q124" s="20"/>
      <c r="R124" s="20"/>
      <c r="S124" s="20"/>
      <c r="T124" s="62"/>
      <c r="U124" s="62"/>
      <c r="V124" s="20"/>
      <c r="W124" s="20"/>
      <c r="X124" s="20"/>
      <c r="Y124" s="20"/>
      <c r="Z124" s="20"/>
      <c r="AA124" s="20"/>
    </row>
    <row r="125" spans="1:27" ht="15.75" customHeight="1">
      <c r="A125" s="48"/>
      <c r="B125" s="56"/>
      <c r="C125" s="56"/>
      <c r="D125" s="57"/>
      <c r="E125" s="20"/>
      <c r="F125" s="58"/>
      <c r="G125" s="59"/>
      <c r="H125" s="60"/>
      <c r="I125" s="60"/>
      <c r="J125" s="61"/>
      <c r="K125" s="61"/>
      <c r="L125" s="59"/>
      <c r="M125" s="59"/>
      <c r="N125" s="59"/>
      <c r="O125" s="20"/>
      <c r="P125" s="20"/>
      <c r="Q125" s="20"/>
      <c r="R125" s="20"/>
      <c r="S125" s="20"/>
      <c r="T125" s="62"/>
      <c r="U125" s="62"/>
      <c r="V125" s="20"/>
      <c r="W125" s="20"/>
      <c r="X125" s="20"/>
      <c r="Y125" s="20"/>
      <c r="Z125" s="20"/>
      <c r="AA125" s="20"/>
    </row>
    <row r="126" spans="1:27" ht="15.75" customHeight="1">
      <c r="A126" s="48"/>
      <c r="B126" s="56"/>
      <c r="C126" s="56"/>
      <c r="D126" s="56"/>
      <c r="E126" s="20"/>
      <c r="F126" s="56"/>
      <c r="G126" s="20"/>
      <c r="H126" s="60"/>
      <c r="I126" s="60"/>
      <c r="J126" s="20"/>
      <c r="K126" s="20"/>
      <c r="L126" s="20"/>
      <c r="M126" s="20"/>
      <c r="N126" s="20"/>
      <c r="O126" s="20"/>
      <c r="P126" s="20"/>
      <c r="Q126" s="20"/>
      <c r="R126" s="20"/>
      <c r="S126" s="20"/>
      <c r="T126" s="62"/>
      <c r="U126" s="62"/>
      <c r="V126" s="20"/>
      <c r="W126" s="20"/>
      <c r="X126" s="20"/>
      <c r="Y126" s="20"/>
      <c r="Z126" s="20"/>
      <c r="AA126" s="20"/>
    </row>
    <row r="127" spans="1:27" ht="15.75" customHeight="1">
      <c r="A127" s="48"/>
      <c r="B127" s="56"/>
      <c r="C127" s="56"/>
      <c r="D127" s="56"/>
      <c r="E127" s="20"/>
      <c r="F127" s="56"/>
      <c r="G127" s="20"/>
      <c r="H127" s="60"/>
      <c r="I127" s="60"/>
      <c r="J127" s="20"/>
      <c r="K127" s="20"/>
      <c r="L127" s="20"/>
      <c r="M127" s="20"/>
      <c r="N127" s="20"/>
      <c r="O127" s="20"/>
      <c r="P127" s="20"/>
      <c r="Q127" s="20"/>
      <c r="R127" s="20"/>
      <c r="S127" s="20"/>
      <c r="T127" s="62"/>
      <c r="U127" s="62"/>
      <c r="V127" s="20"/>
      <c r="W127" s="20"/>
      <c r="X127" s="20"/>
      <c r="Y127" s="20"/>
      <c r="Z127" s="20"/>
      <c r="AA127" s="20"/>
    </row>
    <row r="128" spans="1:27" ht="15.75" customHeight="1">
      <c r="A128" s="48"/>
      <c r="B128" s="56"/>
      <c r="C128" s="56"/>
      <c r="D128" s="57"/>
      <c r="E128" s="20"/>
      <c r="F128" s="58"/>
      <c r="G128" s="59"/>
      <c r="H128" s="60"/>
      <c r="I128" s="60"/>
      <c r="J128" s="61"/>
      <c r="K128" s="61"/>
      <c r="L128" s="59"/>
      <c r="M128" s="59"/>
      <c r="N128" s="59"/>
      <c r="O128" s="20"/>
      <c r="P128" s="20"/>
      <c r="Q128" s="20"/>
      <c r="R128" s="20"/>
      <c r="S128" s="20"/>
      <c r="T128" s="62"/>
      <c r="U128" s="62"/>
      <c r="V128" s="20"/>
      <c r="W128" s="20"/>
      <c r="X128" s="20"/>
      <c r="Y128" s="20"/>
      <c r="Z128" s="20"/>
      <c r="AA128" s="20"/>
    </row>
    <row r="129" spans="1:27" ht="15.75" customHeight="1">
      <c r="A129" s="48"/>
      <c r="B129" s="56"/>
      <c r="C129" s="56"/>
      <c r="D129" s="57"/>
      <c r="E129" s="20"/>
      <c r="F129" s="58"/>
      <c r="G129" s="59"/>
      <c r="H129" s="60"/>
      <c r="I129" s="60"/>
      <c r="J129" s="61"/>
      <c r="K129" s="61"/>
      <c r="L129" s="59"/>
      <c r="M129" s="59"/>
      <c r="N129" s="59"/>
      <c r="O129" s="20"/>
      <c r="P129" s="20"/>
      <c r="Q129" s="20"/>
      <c r="R129" s="20"/>
      <c r="S129" s="20"/>
      <c r="T129" s="62"/>
      <c r="U129" s="62"/>
      <c r="V129" s="20"/>
      <c r="W129" s="20"/>
      <c r="X129" s="20"/>
      <c r="Y129" s="20"/>
      <c r="Z129" s="20"/>
      <c r="AA129" s="20"/>
    </row>
    <row r="130" spans="1:27" ht="15.75" customHeight="1">
      <c r="A130" s="48"/>
      <c r="B130" s="56"/>
      <c r="C130" s="56"/>
      <c r="D130" s="57"/>
      <c r="E130" s="20"/>
      <c r="F130" s="58"/>
      <c r="G130" s="59"/>
      <c r="H130" s="60"/>
      <c r="I130" s="60"/>
      <c r="J130" s="61"/>
      <c r="K130" s="61"/>
      <c r="L130" s="59"/>
      <c r="M130" s="59"/>
      <c r="N130" s="59"/>
      <c r="O130" s="20"/>
      <c r="P130" s="20"/>
      <c r="Q130" s="20"/>
      <c r="R130" s="20"/>
      <c r="S130" s="20"/>
      <c r="T130" s="62"/>
      <c r="U130" s="62"/>
      <c r="V130" s="20"/>
      <c r="W130" s="20"/>
      <c r="X130" s="20"/>
      <c r="Y130" s="20"/>
      <c r="Z130" s="20"/>
      <c r="AA130" s="20"/>
    </row>
    <row r="131" spans="1:27" ht="15.75" customHeight="1">
      <c r="A131" s="48"/>
      <c r="B131" s="56"/>
      <c r="C131" s="56"/>
      <c r="D131" s="57"/>
      <c r="E131" s="20"/>
      <c r="F131" s="58"/>
      <c r="G131" s="20"/>
      <c r="H131" s="60"/>
      <c r="I131" s="60"/>
      <c r="J131" s="61"/>
      <c r="K131" s="61"/>
      <c r="L131" s="59"/>
      <c r="M131" s="59"/>
      <c r="N131" s="59"/>
      <c r="O131" s="59"/>
      <c r="P131" s="20"/>
      <c r="Q131" s="20"/>
      <c r="R131" s="20"/>
      <c r="S131" s="20"/>
      <c r="T131" s="62"/>
      <c r="U131" s="62"/>
      <c r="V131" s="20"/>
      <c r="W131" s="20"/>
      <c r="X131" s="20"/>
      <c r="Y131" s="20"/>
      <c r="Z131" s="20"/>
      <c r="AA131" s="20"/>
    </row>
    <row r="132" spans="1:27" ht="15.75" customHeight="1">
      <c r="A132" s="48"/>
      <c r="B132" s="56"/>
      <c r="C132" s="56"/>
      <c r="D132" s="57"/>
      <c r="E132" s="20"/>
      <c r="F132" s="58"/>
      <c r="G132" s="20"/>
      <c r="H132" s="60"/>
      <c r="I132" s="60"/>
      <c r="J132" s="61"/>
      <c r="K132" s="61"/>
      <c r="L132" s="59"/>
      <c r="M132" s="59"/>
      <c r="N132" s="59"/>
      <c r="O132" s="59"/>
      <c r="P132" s="20"/>
      <c r="Q132" s="20"/>
      <c r="R132" s="20"/>
      <c r="S132" s="20"/>
      <c r="T132" s="62"/>
      <c r="U132" s="62"/>
      <c r="V132" s="20"/>
      <c r="W132" s="20"/>
      <c r="X132" s="20"/>
      <c r="Y132" s="20"/>
      <c r="Z132" s="20"/>
      <c r="AA132" s="20"/>
    </row>
    <row r="133" spans="1:27" ht="15.75" customHeight="1">
      <c r="A133" s="48"/>
      <c r="B133" s="56"/>
      <c r="C133" s="56"/>
      <c r="D133" s="57"/>
      <c r="E133" s="20"/>
      <c r="F133" s="58"/>
      <c r="G133" s="20"/>
      <c r="H133" s="60"/>
      <c r="I133" s="60"/>
      <c r="J133" s="61"/>
      <c r="K133" s="61"/>
      <c r="L133" s="59"/>
      <c r="M133" s="59"/>
      <c r="N133" s="59"/>
      <c r="O133" s="59"/>
      <c r="P133" s="20"/>
      <c r="Q133" s="20"/>
      <c r="R133" s="20"/>
      <c r="S133" s="20"/>
      <c r="T133" s="62"/>
      <c r="U133" s="62"/>
      <c r="V133" s="20"/>
      <c r="W133" s="20"/>
      <c r="X133" s="20"/>
      <c r="Y133" s="20"/>
      <c r="Z133" s="20"/>
      <c r="AA133" s="20"/>
    </row>
    <row r="134" spans="1:27" ht="15.75" customHeight="1">
      <c r="A134" s="48"/>
      <c r="B134" s="56"/>
      <c r="C134" s="56"/>
      <c r="D134" s="57"/>
      <c r="E134" s="20"/>
      <c r="F134" s="58"/>
      <c r="G134" s="20"/>
      <c r="H134" s="60"/>
      <c r="I134" s="60"/>
      <c r="J134" s="61"/>
      <c r="K134" s="61"/>
      <c r="L134" s="59"/>
      <c r="M134" s="59"/>
      <c r="N134" s="59"/>
      <c r="O134" s="59"/>
      <c r="P134" s="20"/>
      <c r="Q134" s="20"/>
      <c r="R134" s="20"/>
      <c r="S134" s="20"/>
      <c r="T134" s="62"/>
      <c r="U134" s="62"/>
      <c r="V134" s="20"/>
      <c r="W134" s="20"/>
      <c r="X134" s="20"/>
      <c r="Y134" s="20"/>
      <c r="Z134" s="20"/>
      <c r="AA134" s="20"/>
    </row>
    <row r="135" spans="1:27" ht="15.75" customHeight="1">
      <c r="A135" s="48"/>
      <c r="B135" s="56"/>
      <c r="C135" s="56"/>
      <c r="D135" s="57"/>
      <c r="E135" s="20"/>
      <c r="F135" s="58"/>
      <c r="G135" s="20"/>
      <c r="H135" s="60"/>
      <c r="I135" s="60"/>
      <c r="J135" s="61"/>
      <c r="K135" s="61"/>
      <c r="L135" s="59"/>
      <c r="M135" s="59"/>
      <c r="N135" s="59"/>
      <c r="O135" s="59"/>
      <c r="P135" s="20"/>
      <c r="Q135" s="20"/>
      <c r="R135" s="20"/>
      <c r="S135" s="20"/>
      <c r="T135" s="62"/>
      <c r="U135" s="62"/>
      <c r="V135" s="20"/>
      <c r="W135" s="20"/>
      <c r="X135" s="20"/>
      <c r="Y135" s="20"/>
      <c r="Z135" s="20"/>
      <c r="AA135" s="20"/>
    </row>
    <row r="136" spans="1:27" ht="15.75" customHeight="1">
      <c r="A136" s="48"/>
      <c r="B136" s="56"/>
      <c r="C136" s="56"/>
      <c r="D136" s="57"/>
      <c r="E136" s="20"/>
      <c r="F136" s="58"/>
      <c r="G136" s="20"/>
      <c r="H136" s="60"/>
      <c r="I136" s="60"/>
      <c r="J136" s="61"/>
      <c r="K136" s="61"/>
      <c r="L136" s="59"/>
      <c r="M136" s="59"/>
      <c r="N136" s="59"/>
      <c r="O136" s="59"/>
      <c r="P136" s="20"/>
      <c r="Q136" s="20"/>
      <c r="R136" s="20"/>
      <c r="S136" s="20"/>
      <c r="T136" s="62"/>
      <c r="U136" s="62"/>
      <c r="V136" s="20"/>
      <c r="W136" s="20"/>
      <c r="X136" s="20"/>
      <c r="Y136" s="20"/>
      <c r="Z136" s="20"/>
      <c r="AA136" s="20"/>
    </row>
    <row r="137" spans="1:27" ht="15.75" customHeight="1">
      <c r="A137" s="48"/>
      <c r="B137" s="56"/>
      <c r="C137" s="56"/>
      <c r="D137" s="57"/>
      <c r="E137" s="20"/>
      <c r="F137" s="58"/>
      <c r="G137" s="20"/>
      <c r="H137" s="60"/>
      <c r="I137" s="60"/>
      <c r="J137" s="61"/>
      <c r="K137" s="61"/>
      <c r="L137" s="59"/>
      <c r="M137" s="59"/>
      <c r="N137" s="59"/>
      <c r="O137" s="59"/>
      <c r="P137" s="20"/>
      <c r="Q137" s="20"/>
      <c r="R137" s="20"/>
      <c r="S137" s="20"/>
      <c r="T137" s="62"/>
      <c r="U137" s="62"/>
      <c r="V137" s="20"/>
      <c r="W137" s="20"/>
      <c r="X137" s="20"/>
      <c r="Y137" s="20"/>
      <c r="Z137" s="20"/>
      <c r="AA137" s="20"/>
    </row>
    <row r="138" spans="1:27" ht="15.75" customHeight="1">
      <c r="A138" s="48"/>
      <c r="B138" s="56"/>
      <c r="C138" s="56"/>
      <c r="D138" s="57"/>
      <c r="E138" s="20"/>
      <c r="F138" s="58"/>
      <c r="G138" s="20"/>
      <c r="H138" s="60"/>
      <c r="I138" s="60"/>
      <c r="J138" s="61"/>
      <c r="K138" s="61"/>
      <c r="L138" s="59"/>
      <c r="M138" s="59"/>
      <c r="N138" s="59"/>
      <c r="O138" s="59"/>
      <c r="P138" s="20"/>
      <c r="Q138" s="20"/>
      <c r="R138" s="20"/>
      <c r="S138" s="20"/>
      <c r="T138" s="62"/>
      <c r="U138" s="62"/>
      <c r="V138" s="20"/>
      <c r="W138" s="20"/>
      <c r="X138" s="20"/>
      <c r="Y138" s="20"/>
      <c r="Z138" s="20"/>
      <c r="AA138" s="20"/>
    </row>
    <row r="139" spans="1:27" ht="15.75" customHeight="1">
      <c r="A139" s="48"/>
      <c r="B139" s="56"/>
      <c r="C139" s="56"/>
      <c r="D139" s="57"/>
      <c r="E139" s="20"/>
      <c r="F139" s="58"/>
      <c r="G139" s="20"/>
      <c r="H139" s="60"/>
      <c r="I139" s="60"/>
      <c r="J139" s="61"/>
      <c r="K139" s="61"/>
      <c r="L139" s="59"/>
      <c r="M139" s="59"/>
      <c r="N139" s="59"/>
      <c r="O139" s="59"/>
      <c r="P139" s="20"/>
      <c r="Q139" s="20"/>
      <c r="R139" s="20"/>
      <c r="S139" s="20"/>
      <c r="T139" s="62"/>
      <c r="U139" s="62"/>
      <c r="V139" s="20"/>
      <c r="W139" s="20"/>
      <c r="X139" s="20"/>
      <c r="Y139" s="20"/>
      <c r="Z139" s="20"/>
      <c r="AA139" s="20"/>
    </row>
    <row r="140" spans="1:27" ht="15.75" customHeight="1">
      <c r="A140" s="48"/>
      <c r="B140" s="56"/>
      <c r="C140" s="56"/>
      <c r="D140" s="57"/>
      <c r="E140" s="20"/>
      <c r="F140" s="58"/>
      <c r="G140" s="20"/>
      <c r="H140" s="60"/>
      <c r="I140" s="60"/>
      <c r="J140" s="61"/>
      <c r="K140" s="61"/>
      <c r="L140" s="59"/>
      <c r="M140" s="59"/>
      <c r="N140" s="59"/>
      <c r="O140" s="59"/>
      <c r="P140" s="20"/>
      <c r="Q140" s="20"/>
      <c r="R140" s="20"/>
      <c r="S140" s="20"/>
      <c r="T140" s="62"/>
      <c r="U140" s="62"/>
      <c r="V140" s="20"/>
      <c r="W140" s="20"/>
      <c r="X140" s="20"/>
      <c r="Y140" s="20"/>
      <c r="Z140" s="20"/>
      <c r="AA140" s="20"/>
    </row>
    <row r="141" spans="1:27" ht="15.75" customHeight="1">
      <c r="A141" s="48"/>
      <c r="B141" s="56"/>
      <c r="C141" s="56"/>
      <c r="D141" s="57"/>
      <c r="E141" s="20"/>
      <c r="F141" s="58"/>
      <c r="G141" s="20"/>
      <c r="H141" s="60"/>
      <c r="I141" s="60"/>
      <c r="J141" s="61"/>
      <c r="K141" s="61"/>
      <c r="L141" s="59"/>
      <c r="M141" s="59"/>
      <c r="N141" s="59"/>
      <c r="O141" s="59"/>
      <c r="P141" s="20"/>
      <c r="Q141" s="20"/>
      <c r="R141" s="20"/>
      <c r="S141" s="20"/>
      <c r="T141" s="62"/>
      <c r="U141" s="62"/>
      <c r="V141" s="20"/>
      <c r="W141" s="20"/>
      <c r="X141" s="20"/>
      <c r="Y141" s="20"/>
      <c r="Z141" s="20"/>
      <c r="AA141" s="20"/>
    </row>
    <row r="142" spans="1:27" ht="15.75" customHeight="1">
      <c r="A142" s="48"/>
      <c r="B142" s="56"/>
      <c r="C142" s="56"/>
      <c r="D142" s="57"/>
      <c r="E142" s="20"/>
      <c r="F142" s="58"/>
      <c r="G142" s="20"/>
      <c r="H142" s="60"/>
      <c r="I142" s="60"/>
      <c r="J142" s="61"/>
      <c r="K142" s="61"/>
      <c r="L142" s="59"/>
      <c r="M142" s="59"/>
      <c r="N142" s="59"/>
      <c r="O142" s="59"/>
      <c r="P142" s="20"/>
      <c r="Q142" s="20"/>
      <c r="R142" s="20"/>
      <c r="S142" s="20"/>
      <c r="T142" s="62"/>
      <c r="U142" s="62"/>
      <c r="V142" s="20"/>
      <c r="W142" s="20"/>
      <c r="X142" s="20"/>
      <c r="Y142" s="20"/>
      <c r="Z142" s="20"/>
      <c r="AA142" s="20"/>
    </row>
    <row r="143" spans="1:27" ht="15.75" customHeight="1">
      <c r="A143" s="48"/>
      <c r="B143" s="56"/>
      <c r="C143" s="56"/>
      <c r="D143" s="57"/>
      <c r="E143" s="20"/>
      <c r="F143" s="58"/>
      <c r="G143" s="20"/>
      <c r="H143" s="60"/>
      <c r="I143" s="60"/>
      <c r="J143" s="61"/>
      <c r="K143" s="61"/>
      <c r="L143" s="59"/>
      <c r="M143" s="59"/>
      <c r="N143" s="59"/>
      <c r="O143" s="59"/>
      <c r="P143" s="20"/>
      <c r="Q143" s="20"/>
      <c r="R143" s="20"/>
      <c r="S143" s="20"/>
      <c r="T143" s="62"/>
      <c r="U143" s="62"/>
      <c r="V143" s="20"/>
      <c r="W143" s="20"/>
      <c r="X143" s="20"/>
      <c r="Y143" s="20"/>
      <c r="Z143" s="20"/>
      <c r="AA143" s="20"/>
    </row>
    <row r="144" spans="1:27" ht="15.75" customHeight="1">
      <c r="A144" s="48"/>
      <c r="B144" s="56"/>
      <c r="C144" s="56"/>
      <c r="D144" s="57"/>
      <c r="E144" s="20"/>
      <c r="F144" s="58"/>
      <c r="G144" s="20"/>
      <c r="H144" s="60"/>
      <c r="I144" s="60"/>
      <c r="J144" s="61"/>
      <c r="K144" s="61"/>
      <c r="L144" s="59"/>
      <c r="M144" s="59"/>
      <c r="N144" s="59"/>
      <c r="O144" s="59"/>
      <c r="P144" s="20"/>
      <c r="Q144" s="20"/>
      <c r="R144" s="20"/>
      <c r="S144" s="20"/>
      <c r="T144" s="62"/>
      <c r="U144" s="62"/>
      <c r="V144" s="20"/>
      <c r="W144" s="20"/>
      <c r="X144" s="20"/>
      <c r="Y144" s="20"/>
      <c r="Z144" s="20"/>
      <c r="AA144" s="20"/>
    </row>
    <row r="145" spans="1:27" ht="15.75" customHeight="1">
      <c r="A145" s="48"/>
      <c r="B145" s="56"/>
      <c r="C145" s="56"/>
      <c r="D145" s="57"/>
      <c r="E145" s="20"/>
      <c r="F145" s="58"/>
      <c r="G145" s="20"/>
      <c r="H145" s="60"/>
      <c r="I145" s="60"/>
      <c r="J145" s="61"/>
      <c r="K145" s="61"/>
      <c r="L145" s="59"/>
      <c r="M145" s="59"/>
      <c r="N145" s="59"/>
      <c r="O145" s="59"/>
      <c r="P145" s="20"/>
      <c r="Q145" s="20"/>
      <c r="R145" s="20"/>
      <c r="S145" s="20"/>
      <c r="T145" s="62"/>
      <c r="U145" s="62"/>
      <c r="V145" s="20"/>
      <c r="W145" s="20"/>
      <c r="X145" s="20"/>
      <c r="Y145" s="20"/>
      <c r="Z145" s="20"/>
      <c r="AA145" s="20"/>
    </row>
    <row r="146" spans="1:27" ht="15.75" customHeight="1">
      <c r="A146" s="48"/>
      <c r="B146" s="56"/>
      <c r="C146" s="56"/>
      <c r="D146" s="57"/>
      <c r="E146" s="20"/>
      <c r="F146" s="58"/>
      <c r="G146" s="20"/>
      <c r="H146" s="60"/>
      <c r="I146" s="60"/>
      <c r="J146" s="61"/>
      <c r="K146" s="61"/>
      <c r="L146" s="59"/>
      <c r="M146" s="59"/>
      <c r="N146" s="59"/>
      <c r="O146" s="59"/>
      <c r="P146" s="20"/>
      <c r="Q146" s="20"/>
      <c r="R146" s="20"/>
      <c r="S146" s="20"/>
      <c r="T146" s="62"/>
      <c r="U146" s="62"/>
      <c r="V146" s="20"/>
      <c r="W146" s="20"/>
      <c r="X146" s="20"/>
      <c r="Y146" s="20"/>
      <c r="Z146" s="20"/>
      <c r="AA146" s="20"/>
    </row>
    <row r="147" spans="1:27" ht="15.75" customHeight="1">
      <c r="A147" s="48"/>
      <c r="B147" s="56"/>
      <c r="C147" s="56"/>
      <c r="D147" s="57"/>
      <c r="E147" s="20"/>
      <c r="F147" s="58"/>
      <c r="G147" s="20"/>
      <c r="H147" s="60"/>
      <c r="I147" s="60"/>
      <c r="J147" s="61"/>
      <c r="K147" s="61"/>
      <c r="L147" s="59"/>
      <c r="M147" s="59"/>
      <c r="N147" s="59"/>
      <c r="O147" s="59"/>
      <c r="P147" s="20"/>
      <c r="Q147" s="20"/>
      <c r="R147" s="20"/>
      <c r="S147" s="20"/>
      <c r="T147" s="62"/>
      <c r="U147" s="62"/>
      <c r="V147" s="20"/>
      <c r="W147" s="20"/>
      <c r="X147" s="20"/>
      <c r="Y147" s="20"/>
      <c r="Z147" s="20"/>
      <c r="AA147" s="20"/>
    </row>
    <row r="148" spans="1:27" ht="15.75" customHeight="1">
      <c r="A148" s="48"/>
      <c r="B148" s="56"/>
      <c r="C148" s="56"/>
      <c r="D148" s="57"/>
      <c r="E148" s="20"/>
      <c r="F148" s="58"/>
      <c r="G148" s="20"/>
      <c r="H148" s="60"/>
      <c r="I148" s="60"/>
      <c r="J148" s="61"/>
      <c r="K148" s="61"/>
      <c r="L148" s="59"/>
      <c r="M148" s="59"/>
      <c r="N148" s="59"/>
      <c r="O148" s="59"/>
      <c r="P148" s="20"/>
      <c r="Q148" s="20"/>
      <c r="R148" s="20"/>
      <c r="S148" s="20"/>
      <c r="T148" s="62"/>
      <c r="U148" s="62"/>
      <c r="V148" s="20"/>
      <c r="W148" s="20"/>
      <c r="X148" s="20"/>
      <c r="Y148" s="20"/>
      <c r="Z148" s="20"/>
      <c r="AA148" s="20"/>
    </row>
    <row r="149" spans="1:27" ht="15.75" customHeight="1">
      <c r="A149" s="48"/>
      <c r="B149" s="56"/>
      <c r="C149" s="56"/>
      <c r="D149" s="57"/>
      <c r="E149" s="20"/>
      <c r="F149" s="58"/>
      <c r="G149" s="20"/>
      <c r="H149" s="60"/>
      <c r="I149" s="60"/>
      <c r="J149" s="61"/>
      <c r="K149" s="61"/>
      <c r="L149" s="59"/>
      <c r="M149" s="59"/>
      <c r="N149" s="59"/>
      <c r="O149" s="59"/>
      <c r="P149" s="20"/>
      <c r="Q149" s="20"/>
      <c r="R149" s="20"/>
      <c r="S149" s="20"/>
      <c r="T149" s="62"/>
      <c r="U149" s="62"/>
      <c r="V149" s="20"/>
      <c r="W149" s="20"/>
      <c r="X149" s="20"/>
      <c r="Y149" s="20"/>
      <c r="Z149" s="20"/>
      <c r="AA149" s="20"/>
    </row>
    <row r="150" spans="1:27" ht="15.75" customHeight="1">
      <c r="A150" s="48"/>
      <c r="B150" s="56"/>
      <c r="C150" s="56"/>
      <c r="D150" s="57"/>
      <c r="E150" s="20"/>
      <c r="F150" s="58"/>
      <c r="G150" s="20"/>
      <c r="H150" s="60"/>
      <c r="I150" s="60"/>
      <c r="J150" s="61"/>
      <c r="K150" s="61"/>
      <c r="L150" s="59"/>
      <c r="M150" s="59"/>
      <c r="N150" s="59"/>
      <c r="O150" s="59"/>
      <c r="P150" s="20"/>
      <c r="Q150" s="20"/>
      <c r="R150" s="20"/>
      <c r="S150" s="20"/>
      <c r="T150" s="62"/>
      <c r="U150" s="62"/>
      <c r="V150" s="20"/>
      <c r="W150" s="20"/>
      <c r="X150" s="20"/>
      <c r="Y150" s="20"/>
      <c r="Z150" s="20"/>
      <c r="AA150" s="20"/>
    </row>
    <row r="151" spans="1:27" ht="15.75" customHeight="1">
      <c r="A151" s="48"/>
      <c r="B151" s="56"/>
      <c r="C151" s="56"/>
      <c r="D151" s="57"/>
      <c r="E151" s="20"/>
      <c r="F151" s="58"/>
      <c r="G151" s="20"/>
      <c r="H151" s="60"/>
      <c r="I151" s="60"/>
      <c r="J151" s="61"/>
      <c r="K151" s="61"/>
      <c r="L151" s="59"/>
      <c r="M151" s="59"/>
      <c r="N151" s="59"/>
      <c r="O151" s="59"/>
      <c r="P151" s="20"/>
      <c r="Q151" s="20"/>
      <c r="R151" s="20"/>
      <c r="S151" s="20"/>
      <c r="T151" s="62"/>
      <c r="U151" s="62"/>
      <c r="V151" s="20"/>
      <c r="W151" s="20"/>
      <c r="X151" s="20"/>
      <c r="Y151" s="20"/>
      <c r="Z151" s="20"/>
      <c r="AA151" s="20"/>
    </row>
    <row r="152" spans="1:27" ht="15.75" customHeight="1">
      <c r="A152" s="48"/>
      <c r="B152" s="56"/>
      <c r="C152" s="56"/>
      <c r="D152" s="57"/>
      <c r="E152" s="20"/>
      <c r="F152" s="58"/>
      <c r="G152" s="20"/>
      <c r="H152" s="60"/>
      <c r="I152" s="60"/>
      <c r="J152" s="61"/>
      <c r="K152" s="61"/>
      <c r="L152" s="59"/>
      <c r="M152" s="59"/>
      <c r="N152" s="59"/>
      <c r="O152" s="59"/>
      <c r="P152" s="20"/>
      <c r="Q152" s="20"/>
      <c r="R152" s="20"/>
      <c r="S152" s="20"/>
      <c r="T152" s="62"/>
      <c r="U152" s="62"/>
      <c r="V152" s="20"/>
      <c r="W152" s="20"/>
      <c r="X152" s="20"/>
      <c r="Y152" s="20"/>
      <c r="Z152" s="20"/>
      <c r="AA152" s="20"/>
    </row>
    <row r="153" spans="1:27" ht="15.75" customHeight="1">
      <c r="A153" s="48"/>
      <c r="B153" s="56"/>
      <c r="C153" s="56"/>
      <c r="D153" s="57"/>
      <c r="E153" s="20"/>
      <c r="F153" s="58"/>
      <c r="G153" s="20"/>
      <c r="H153" s="60"/>
      <c r="I153" s="60"/>
      <c r="J153" s="61"/>
      <c r="K153" s="61"/>
      <c r="L153" s="59"/>
      <c r="M153" s="59"/>
      <c r="N153" s="59"/>
      <c r="O153" s="59"/>
      <c r="P153" s="20"/>
      <c r="Q153" s="20"/>
      <c r="R153" s="20"/>
      <c r="S153" s="20"/>
      <c r="T153" s="62"/>
      <c r="U153" s="62"/>
      <c r="V153" s="20"/>
      <c r="W153" s="20"/>
      <c r="X153" s="20"/>
      <c r="Y153" s="20"/>
      <c r="Z153" s="20"/>
      <c r="AA153" s="20"/>
    </row>
    <row r="154" spans="1:27" ht="15.75" customHeight="1">
      <c r="A154" s="48"/>
      <c r="B154" s="56"/>
      <c r="C154" s="56"/>
      <c r="D154" s="57"/>
      <c r="E154" s="20"/>
      <c r="F154" s="58"/>
      <c r="G154" s="20"/>
      <c r="H154" s="60"/>
      <c r="I154" s="60"/>
      <c r="J154" s="61"/>
      <c r="K154" s="61"/>
      <c r="L154" s="59"/>
      <c r="M154" s="59"/>
      <c r="N154" s="59"/>
      <c r="O154" s="59"/>
      <c r="P154" s="20"/>
      <c r="Q154" s="20"/>
      <c r="R154" s="20"/>
      <c r="S154" s="20"/>
      <c r="T154" s="62"/>
      <c r="U154" s="62"/>
      <c r="V154" s="20"/>
      <c r="W154" s="20"/>
      <c r="X154" s="20"/>
      <c r="Y154" s="20"/>
      <c r="Z154" s="20"/>
      <c r="AA154" s="20"/>
    </row>
    <row r="155" spans="1:27" ht="15.75" customHeight="1">
      <c r="A155" s="48"/>
      <c r="B155" s="56"/>
      <c r="C155" s="56"/>
      <c r="D155" s="57"/>
      <c r="E155" s="20"/>
      <c r="F155" s="58"/>
      <c r="G155" s="20"/>
      <c r="H155" s="60"/>
      <c r="I155" s="60"/>
      <c r="J155" s="61"/>
      <c r="K155" s="61"/>
      <c r="L155" s="59"/>
      <c r="M155" s="59"/>
      <c r="N155" s="59"/>
      <c r="O155" s="59"/>
      <c r="P155" s="20"/>
      <c r="Q155" s="20"/>
      <c r="R155" s="20"/>
      <c r="S155" s="20"/>
      <c r="T155" s="62"/>
      <c r="U155" s="62"/>
      <c r="V155" s="20"/>
      <c r="W155" s="20"/>
      <c r="X155" s="20"/>
      <c r="Y155" s="20"/>
      <c r="Z155" s="20"/>
      <c r="AA155" s="20"/>
    </row>
    <row r="156" spans="1:27" ht="15.75" customHeight="1">
      <c r="A156" s="48"/>
      <c r="B156" s="56"/>
      <c r="C156" s="56"/>
      <c r="D156" s="57"/>
      <c r="E156" s="20"/>
      <c r="F156" s="58"/>
      <c r="G156" s="20"/>
      <c r="H156" s="60"/>
      <c r="I156" s="60"/>
      <c r="J156" s="61"/>
      <c r="K156" s="61"/>
      <c r="L156" s="59"/>
      <c r="M156" s="59"/>
      <c r="N156" s="59"/>
      <c r="O156" s="59"/>
      <c r="P156" s="20"/>
      <c r="Q156" s="20"/>
      <c r="R156" s="20"/>
      <c r="S156" s="20"/>
      <c r="T156" s="62"/>
      <c r="U156" s="62"/>
      <c r="V156" s="20"/>
      <c r="W156" s="20"/>
      <c r="X156" s="20"/>
      <c r="Y156" s="20"/>
      <c r="Z156" s="20"/>
      <c r="AA156" s="20"/>
    </row>
    <row r="157" spans="1:27" ht="15.75" customHeight="1">
      <c r="A157" s="48"/>
      <c r="B157" s="56"/>
      <c r="C157" s="56"/>
      <c r="D157" s="57"/>
      <c r="E157" s="20"/>
      <c r="F157" s="58"/>
      <c r="G157" s="20"/>
      <c r="H157" s="60"/>
      <c r="I157" s="60"/>
      <c r="J157" s="61"/>
      <c r="K157" s="61"/>
      <c r="L157" s="59"/>
      <c r="M157" s="59"/>
      <c r="N157" s="59"/>
      <c r="O157" s="59"/>
      <c r="P157" s="20"/>
      <c r="Q157" s="20"/>
      <c r="R157" s="20"/>
      <c r="S157" s="20"/>
      <c r="T157" s="62"/>
      <c r="U157" s="62"/>
      <c r="V157" s="20"/>
      <c r="W157" s="20"/>
      <c r="X157" s="20"/>
      <c r="Y157" s="20"/>
      <c r="Z157" s="20"/>
      <c r="AA157" s="20"/>
    </row>
    <row r="158" spans="1:27" ht="15.75" customHeight="1">
      <c r="A158" s="48"/>
      <c r="B158" s="56"/>
      <c r="C158" s="56"/>
      <c r="D158" s="57"/>
      <c r="E158" s="20"/>
      <c r="F158" s="58"/>
      <c r="G158" s="20"/>
      <c r="H158" s="60"/>
      <c r="I158" s="60"/>
      <c r="J158" s="61"/>
      <c r="K158" s="61"/>
      <c r="L158" s="59"/>
      <c r="M158" s="59"/>
      <c r="N158" s="59"/>
      <c r="O158" s="59"/>
      <c r="P158" s="20"/>
      <c r="Q158" s="20"/>
      <c r="R158" s="20"/>
      <c r="S158" s="20"/>
      <c r="T158" s="62"/>
      <c r="U158" s="62"/>
      <c r="V158" s="20"/>
      <c r="W158" s="20"/>
      <c r="X158" s="20"/>
      <c r="Y158" s="20"/>
      <c r="Z158" s="20"/>
      <c r="AA158" s="20"/>
    </row>
    <row r="159" spans="1:27" ht="15.75" customHeight="1">
      <c r="A159" s="48"/>
      <c r="B159" s="56"/>
      <c r="C159" s="56"/>
      <c r="D159" s="57"/>
      <c r="E159" s="20"/>
      <c r="F159" s="58"/>
      <c r="G159" s="20"/>
      <c r="H159" s="60"/>
      <c r="I159" s="60"/>
      <c r="J159" s="61"/>
      <c r="K159" s="61"/>
      <c r="L159" s="59"/>
      <c r="M159" s="59"/>
      <c r="N159" s="59"/>
      <c r="O159" s="59"/>
      <c r="P159" s="20"/>
      <c r="Q159" s="20"/>
      <c r="R159" s="20"/>
      <c r="S159" s="20"/>
      <c r="T159" s="62"/>
      <c r="U159" s="62"/>
      <c r="V159" s="20"/>
      <c r="W159" s="20"/>
      <c r="X159" s="20"/>
      <c r="Y159" s="20"/>
      <c r="Z159" s="20"/>
      <c r="AA159" s="20"/>
    </row>
    <row r="160" spans="1:27" ht="15.75" customHeight="1">
      <c r="A160" s="48"/>
      <c r="B160" s="56"/>
      <c r="C160" s="56"/>
      <c r="D160" s="57"/>
      <c r="E160" s="20"/>
      <c r="F160" s="58"/>
      <c r="G160" s="20"/>
      <c r="H160" s="60"/>
      <c r="I160" s="60"/>
      <c r="J160" s="61"/>
      <c r="K160" s="61"/>
      <c r="L160" s="59"/>
      <c r="M160" s="59"/>
      <c r="N160" s="59"/>
      <c r="O160" s="59"/>
      <c r="P160" s="20"/>
      <c r="Q160" s="20"/>
      <c r="R160" s="20"/>
      <c r="S160" s="20"/>
      <c r="T160" s="62"/>
      <c r="U160" s="62"/>
      <c r="V160" s="20"/>
      <c r="W160" s="20"/>
      <c r="X160" s="20"/>
      <c r="Y160" s="20"/>
      <c r="Z160" s="20"/>
      <c r="AA160" s="20"/>
    </row>
    <row r="161" spans="1:27" ht="15.75" customHeight="1">
      <c r="A161" s="48"/>
      <c r="B161" s="56"/>
      <c r="C161" s="56"/>
      <c r="D161" s="57"/>
      <c r="E161" s="20"/>
      <c r="F161" s="58"/>
      <c r="G161" s="20"/>
      <c r="H161" s="60"/>
      <c r="I161" s="60"/>
      <c r="J161" s="61"/>
      <c r="K161" s="61"/>
      <c r="L161" s="59"/>
      <c r="M161" s="59"/>
      <c r="N161" s="59"/>
      <c r="O161" s="59"/>
      <c r="P161" s="20"/>
      <c r="Q161" s="20"/>
      <c r="R161" s="20"/>
      <c r="S161" s="20"/>
      <c r="T161" s="62"/>
      <c r="U161" s="62"/>
      <c r="V161" s="20"/>
      <c r="W161" s="20"/>
      <c r="X161" s="20"/>
      <c r="Y161" s="20"/>
      <c r="Z161" s="20"/>
      <c r="AA161" s="20"/>
    </row>
    <row r="162" spans="1:27" ht="15.75" customHeight="1">
      <c r="A162" s="48"/>
      <c r="B162" s="56"/>
      <c r="C162" s="56"/>
      <c r="D162" s="57"/>
      <c r="E162" s="20"/>
      <c r="F162" s="58"/>
      <c r="G162" s="20"/>
      <c r="H162" s="60"/>
      <c r="I162" s="60"/>
      <c r="J162" s="61"/>
      <c r="K162" s="61"/>
      <c r="L162" s="59"/>
      <c r="M162" s="59"/>
      <c r="N162" s="59"/>
      <c r="O162" s="59"/>
      <c r="P162" s="20"/>
      <c r="Q162" s="20"/>
      <c r="R162" s="20"/>
      <c r="S162" s="20"/>
      <c r="T162" s="62"/>
      <c r="U162" s="62"/>
      <c r="V162" s="20"/>
      <c r="W162" s="20"/>
      <c r="X162" s="20"/>
      <c r="Y162" s="20"/>
      <c r="Z162" s="20"/>
      <c r="AA162" s="20"/>
    </row>
    <row r="163" spans="1:27" ht="15.75" customHeight="1">
      <c r="A163" s="48"/>
      <c r="B163" s="56"/>
      <c r="C163" s="56"/>
      <c r="D163" s="57"/>
      <c r="E163" s="20"/>
      <c r="F163" s="58"/>
      <c r="G163" s="20"/>
      <c r="H163" s="60"/>
      <c r="I163" s="60"/>
      <c r="J163" s="61"/>
      <c r="K163" s="61"/>
      <c r="L163" s="59"/>
      <c r="M163" s="59"/>
      <c r="N163" s="59"/>
      <c r="O163" s="59"/>
      <c r="P163" s="20"/>
      <c r="Q163" s="20"/>
      <c r="R163" s="20"/>
      <c r="S163" s="20"/>
      <c r="T163" s="62"/>
      <c r="U163" s="62"/>
      <c r="V163" s="20"/>
      <c r="W163" s="20"/>
      <c r="X163" s="20"/>
      <c r="Y163" s="20"/>
      <c r="Z163" s="20"/>
      <c r="AA163" s="20"/>
    </row>
    <row r="164" spans="1:27" ht="15.75" customHeight="1">
      <c r="A164" s="48"/>
      <c r="B164" s="56"/>
      <c r="C164" s="56"/>
      <c r="D164" s="57"/>
      <c r="E164" s="20"/>
      <c r="F164" s="58"/>
      <c r="G164" s="20"/>
      <c r="H164" s="60"/>
      <c r="I164" s="60"/>
      <c r="J164" s="61"/>
      <c r="K164" s="61"/>
      <c r="L164" s="59"/>
      <c r="M164" s="59"/>
      <c r="N164" s="59"/>
      <c r="O164" s="59"/>
      <c r="P164" s="20"/>
      <c r="Q164" s="20"/>
      <c r="R164" s="20"/>
      <c r="S164" s="20"/>
      <c r="T164" s="62"/>
      <c r="U164" s="62"/>
      <c r="V164" s="20"/>
      <c r="W164" s="20"/>
      <c r="X164" s="20"/>
      <c r="Y164" s="20"/>
      <c r="Z164" s="20"/>
      <c r="AA164" s="20"/>
    </row>
    <row r="165" spans="1:27" ht="15.75" customHeight="1">
      <c r="A165" s="48"/>
      <c r="B165" s="56"/>
      <c r="C165" s="56"/>
      <c r="D165" s="57"/>
      <c r="E165" s="20"/>
      <c r="F165" s="58"/>
      <c r="G165" s="20"/>
      <c r="H165" s="60"/>
      <c r="I165" s="60"/>
      <c r="J165" s="61"/>
      <c r="K165" s="61"/>
      <c r="L165" s="59"/>
      <c r="M165" s="59"/>
      <c r="N165" s="59"/>
      <c r="O165" s="59"/>
      <c r="P165" s="20"/>
      <c r="Q165" s="20"/>
      <c r="R165" s="20"/>
      <c r="S165" s="20"/>
      <c r="T165" s="62"/>
      <c r="U165" s="62"/>
      <c r="V165" s="20"/>
      <c r="W165" s="20"/>
      <c r="X165" s="20"/>
      <c r="Y165" s="20"/>
      <c r="Z165" s="20"/>
      <c r="AA165" s="20"/>
    </row>
    <row r="166" spans="1:27" ht="15.75" customHeight="1">
      <c r="A166" s="48"/>
      <c r="B166" s="56"/>
      <c r="C166" s="56"/>
      <c r="D166" s="57"/>
      <c r="E166" s="20"/>
      <c r="F166" s="58"/>
      <c r="G166" s="20"/>
      <c r="H166" s="60"/>
      <c r="I166" s="60"/>
      <c r="J166" s="61"/>
      <c r="K166" s="61"/>
      <c r="L166" s="59"/>
      <c r="M166" s="59"/>
      <c r="N166" s="59"/>
      <c r="O166" s="59"/>
      <c r="P166" s="20"/>
      <c r="Q166" s="20"/>
      <c r="R166" s="20"/>
      <c r="S166" s="20"/>
      <c r="T166" s="62"/>
      <c r="U166" s="62"/>
      <c r="V166" s="20"/>
      <c r="W166" s="20"/>
      <c r="X166" s="20"/>
      <c r="Y166" s="20"/>
      <c r="Z166" s="20"/>
      <c r="AA166" s="20"/>
    </row>
    <row r="167" spans="1:27" ht="15.75" customHeight="1">
      <c r="A167" s="48"/>
      <c r="B167" s="56"/>
      <c r="C167" s="56"/>
      <c r="D167" s="57"/>
      <c r="E167" s="20"/>
      <c r="F167" s="58"/>
      <c r="G167" s="20"/>
      <c r="H167" s="60"/>
      <c r="I167" s="60"/>
      <c r="J167" s="61"/>
      <c r="K167" s="61"/>
      <c r="L167" s="59"/>
      <c r="M167" s="59"/>
      <c r="N167" s="59"/>
      <c r="O167" s="59"/>
      <c r="P167" s="20"/>
      <c r="Q167" s="20"/>
      <c r="R167" s="20"/>
      <c r="S167" s="20"/>
      <c r="T167" s="62"/>
      <c r="U167" s="62"/>
      <c r="V167" s="20"/>
      <c r="W167" s="20"/>
      <c r="X167" s="20"/>
      <c r="Y167" s="20"/>
      <c r="Z167" s="20"/>
      <c r="AA167" s="20"/>
    </row>
    <row r="168" spans="1:27" ht="15.75" customHeight="1">
      <c r="A168" s="48"/>
      <c r="B168" s="56"/>
      <c r="C168" s="56"/>
      <c r="D168" s="57"/>
      <c r="E168" s="20"/>
      <c r="F168" s="58"/>
      <c r="G168" s="20"/>
      <c r="H168" s="60"/>
      <c r="I168" s="60"/>
      <c r="J168" s="61"/>
      <c r="K168" s="61"/>
      <c r="L168" s="59"/>
      <c r="M168" s="59"/>
      <c r="N168" s="59"/>
      <c r="O168" s="59"/>
      <c r="P168" s="20"/>
      <c r="Q168" s="20"/>
      <c r="R168" s="20"/>
      <c r="S168" s="20"/>
      <c r="T168" s="62"/>
      <c r="U168" s="62"/>
      <c r="V168" s="20"/>
      <c r="W168" s="20"/>
      <c r="X168" s="20"/>
      <c r="Y168" s="20"/>
      <c r="Z168" s="20"/>
      <c r="AA168" s="20"/>
    </row>
    <row r="169" spans="1:27" ht="15.75" customHeight="1">
      <c r="A169" s="48"/>
      <c r="B169" s="56"/>
      <c r="C169" s="56"/>
      <c r="D169" s="57"/>
      <c r="E169" s="20"/>
      <c r="F169" s="58"/>
      <c r="G169" s="20"/>
      <c r="H169" s="60"/>
      <c r="I169" s="60"/>
      <c r="J169" s="61"/>
      <c r="K169" s="61"/>
      <c r="L169" s="59"/>
      <c r="M169" s="59"/>
      <c r="N169" s="59"/>
      <c r="O169" s="59"/>
      <c r="P169" s="20"/>
      <c r="Q169" s="20"/>
      <c r="R169" s="20"/>
      <c r="S169" s="20"/>
      <c r="T169" s="62"/>
      <c r="U169" s="62"/>
      <c r="V169" s="20"/>
      <c r="W169" s="20"/>
      <c r="X169" s="20"/>
      <c r="Y169" s="20"/>
      <c r="Z169" s="20"/>
      <c r="AA169" s="20"/>
    </row>
    <row r="170" spans="1:27" ht="15.75" customHeight="1">
      <c r="A170" s="48"/>
      <c r="B170" s="56"/>
      <c r="C170" s="56"/>
      <c r="D170" s="57"/>
      <c r="E170" s="20"/>
      <c r="F170" s="58"/>
      <c r="G170" s="20"/>
      <c r="H170" s="60"/>
      <c r="I170" s="60"/>
      <c r="J170" s="61"/>
      <c r="K170" s="61"/>
      <c r="L170" s="59"/>
      <c r="M170" s="59"/>
      <c r="N170" s="59"/>
      <c r="O170" s="59"/>
      <c r="P170" s="20"/>
      <c r="Q170" s="20"/>
      <c r="R170" s="20"/>
      <c r="S170" s="20"/>
      <c r="T170" s="62"/>
      <c r="U170" s="62"/>
      <c r="V170" s="20"/>
      <c r="W170" s="20"/>
      <c r="X170" s="20"/>
      <c r="Y170" s="20"/>
      <c r="Z170" s="20"/>
      <c r="AA170" s="20"/>
    </row>
    <row r="171" spans="1:27" ht="15.75" customHeight="1">
      <c r="A171" s="48"/>
      <c r="B171" s="56"/>
      <c r="C171" s="56"/>
      <c r="D171" s="57"/>
      <c r="E171" s="20"/>
      <c r="F171" s="58"/>
      <c r="G171" s="20"/>
      <c r="H171" s="60"/>
      <c r="I171" s="60"/>
      <c r="J171" s="61"/>
      <c r="K171" s="61"/>
      <c r="L171" s="59"/>
      <c r="M171" s="59"/>
      <c r="N171" s="59"/>
      <c r="O171" s="59"/>
      <c r="P171" s="20"/>
      <c r="Q171" s="20"/>
      <c r="R171" s="20"/>
      <c r="S171" s="20"/>
      <c r="T171" s="62"/>
      <c r="U171" s="62"/>
      <c r="V171" s="20"/>
      <c r="W171" s="20"/>
      <c r="X171" s="20"/>
      <c r="Y171" s="20"/>
      <c r="Z171" s="20"/>
      <c r="AA171" s="20"/>
    </row>
    <row r="172" spans="1:27" ht="15.75" customHeight="1">
      <c r="A172" s="48"/>
      <c r="B172" s="56"/>
      <c r="C172" s="56"/>
      <c r="D172" s="57"/>
      <c r="E172" s="20"/>
      <c r="F172" s="58"/>
      <c r="G172" s="20"/>
      <c r="H172" s="60"/>
      <c r="I172" s="60"/>
      <c r="J172" s="61"/>
      <c r="K172" s="61"/>
      <c r="L172" s="59"/>
      <c r="M172" s="59"/>
      <c r="N172" s="59"/>
      <c r="O172" s="59"/>
      <c r="P172" s="20"/>
      <c r="Q172" s="20"/>
      <c r="R172" s="20"/>
      <c r="S172" s="20"/>
      <c r="T172" s="62"/>
      <c r="U172" s="62"/>
      <c r="V172" s="20"/>
      <c r="W172" s="20"/>
      <c r="X172" s="20"/>
      <c r="Y172" s="20"/>
      <c r="Z172" s="20"/>
      <c r="AA172" s="20"/>
    </row>
    <row r="173" spans="1:27" ht="15.75" customHeight="1">
      <c r="A173" s="48"/>
      <c r="B173" s="56"/>
      <c r="C173" s="56"/>
      <c r="D173" s="57"/>
      <c r="E173" s="20"/>
      <c r="F173" s="58"/>
      <c r="G173" s="20"/>
      <c r="H173" s="60"/>
      <c r="I173" s="60"/>
      <c r="J173" s="61"/>
      <c r="K173" s="61"/>
      <c r="L173" s="59"/>
      <c r="M173" s="59"/>
      <c r="N173" s="59"/>
      <c r="O173" s="59"/>
      <c r="P173" s="20"/>
      <c r="Q173" s="20"/>
      <c r="R173" s="20"/>
      <c r="S173" s="20"/>
      <c r="T173" s="62"/>
      <c r="U173" s="62"/>
      <c r="V173" s="20"/>
      <c r="W173" s="20"/>
      <c r="X173" s="20"/>
      <c r="Y173" s="20"/>
      <c r="Z173" s="20"/>
      <c r="AA173" s="20"/>
    </row>
    <row r="174" spans="1:27" ht="15.75" customHeight="1">
      <c r="A174" s="48"/>
      <c r="B174" s="56"/>
      <c r="C174" s="56"/>
      <c r="D174" s="57"/>
      <c r="E174" s="20"/>
      <c r="F174" s="58"/>
      <c r="G174" s="20"/>
      <c r="H174" s="60"/>
      <c r="I174" s="60"/>
      <c r="J174" s="61"/>
      <c r="K174" s="61"/>
      <c r="L174" s="59"/>
      <c r="M174" s="59"/>
      <c r="N174" s="59"/>
      <c r="O174" s="59"/>
      <c r="P174" s="20"/>
      <c r="Q174" s="20"/>
      <c r="R174" s="20"/>
      <c r="S174" s="20"/>
      <c r="T174" s="62"/>
      <c r="U174" s="62"/>
      <c r="V174" s="20"/>
      <c r="W174" s="20"/>
      <c r="X174" s="20"/>
      <c r="Y174" s="20"/>
      <c r="Z174" s="20"/>
      <c r="AA174" s="20"/>
    </row>
    <row r="175" spans="1:27" ht="15.75" customHeight="1">
      <c r="A175" s="48"/>
      <c r="B175" s="56"/>
      <c r="C175" s="56"/>
      <c r="D175" s="57"/>
      <c r="E175" s="20"/>
      <c r="F175" s="58"/>
      <c r="G175" s="20"/>
      <c r="H175" s="60"/>
      <c r="I175" s="60"/>
      <c r="J175" s="61"/>
      <c r="K175" s="61"/>
      <c r="L175" s="59"/>
      <c r="M175" s="59"/>
      <c r="N175" s="59"/>
      <c r="O175" s="59"/>
      <c r="P175" s="20"/>
      <c r="Q175" s="20"/>
      <c r="R175" s="20"/>
      <c r="S175" s="20"/>
      <c r="T175" s="62"/>
      <c r="U175" s="62"/>
      <c r="V175" s="20"/>
      <c r="W175" s="20"/>
      <c r="X175" s="20"/>
      <c r="Y175" s="20"/>
      <c r="Z175" s="20"/>
      <c r="AA175" s="20"/>
    </row>
    <row r="176" spans="1:27" ht="15.75" customHeight="1">
      <c r="A176" s="48"/>
      <c r="B176" s="56"/>
      <c r="C176" s="56"/>
      <c r="D176" s="57"/>
      <c r="E176" s="20"/>
      <c r="F176" s="58"/>
      <c r="G176" s="20"/>
      <c r="H176" s="60"/>
      <c r="I176" s="60"/>
      <c r="J176" s="61"/>
      <c r="K176" s="61"/>
      <c r="L176" s="59"/>
      <c r="M176" s="59"/>
      <c r="N176" s="59"/>
      <c r="O176" s="59"/>
      <c r="P176" s="20"/>
      <c r="Q176" s="20"/>
      <c r="R176" s="20"/>
      <c r="S176" s="20"/>
      <c r="T176" s="62"/>
      <c r="U176" s="62"/>
      <c r="V176" s="20"/>
      <c r="W176" s="20"/>
      <c r="X176" s="20"/>
      <c r="Y176" s="20"/>
      <c r="Z176" s="20"/>
      <c r="AA176" s="20"/>
    </row>
    <row r="177" spans="1:27" ht="15.75" customHeight="1">
      <c r="A177" s="48"/>
      <c r="B177" s="56"/>
      <c r="C177" s="56"/>
      <c r="D177" s="57"/>
      <c r="E177" s="20"/>
      <c r="F177" s="58"/>
      <c r="G177" s="20"/>
      <c r="H177" s="60"/>
      <c r="I177" s="60"/>
      <c r="J177" s="61"/>
      <c r="K177" s="61"/>
      <c r="L177" s="59"/>
      <c r="M177" s="59"/>
      <c r="N177" s="59"/>
      <c r="O177" s="59"/>
      <c r="P177" s="20"/>
      <c r="Q177" s="20"/>
      <c r="R177" s="20"/>
      <c r="S177" s="20"/>
      <c r="T177" s="62"/>
      <c r="U177" s="62"/>
      <c r="V177" s="20"/>
      <c r="W177" s="20"/>
      <c r="X177" s="20"/>
      <c r="Y177" s="20"/>
      <c r="Z177" s="20"/>
      <c r="AA177" s="20"/>
    </row>
    <row r="178" spans="1:27" ht="15.75" customHeight="1">
      <c r="A178" s="48"/>
      <c r="B178" s="56"/>
      <c r="C178" s="56"/>
      <c r="D178" s="57"/>
      <c r="E178" s="20"/>
      <c r="F178" s="58"/>
      <c r="G178" s="20"/>
      <c r="H178" s="60"/>
      <c r="I178" s="60"/>
      <c r="J178" s="61"/>
      <c r="K178" s="61"/>
      <c r="L178" s="59"/>
      <c r="M178" s="59"/>
      <c r="N178" s="59"/>
      <c r="O178" s="59"/>
      <c r="P178" s="20"/>
      <c r="Q178" s="20"/>
      <c r="R178" s="20"/>
      <c r="S178" s="20"/>
      <c r="T178" s="62"/>
      <c r="U178" s="62"/>
      <c r="V178" s="20"/>
      <c r="W178" s="20"/>
      <c r="X178" s="20"/>
      <c r="Y178" s="20"/>
      <c r="Z178" s="20"/>
      <c r="AA178" s="20"/>
    </row>
    <row r="179" spans="1:27" ht="15.75" customHeight="1">
      <c r="A179" s="48"/>
      <c r="B179" s="56"/>
      <c r="C179" s="56"/>
      <c r="D179" s="57"/>
      <c r="E179" s="20"/>
      <c r="F179" s="58"/>
      <c r="G179" s="20"/>
      <c r="H179" s="60"/>
      <c r="I179" s="60"/>
      <c r="J179" s="61"/>
      <c r="K179" s="61"/>
      <c r="L179" s="59"/>
      <c r="M179" s="59"/>
      <c r="N179" s="59"/>
      <c r="O179" s="59"/>
      <c r="P179" s="20"/>
      <c r="Q179" s="20"/>
      <c r="R179" s="20"/>
      <c r="S179" s="20"/>
      <c r="T179" s="62"/>
      <c r="U179" s="62"/>
      <c r="V179" s="20"/>
      <c r="W179" s="20"/>
      <c r="X179" s="20"/>
      <c r="Y179" s="20"/>
      <c r="Z179" s="20"/>
      <c r="AA179" s="20"/>
    </row>
    <row r="180" spans="1:27" ht="15.75" customHeight="1">
      <c r="A180" s="48"/>
      <c r="B180" s="56"/>
      <c r="C180" s="56"/>
      <c r="D180" s="57"/>
      <c r="E180" s="20"/>
      <c r="F180" s="58"/>
      <c r="G180" s="20"/>
      <c r="H180" s="60"/>
      <c r="I180" s="60"/>
      <c r="J180" s="61"/>
      <c r="K180" s="61"/>
      <c r="L180" s="59"/>
      <c r="M180" s="59"/>
      <c r="N180" s="59"/>
      <c r="O180" s="59"/>
      <c r="P180" s="20"/>
      <c r="Q180" s="20"/>
      <c r="R180" s="20"/>
      <c r="S180" s="20"/>
      <c r="T180" s="62"/>
      <c r="U180" s="62"/>
      <c r="V180" s="20"/>
      <c r="W180" s="20"/>
      <c r="X180" s="20"/>
      <c r="Y180" s="20"/>
      <c r="Z180" s="20"/>
      <c r="AA180" s="20"/>
    </row>
    <row r="181" spans="1:27" ht="15.75" customHeight="1">
      <c r="A181" s="48"/>
      <c r="B181" s="56"/>
      <c r="C181" s="56"/>
      <c r="D181" s="57"/>
      <c r="E181" s="20"/>
      <c r="F181" s="58"/>
      <c r="G181" s="20"/>
      <c r="H181" s="60"/>
      <c r="I181" s="60"/>
      <c r="J181" s="61"/>
      <c r="K181" s="61"/>
      <c r="L181" s="59"/>
      <c r="M181" s="59"/>
      <c r="N181" s="59"/>
      <c r="O181" s="59"/>
      <c r="P181" s="20"/>
      <c r="Q181" s="20"/>
      <c r="R181" s="20"/>
      <c r="S181" s="20"/>
      <c r="T181" s="62"/>
      <c r="U181" s="62"/>
      <c r="V181" s="20"/>
      <c r="W181" s="20"/>
      <c r="X181" s="20"/>
      <c r="Y181" s="20"/>
      <c r="Z181" s="20"/>
      <c r="AA181" s="20"/>
    </row>
    <row r="182" spans="1:27" ht="15.75" customHeight="1">
      <c r="A182" s="48"/>
      <c r="B182" s="56"/>
      <c r="C182" s="56"/>
      <c r="D182" s="57"/>
      <c r="E182" s="20"/>
      <c r="F182" s="58"/>
      <c r="G182" s="20"/>
      <c r="H182" s="60"/>
      <c r="I182" s="60"/>
      <c r="J182" s="61"/>
      <c r="K182" s="61"/>
      <c r="L182" s="59"/>
      <c r="M182" s="59"/>
      <c r="N182" s="59"/>
      <c r="O182" s="59"/>
      <c r="P182" s="20"/>
      <c r="Q182" s="20"/>
      <c r="R182" s="20"/>
      <c r="S182" s="20"/>
      <c r="T182" s="62"/>
      <c r="U182" s="62"/>
      <c r="V182" s="20"/>
      <c r="W182" s="20"/>
      <c r="X182" s="20"/>
      <c r="Y182" s="20"/>
      <c r="Z182" s="20"/>
      <c r="AA182" s="20"/>
    </row>
    <row r="183" spans="1:27" ht="15.75" customHeight="1">
      <c r="A183" s="48"/>
      <c r="B183" s="56"/>
      <c r="C183" s="56"/>
      <c r="D183" s="57"/>
      <c r="E183" s="20"/>
      <c r="F183" s="58"/>
      <c r="G183" s="20"/>
      <c r="H183" s="60"/>
      <c r="I183" s="60"/>
      <c r="J183" s="61"/>
      <c r="K183" s="61"/>
      <c r="L183" s="59"/>
      <c r="M183" s="59"/>
      <c r="N183" s="59"/>
      <c r="O183" s="59"/>
      <c r="P183" s="20"/>
      <c r="Q183" s="20"/>
      <c r="R183" s="20"/>
      <c r="S183" s="20"/>
      <c r="T183" s="62"/>
      <c r="U183" s="62"/>
      <c r="V183" s="20"/>
      <c r="W183" s="20"/>
      <c r="X183" s="20"/>
      <c r="Y183" s="20"/>
      <c r="Z183" s="20"/>
      <c r="AA183" s="20"/>
    </row>
    <row r="184" spans="1:27" ht="15.75" customHeight="1">
      <c r="A184" s="48"/>
      <c r="B184" s="56"/>
      <c r="C184" s="56"/>
      <c r="D184" s="57"/>
      <c r="E184" s="20"/>
      <c r="F184" s="58"/>
      <c r="G184" s="20"/>
      <c r="H184" s="60"/>
      <c r="I184" s="60"/>
      <c r="J184" s="61"/>
      <c r="K184" s="61"/>
      <c r="L184" s="59"/>
      <c r="M184" s="59"/>
      <c r="N184" s="59"/>
      <c r="O184" s="59"/>
      <c r="P184" s="20"/>
      <c r="Q184" s="20"/>
      <c r="R184" s="20"/>
      <c r="S184" s="20"/>
      <c r="T184" s="62"/>
      <c r="U184" s="62"/>
      <c r="V184" s="20"/>
      <c r="W184" s="20"/>
      <c r="X184" s="20"/>
      <c r="Y184" s="20"/>
      <c r="Z184" s="20"/>
      <c r="AA184" s="20"/>
    </row>
    <row r="185" spans="1:27" ht="15.75" customHeight="1">
      <c r="A185" s="48"/>
      <c r="B185" s="56"/>
      <c r="C185" s="56"/>
      <c r="D185" s="57"/>
      <c r="E185" s="20"/>
      <c r="F185" s="58"/>
      <c r="G185" s="20"/>
      <c r="H185" s="60"/>
      <c r="I185" s="60"/>
      <c r="J185" s="61"/>
      <c r="K185" s="61"/>
      <c r="L185" s="59"/>
      <c r="M185" s="59"/>
      <c r="N185" s="59"/>
      <c r="O185" s="59"/>
      <c r="P185" s="20"/>
      <c r="Q185" s="20"/>
      <c r="R185" s="20"/>
      <c r="S185" s="20"/>
      <c r="T185" s="62"/>
      <c r="U185" s="62"/>
      <c r="V185" s="20"/>
      <c r="W185" s="20"/>
      <c r="X185" s="20"/>
      <c r="Y185" s="20"/>
      <c r="Z185" s="20"/>
      <c r="AA185" s="20"/>
    </row>
    <row r="186" spans="1:27" ht="15.75" customHeight="1">
      <c r="A186" s="48"/>
      <c r="B186" s="56"/>
      <c r="C186" s="56"/>
      <c r="D186" s="57"/>
      <c r="E186" s="20"/>
      <c r="F186" s="58"/>
      <c r="G186" s="20"/>
      <c r="H186" s="60"/>
      <c r="I186" s="60"/>
      <c r="J186" s="61"/>
      <c r="K186" s="61"/>
      <c r="L186" s="59"/>
      <c r="M186" s="59"/>
      <c r="N186" s="59"/>
      <c r="O186" s="59"/>
      <c r="P186" s="20"/>
      <c r="Q186" s="20"/>
      <c r="R186" s="20"/>
      <c r="S186" s="20"/>
      <c r="T186" s="62"/>
      <c r="U186" s="62"/>
      <c r="V186" s="20"/>
      <c r="W186" s="20"/>
      <c r="X186" s="20"/>
      <c r="Y186" s="20"/>
      <c r="Z186" s="20"/>
      <c r="AA186" s="20"/>
    </row>
    <row r="187" spans="1:27" ht="15.75" customHeight="1">
      <c r="A187" s="48"/>
      <c r="B187" s="56"/>
      <c r="C187" s="56"/>
      <c r="D187" s="57"/>
      <c r="E187" s="20"/>
      <c r="F187" s="58"/>
      <c r="G187" s="20"/>
      <c r="H187" s="60"/>
      <c r="I187" s="60"/>
      <c r="J187" s="61"/>
      <c r="K187" s="61"/>
      <c r="L187" s="59"/>
      <c r="M187" s="59"/>
      <c r="N187" s="59"/>
      <c r="O187" s="59"/>
      <c r="P187" s="20"/>
      <c r="Q187" s="20"/>
      <c r="R187" s="20"/>
      <c r="S187" s="20"/>
      <c r="T187" s="62"/>
      <c r="U187" s="62"/>
      <c r="V187" s="20"/>
      <c r="W187" s="20"/>
      <c r="X187" s="20"/>
      <c r="Y187" s="20"/>
      <c r="Z187" s="20"/>
      <c r="AA187" s="20"/>
    </row>
    <row r="188" spans="1:27" ht="15.75" customHeight="1">
      <c r="A188" s="48"/>
      <c r="B188" s="56"/>
      <c r="C188" s="56"/>
      <c r="D188" s="57"/>
      <c r="E188" s="20"/>
      <c r="F188" s="58"/>
      <c r="G188" s="20"/>
      <c r="H188" s="60"/>
      <c r="I188" s="60"/>
      <c r="J188" s="61"/>
      <c r="K188" s="61"/>
      <c r="L188" s="59"/>
      <c r="M188" s="59"/>
      <c r="N188" s="59"/>
      <c r="O188" s="59"/>
      <c r="P188" s="20"/>
      <c r="Q188" s="20"/>
      <c r="R188" s="20"/>
      <c r="S188" s="20"/>
      <c r="T188" s="62"/>
      <c r="U188" s="62"/>
      <c r="V188" s="20"/>
      <c r="W188" s="20"/>
      <c r="X188" s="20"/>
      <c r="Y188" s="20"/>
      <c r="Z188" s="20"/>
      <c r="AA188" s="20"/>
    </row>
    <row r="189" spans="1:27" ht="15.75" customHeight="1">
      <c r="A189" s="48"/>
      <c r="B189" s="56"/>
      <c r="C189" s="56"/>
      <c r="D189" s="57"/>
      <c r="E189" s="20"/>
      <c r="F189" s="58"/>
      <c r="G189" s="20"/>
      <c r="H189" s="60"/>
      <c r="I189" s="60"/>
      <c r="J189" s="61"/>
      <c r="K189" s="61"/>
      <c r="L189" s="59"/>
      <c r="M189" s="59"/>
      <c r="N189" s="59"/>
      <c r="O189" s="59"/>
      <c r="P189" s="20"/>
      <c r="Q189" s="20"/>
      <c r="R189" s="20"/>
      <c r="S189" s="20"/>
      <c r="T189" s="62"/>
      <c r="U189" s="62"/>
      <c r="V189" s="20"/>
      <c r="W189" s="20"/>
      <c r="X189" s="20"/>
      <c r="Y189" s="20"/>
      <c r="Z189" s="20"/>
      <c r="AA189" s="20"/>
    </row>
    <row r="190" spans="1:27" ht="15.75" customHeight="1">
      <c r="A190" s="48"/>
      <c r="B190" s="56"/>
      <c r="C190" s="56"/>
      <c r="D190" s="57"/>
      <c r="E190" s="20"/>
      <c r="F190" s="58"/>
      <c r="G190" s="20"/>
      <c r="H190" s="60"/>
      <c r="I190" s="60"/>
      <c r="J190" s="61"/>
      <c r="K190" s="61"/>
      <c r="L190" s="59"/>
      <c r="M190" s="59"/>
      <c r="N190" s="59"/>
      <c r="O190" s="59"/>
      <c r="P190" s="20"/>
      <c r="Q190" s="20"/>
      <c r="R190" s="20"/>
      <c r="S190" s="20"/>
      <c r="T190" s="62"/>
      <c r="U190" s="62"/>
      <c r="V190" s="20"/>
      <c r="W190" s="20"/>
      <c r="X190" s="20"/>
      <c r="Y190" s="20"/>
      <c r="Z190" s="20"/>
      <c r="AA190" s="20"/>
    </row>
    <row r="191" spans="1:27" ht="15.75" customHeight="1">
      <c r="A191" s="48"/>
      <c r="B191" s="56"/>
      <c r="C191" s="56"/>
      <c r="D191" s="57"/>
      <c r="E191" s="20"/>
      <c r="F191" s="58"/>
      <c r="G191" s="20"/>
      <c r="H191" s="60"/>
      <c r="I191" s="60"/>
      <c r="J191" s="61"/>
      <c r="K191" s="61"/>
      <c r="L191" s="59"/>
      <c r="M191" s="59"/>
      <c r="N191" s="59"/>
      <c r="O191" s="59"/>
      <c r="P191" s="20"/>
      <c r="Q191" s="20"/>
      <c r="R191" s="20"/>
      <c r="S191" s="20"/>
      <c r="T191" s="62"/>
      <c r="U191" s="62"/>
      <c r="V191" s="20"/>
      <c r="W191" s="20"/>
      <c r="X191" s="20"/>
      <c r="Y191" s="20"/>
      <c r="Z191" s="20"/>
      <c r="AA191" s="20"/>
    </row>
    <row r="192" spans="1:27" ht="15.75" customHeight="1">
      <c r="A192" s="48"/>
      <c r="B192" s="56"/>
      <c r="C192" s="56"/>
      <c r="D192" s="57"/>
      <c r="E192" s="20"/>
      <c r="F192" s="58"/>
      <c r="G192" s="20"/>
      <c r="H192" s="60"/>
      <c r="I192" s="60"/>
      <c r="J192" s="61"/>
      <c r="K192" s="61"/>
      <c r="L192" s="59"/>
      <c r="M192" s="59"/>
      <c r="N192" s="59"/>
      <c r="O192" s="59"/>
      <c r="P192" s="20"/>
      <c r="Q192" s="20"/>
      <c r="R192" s="20"/>
      <c r="S192" s="20"/>
      <c r="T192" s="62"/>
      <c r="U192" s="62"/>
      <c r="V192" s="20"/>
      <c r="W192" s="20"/>
      <c r="X192" s="20"/>
      <c r="Y192" s="20"/>
      <c r="Z192" s="20"/>
      <c r="AA192" s="20"/>
    </row>
    <row r="193" spans="1:27" ht="15.75" customHeight="1">
      <c r="A193" s="48"/>
      <c r="B193" s="56"/>
      <c r="C193" s="56"/>
      <c r="D193" s="57"/>
      <c r="E193" s="20"/>
      <c r="F193" s="58"/>
      <c r="G193" s="20"/>
      <c r="H193" s="60"/>
      <c r="I193" s="60"/>
      <c r="J193" s="61"/>
      <c r="K193" s="61"/>
      <c r="L193" s="59"/>
      <c r="M193" s="59"/>
      <c r="N193" s="59"/>
      <c r="O193" s="59"/>
      <c r="P193" s="20"/>
      <c r="Q193" s="20"/>
      <c r="R193" s="20"/>
      <c r="S193" s="20"/>
      <c r="T193" s="62"/>
      <c r="U193" s="62"/>
      <c r="V193" s="20"/>
      <c r="W193" s="20"/>
      <c r="X193" s="20"/>
      <c r="Y193" s="20"/>
      <c r="Z193" s="20"/>
      <c r="AA193" s="20"/>
    </row>
    <row r="194" spans="1:27" ht="15.75" customHeight="1">
      <c r="A194" s="48"/>
      <c r="B194" s="56"/>
      <c r="C194" s="56"/>
      <c r="D194" s="57"/>
      <c r="E194" s="20"/>
      <c r="F194" s="58"/>
      <c r="G194" s="20"/>
      <c r="H194" s="60"/>
      <c r="I194" s="60"/>
      <c r="J194" s="61"/>
      <c r="K194" s="61"/>
      <c r="L194" s="59"/>
      <c r="M194" s="59"/>
      <c r="N194" s="59"/>
      <c r="O194" s="59"/>
      <c r="P194" s="20"/>
      <c r="Q194" s="20"/>
      <c r="R194" s="20"/>
      <c r="S194" s="20"/>
      <c r="T194" s="62"/>
      <c r="U194" s="62"/>
      <c r="V194" s="20"/>
      <c r="W194" s="20"/>
      <c r="X194" s="20"/>
      <c r="Y194" s="20"/>
      <c r="Z194" s="20"/>
      <c r="AA194" s="20"/>
    </row>
    <row r="195" spans="1:27" ht="15.75" customHeight="1">
      <c r="A195" s="48"/>
      <c r="B195" s="56"/>
      <c r="C195" s="56"/>
      <c r="D195" s="57"/>
      <c r="E195" s="20"/>
      <c r="F195" s="58"/>
      <c r="G195" s="20"/>
      <c r="H195" s="60"/>
      <c r="I195" s="60"/>
      <c r="J195" s="61"/>
      <c r="K195" s="61"/>
      <c r="L195" s="59"/>
      <c r="M195" s="59"/>
      <c r="N195" s="59"/>
      <c r="O195" s="59"/>
      <c r="P195" s="20"/>
      <c r="Q195" s="20"/>
      <c r="R195" s="20"/>
      <c r="S195" s="20"/>
      <c r="T195" s="62"/>
      <c r="U195" s="62"/>
      <c r="V195" s="20"/>
      <c r="W195" s="20"/>
      <c r="X195" s="20"/>
      <c r="Y195" s="20"/>
      <c r="Z195" s="20"/>
      <c r="AA195" s="20"/>
    </row>
    <row r="196" spans="1:27" ht="15.75" customHeight="1">
      <c r="A196" s="48"/>
      <c r="B196" s="56"/>
      <c r="C196" s="56"/>
      <c r="D196" s="57"/>
      <c r="E196" s="20"/>
      <c r="F196" s="58"/>
      <c r="G196" s="20"/>
      <c r="H196" s="60"/>
      <c r="I196" s="60"/>
      <c r="J196" s="61"/>
      <c r="K196" s="61"/>
      <c r="L196" s="59"/>
      <c r="M196" s="59"/>
      <c r="N196" s="59"/>
      <c r="O196" s="59"/>
      <c r="P196" s="20"/>
      <c r="Q196" s="20"/>
      <c r="R196" s="20"/>
      <c r="S196" s="20"/>
      <c r="T196" s="62"/>
      <c r="U196" s="62"/>
      <c r="V196" s="20"/>
      <c r="W196" s="20"/>
      <c r="X196" s="20"/>
      <c r="Y196" s="20"/>
      <c r="Z196" s="20"/>
      <c r="AA196" s="20"/>
    </row>
    <row r="197" spans="1:27" ht="15.75" customHeight="1">
      <c r="A197" s="48"/>
      <c r="B197" s="56"/>
      <c r="C197" s="56"/>
      <c r="D197" s="57"/>
      <c r="E197" s="20"/>
      <c r="F197" s="58"/>
      <c r="G197" s="20"/>
      <c r="H197" s="60"/>
      <c r="I197" s="60"/>
      <c r="J197" s="61"/>
      <c r="K197" s="61"/>
      <c r="L197" s="59"/>
      <c r="M197" s="59"/>
      <c r="N197" s="59"/>
      <c r="O197" s="59"/>
      <c r="P197" s="20"/>
      <c r="Q197" s="20"/>
      <c r="R197" s="20"/>
      <c r="S197" s="20"/>
      <c r="T197" s="62"/>
      <c r="U197" s="62"/>
      <c r="V197" s="20"/>
      <c r="W197" s="20"/>
      <c r="X197" s="20"/>
      <c r="Y197" s="20"/>
      <c r="Z197" s="20"/>
      <c r="AA197" s="20"/>
    </row>
    <row r="198" spans="1:27" ht="15.75" customHeight="1">
      <c r="A198" s="48"/>
      <c r="B198" s="56"/>
      <c r="C198" s="56"/>
      <c r="D198" s="57"/>
      <c r="E198" s="20"/>
      <c r="F198" s="58"/>
      <c r="G198" s="20"/>
      <c r="H198" s="60"/>
      <c r="I198" s="60"/>
      <c r="J198" s="61"/>
      <c r="K198" s="61"/>
      <c r="L198" s="59"/>
      <c r="M198" s="59"/>
      <c r="N198" s="59"/>
      <c r="O198" s="59"/>
      <c r="P198" s="20"/>
      <c r="Q198" s="20"/>
      <c r="R198" s="20"/>
      <c r="S198" s="20"/>
      <c r="T198" s="62"/>
      <c r="U198" s="62"/>
      <c r="V198" s="20"/>
      <c r="W198" s="20"/>
      <c r="X198" s="20"/>
      <c r="Y198" s="20"/>
      <c r="Z198" s="20"/>
      <c r="AA198" s="20"/>
    </row>
    <row r="199" spans="1:27" ht="15.75" customHeight="1">
      <c r="A199" s="48"/>
      <c r="B199" s="56"/>
      <c r="C199" s="56"/>
      <c r="D199" s="57"/>
      <c r="E199" s="20"/>
      <c r="F199" s="58"/>
      <c r="G199" s="20"/>
      <c r="H199" s="60"/>
      <c r="I199" s="60"/>
      <c r="J199" s="61"/>
      <c r="K199" s="61"/>
      <c r="L199" s="59"/>
      <c r="M199" s="59"/>
      <c r="N199" s="59"/>
      <c r="O199" s="59"/>
      <c r="P199" s="20"/>
      <c r="Q199" s="20"/>
      <c r="R199" s="20"/>
      <c r="S199" s="20"/>
      <c r="T199" s="62"/>
      <c r="U199" s="62"/>
      <c r="V199" s="20"/>
      <c r="W199" s="20"/>
      <c r="X199" s="20"/>
      <c r="Y199" s="20"/>
      <c r="Z199" s="20"/>
      <c r="AA199" s="20"/>
    </row>
    <row r="200" spans="1:27" ht="15.75" customHeight="1">
      <c r="A200" s="48"/>
      <c r="B200" s="56"/>
      <c r="C200" s="56"/>
      <c r="D200" s="57"/>
      <c r="E200" s="20"/>
      <c r="F200" s="58"/>
      <c r="G200" s="20"/>
      <c r="H200" s="60"/>
      <c r="I200" s="60"/>
      <c r="J200" s="61"/>
      <c r="K200" s="61"/>
      <c r="L200" s="59"/>
      <c r="M200" s="59"/>
      <c r="N200" s="59"/>
      <c r="O200" s="59"/>
      <c r="P200" s="20"/>
      <c r="Q200" s="20"/>
      <c r="R200" s="20"/>
      <c r="S200" s="20"/>
      <c r="T200" s="62"/>
      <c r="U200" s="62"/>
      <c r="V200" s="20"/>
      <c r="W200" s="20"/>
      <c r="X200" s="20"/>
      <c r="Y200" s="20"/>
      <c r="Z200" s="20"/>
      <c r="AA200" s="20"/>
    </row>
    <row r="201" spans="1:27" ht="15.75" customHeight="1">
      <c r="A201" s="48"/>
      <c r="B201" s="56"/>
      <c r="C201" s="56"/>
      <c r="D201" s="57"/>
      <c r="E201" s="20"/>
      <c r="F201" s="58"/>
      <c r="G201" s="20"/>
      <c r="H201" s="60"/>
      <c r="I201" s="60"/>
      <c r="J201" s="61"/>
      <c r="K201" s="61"/>
      <c r="L201" s="59"/>
      <c r="M201" s="59"/>
      <c r="N201" s="59"/>
      <c r="O201" s="59"/>
      <c r="P201" s="20"/>
      <c r="Q201" s="20"/>
      <c r="R201" s="20"/>
      <c r="S201" s="20"/>
      <c r="T201" s="62"/>
      <c r="U201" s="62"/>
      <c r="V201" s="20"/>
      <c r="W201" s="20"/>
      <c r="X201" s="20"/>
      <c r="Y201" s="20"/>
      <c r="Z201" s="20"/>
      <c r="AA201" s="20"/>
    </row>
    <row r="202" spans="1:27" ht="15.75" customHeight="1">
      <c r="A202" s="48"/>
      <c r="B202" s="56"/>
      <c r="C202" s="56"/>
      <c r="D202" s="57"/>
      <c r="E202" s="20"/>
      <c r="F202" s="58"/>
      <c r="G202" s="20"/>
      <c r="H202" s="60"/>
      <c r="I202" s="60"/>
      <c r="J202" s="61"/>
      <c r="K202" s="61"/>
      <c r="L202" s="59"/>
      <c r="M202" s="59"/>
      <c r="N202" s="59"/>
      <c r="O202" s="59"/>
      <c r="P202" s="20"/>
      <c r="Q202" s="20"/>
      <c r="R202" s="20"/>
      <c r="S202" s="20"/>
      <c r="T202" s="62"/>
      <c r="U202" s="62"/>
      <c r="V202" s="20"/>
      <c r="W202" s="20"/>
      <c r="X202" s="20"/>
      <c r="Y202" s="20"/>
      <c r="Z202" s="20"/>
      <c r="AA202" s="20"/>
    </row>
    <row r="203" spans="1:27" ht="15.75" customHeight="1">
      <c r="A203" s="48"/>
      <c r="B203" s="56"/>
      <c r="C203" s="56"/>
      <c r="D203" s="57"/>
      <c r="E203" s="20"/>
      <c r="F203" s="58"/>
      <c r="G203" s="20"/>
      <c r="H203" s="60"/>
      <c r="I203" s="60"/>
      <c r="J203" s="61"/>
      <c r="K203" s="61"/>
      <c r="L203" s="59"/>
      <c r="M203" s="59"/>
      <c r="N203" s="59"/>
      <c r="O203" s="59"/>
      <c r="P203" s="20"/>
      <c r="Q203" s="20"/>
      <c r="R203" s="20"/>
      <c r="S203" s="20"/>
      <c r="T203" s="62"/>
      <c r="U203" s="62"/>
      <c r="V203" s="20"/>
      <c r="W203" s="20"/>
      <c r="X203" s="20"/>
      <c r="Y203" s="20"/>
      <c r="Z203" s="20"/>
      <c r="AA203" s="20"/>
    </row>
    <row r="204" spans="1:27" ht="15.75" customHeight="1">
      <c r="A204" s="48"/>
      <c r="B204" s="56"/>
      <c r="C204" s="56"/>
      <c r="D204" s="57"/>
      <c r="E204" s="20"/>
      <c r="F204" s="58"/>
      <c r="G204" s="20"/>
      <c r="H204" s="60"/>
      <c r="I204" s="60"/>
      <c r="J204" s="61"/>
      <c r="K204" s="61"/>
      <c r="L204" s="59"/>
      <c r="M204" s="59"/>
      <c r="N204" s="59"/>
      <c r="O204" s="59"/>
      <c r="P204" s="20"/>
      <c r="Q204" s="20"/>
      <c r="R204" s="20"/>
      <c r="S204" s="20"/>
      <c r="T204" s="62"/>
      <c r="U204" s="62"/>
      <c r="V204" s="20"/>
      <c r="W204" s="20"/>
      <c r="X204" s="20"/>
      <c r="Y204" s="20"/>
      <c r="Z204" s="20"/>
      <c r="AA204" s="20"/>
    </row>
    <row r="205" spans="1:27" ht="15.75" customHeight="1">
      <c r="A205" s="48"/>
      <c r="B205" s="56"/>
      <c r="C205" s="56"/>
      <c r="D205" s="57"/>
      <c r="E205" s="20"/>
      <c r="F205" s="58"/>
      <c r="G205" s="20"/>
      <c r="H205" s="60"/>
      <c r="I205" s="60"/>
      <c r="J205" s="61"/>
      <c r="K205" s="61"/>
      <c r="L205" s="59"/>
      <c r="M205" s="59"/>
      <c r="N205" s="59"/>
      <c r="O205" s="59"/>
      <c r="P205" s="20"/>
      <c r="Q205" s="20"/>
      <c r="R205" s="20"/>
      <c r="S205" s="20"/>
      <c r="T205" s="62"/>
      <c r="U205" s="62"/>
      <c r="V205" s="20"/>
      <c r="W205" s="20"/>
      <c r="X205" s="20"/>
      <c r="Y205" s="20"/>
      <c r="Z205" s="20"/>
      <c r="AA205" s="20"/>
    </row>
    <row r="206" spans="1:27" ht="15.75" customHeight="1">
      <c r="A206" s="48"/>
      <c r="B206" s="56"/>
      <c r="C206" s="56"/>
      <c r="D206" s="57"/>
      <c r="E206" s="20"/>
      <c r="F206" s="58"/>
      <c r="G206" s="20"/>
      <c r="H206" s="60"/>
      <c r="I206" s="60"/>
      <c r="J206" s="61"/>
      <c r="K206" s="61"/>
      <c r="L206" s="59"/>
      <c r="M206" s="59"/>
      <c r="N206" s="59"/>
      <c r="O206" s="59"/>
      <c r="P206" s="20"/>
      <c r="Q206" s="20"/>
      <c r="R206" s="20"/>
      <c r="S206" s="20"/>
      <c r="T206" s="62"/>
      <c r="U206" s="62"/>
      <c r="V206" s="20"/>
      <c r="W206" s="20"/>
      <c r="X206" s="20"/>
      <c r="Y206" s="20"/>
      <c r="Z206" s="20"/>
      <c r="AA206" s="20"/>
    </row>
    <row r="207" spans="1:27" ht="15.75" customHeight="1">
      <c r="A207" s="48"/>
      <c r="B207" s="56"/>
      <c r="C207" s="56"/>
      <c r="D207" s="57"/>
      <c r="E207" s="20"/>
      <c r="F207" s="58"/>
      <c r="G207" s="20"/>
      <c r="H207" s="60"/>
      <c r="I207" s="60"/>
      <c r="J207" s="61"/>
      <c r="K207" s="61"/>
      <c r="L207" s="59"/>
      <c r="M207" s="59"/>
      <c r="N207" s="59"/>
      <c r="O207" s="59"/>
      <c r="P207" s="20"/>
      <c r="Q207" s="20"/>
      <c r="R207" s="20"/>
      <c r="S207" s="20"/>
      <c r="T207" s="62"/>
      <c r="U207" s="62"/>
      <c r="V207" s="20"/>
      <c r="W207" s="20"/>
      <c r="X207" s="20"/>
      <c r="Y207" s="20"/>
      <c r="Z207" s="20"/>
      <c r="AA207" s="20"/>
    </row>
    <row r="208" spans="1:27" ht="15.75" customHeight="1">
      <c r="A208" s="48"/>
      <c r="B208" s="56"/>
      <c r="C208" s="56"/>
      <c r="D208" s="57"/>
      <c r="E208" s="20"/>
      <c r="F208" s="58"/>
      <c r="G208" s="20"/>
      <c r="H208" s="60"/>
      <c r="I208" s="60"/>
      <c r="J208" s="61"/>
      <c r="K208" s="61"/>
      <c r="L208" s="59"/>
      <c r="M208" s="59"/>
      <c r="N208" s="59"/>
      <c r="O208" s="59"/>
      <c r="P208" s="20"/>
      <c r="Q208" s="20"/>
      <c r="R208" s="20"/>
      <c r="S208" s="20"/>
      <c r="T208" s="62"/>
      <c r="U208" s="62"/>
      <c r="V208" s="20"/>
      <c r="W208" s="20"/>
      <c r="X208" s="20"/>
      <c r="Y208" s="20"/>
      <c r="Z208" s="20"/>
      <c r="AA208" s="20"/>
    </row>
    <row r="209" spans="1:27" ht="15.75" customHeight="1">
      <c r="A209" s="48"/>
      <c r="B209" s="56"/>
      <c r="C209" s="56"/>
      <c r="D209" s="57"/>
      <c r="E209" s="20"/>
      <c r="F209" s="58"/>
      <c r="G209" s="20"/>
      <c r="H209" s="60"/>
      <c r="I209" s="60"/>
      <c r="J209" s="61"/>
      <c r="K209" s="61"/>
      <c r="L209" s="59"/>
      <c r="M209" s="59"/>
      <c r="N209" s="59"/>
      <c r="O209" s="59"/>
      <c r="P209" s="20"/>
      <c r="Q209" s="20"/>
      <c r="R209" s="20"/>
      <c r="S209" s="20"/>
      <c r="T209" s="62"/>
      <c r="U209" s="62"/>
      <c r="V209" s="20"/>
      <c r="W209" s="20"/>
      <c r="X209" s="20"/>
      <c r="Y209" s="20"/>
      <c r="Z209" s="20"/>
      <c r="AA209" s="20"/>
    </row>
    <row r="210" spans="1:27" ht="15.75" customHeight="1">
      <c r="A210" s="48"/>
      <c r="B210" s="56"/>
      <c r="C210" s="56"/>
      <c r="D210" s="57"/>
      <c r="E210" s="20"/>
      <c r="F210" s="58"/>
      <c r="G210" s="20"/>
      <c r="H210" s="60"/>
      <c r="I210" s="60"/>
      <c r="J210" s="61"/>
      <c r="K210" s="61"/>
      <c r="L210" s="59"/>
      <c r="M210" s="59"/>
      <c r="N210" s="59"/>
      <c r="O210" s="59"/>
      <c r="P210" s="20"/>
      <c r="Q210" s="20"/>
      <c r="R210" s="20"/>
      <c r="S210" s="20"/>
      <c r="T210" s="62"/>
      <c r="U210" s="62"/>
      <c r="V210" s="20"/>
      <c r="W210" s="20"/>
      <c r="X210" s="20"/>
      <c r="Y210" s="20"/>
      <c r="Z210" s="20"/>
      <c r="AA210" s="20"/>
    </row>
    <row r="211" spans="1:27" ht="15.75" customHeight="1">
      <c r="A211" s="48"/>
      <c r="B211" s="56"/>
      <c r="C211" s="56"/>
      <c r="D211" s="57"/>
      <c r="E211" s="20"/>
      <c r="F211" s="58"/>
      <c r="G211" s="20"/>
      <c r="H211" s="60"/>
      <c r="I211" s="60"/>
      <c r="J211" s="61"/>
      <c r="K211" s="61"/>
      <c r="L211" s="59"/>
      <c r="M211" s="59"/>
      <c r="N211" s="59"/>
      <c r="O211" s="59"/>
      <c r="P211" s="20"/>
      <c r="Q211" s="20"/>
      <c r="R211" s="20"/>
      <c r="S211" s="20"/>
      <c r="T211" s="62"/>
      <c r="U211" s="62"/>
      <c r="V211" s="20"/>
      <c r="W211" s="20"/>
      <c r="X211" s="20"/>
      <c r="Y211" s="20"/>
      <c r="Z211" s="20"/>
      <c r="AA211" s="20"/>
    </row>
    <row r="212" spans="1:27" ht="15.75" customHeight="1">
      <c r="A212" s="48"/>
      <c r="B212" s="56"/>
      <c r="C212" s="56"/>
      <c r="D212" s="57"/>
      <c r="E212" s="20"/>
      <c r="F212" s="58"/>
      <c r="G212" s="20"/>
      <c r="H212" s="60"/>
      <c r="I212" s="60"/>
      <c r="J212" s="61"/>
      <c r="K212" s="61"/>
      <c r="L212" s="59"/>
      <c r="M212" s="59"/>
      <c r="N212" s="59"/>
      <c r="O212" s="59"/>
      <c r="P212" s="20"/>
      <c r="Q212" s="20"/>
      <c r="R212" s="20"/>
      <c r="S212" s="20"/>
      <c r="T212" s="62"/>
      <c r="U212" s="62"/>
      <c r="V212" s="20"/>
      <c r="W212" s="20"/>
      <c r="X212" s="20"/>
      <c r="Y212" s="20"/>
      <c r="Z212" s="20"/>
      <c r="AA212" s="20"/>
    </row>
    <row r="213" spans="1:27" ht="15.75" customHeight="1">
      <c r="A213" s="48"/>
      <c r="B213" s="56"/>
      <c r="C213" s="56"/>
      <c r="D213" s="57"/>
      <c r="E213" s="20"/>
      <c r="F213" s="58"/>
      <c r="G213" s="20"/>
      <c r="H213" s="60"/>
      <c r="I213" s="60"/>
      <c r="J213" s="61"/>
      <c r="K213" s="61"/>
      <c r="L213" s="59"/>
      <c r="M213" s="59"/>
      <c r="N213" s="59"/>
      <c r="O213" s="59"/>
      <c r="P213" s="20"/>
      <c r="Q213" s="20"/>
      <c r="R213" s="20"/>
      <c r="S213" s="20"/>
      <c r="T213" s="62"/>
      <c r="U213" s="62"/>
      <c r="V213" s="20"/>
      <c r="W213" s="20"/>
      <c r="X213" s="20"/>
      <c r="Y213" s="20"/>
      <c r="Z213" s="20"/>
      <c r="AA213" s="20"/>
    </row>
    <row r="214" spans="1:27" ht="15.75" customHeight="1">
      <c r="A214" s="48"/>
      <c r="B214" s="56"/>
      <c r="C214" s="56"/>
      <c r="D214" s="57"/>
      <c r="E214" s="20"/>
      <c r="F214" s="58"/>
      <c r="G214" s="20"/>
      <c r="H214" s="60"/>
      <c r="I214" s="60"/>
      <c r="J214" s="61"/>
      <c r="K214" s="61"/>
      <c r="L214" s="59"/>
      <c r="M214" s="59"/>
      <c r="N214" s="59"/>
      <c r="O214" s="59"/>
      <c r="P214" s="20"/>
      <c r="Q214" s="20"/>
      <c r="R214" s="20"/>
      <c r="S214" s="20"/>
      <c r="T214" s="62"/>
      <c r="U214" s="62"/>
      <c r="V214" s="20"/>
      <c r="W214" s="20"/>
      <c r="X214" s="20"/>
      <c r="Y214" s="20"/>
      <c r="Z214" s="20"/>
      <c r="AA214" s="20"/>
    </row>
    <row r="215" spans="1:27" ht="15.75" customHeight="1">
      <c r="A215" s="48"/>
      <c r="B215" s="56"/>
      <c r="C215" s="56"/>
      <c r="D215" s="57"/>
      <c r="E215" s="20"/>
      <c r="F215" s="58"/>
      <c r="G215" s="20"/>
      <c r="H215" s="60"/>
      <c r="I215" s="60"/>
      <c r="J215" s="61"/>
      <c r="K215" s="61"/>
      <c r="L215" s="59"/>
      <c r="M215" s="59"/>
      <c r="N215" s="59"/>
      <c r="O215" s="59"/>
      <c r="P215" s="20"/>
      <c r="Q215" s="20"/>
      <c r="R215" s="20"/>
      <c r="S215" s="20"/>
      <c r="T215" s="62"/>
      <c r="U215" s="62"/>
      <c r="V215" s="20"/>
      <c r="W215" s="20"/>
      <c r="X215" s="20"/>
      <c r="Y215" s="20"/>
      <c r="Z215" s="20"/>
      <c r="AA215" s="20"/>
    </row>
    <row r="216" spans="1:27" ht="15.75" customHeight="1">
      <c r="A216" s="48"/>
      <c r="B216" s="56"/>
      <c r="C216" s="56"/>
      <c r="D216" s="57"/>
      <c r="E216" s="20"/>
      <c r="F216" s="58"/>
      <c r="G216" s="20"/>
      <c r="H216" s="60"/>
      <c r="I216" s="60"/>
      <c r="J216" s="61"/>
      <c r="K216" s="61"/>
      <c r="L216" s="59"/>
      <c r="M216" s="59"/>
      <c r="N216" s="59"/>
      <c r="O216" s="59"/>
      <c r="P216" s="20"/>
      <c r="Q216" s="20"/>
      <c r="R216" s="20"/>
      <c r="S216" s="20"/>
      <c r="T216" s="62"/>
      <c r="U216" s="62"/>
      <c r="V216" s="20"/>
      <c r="W216" s="20"/>
      <c r="X216" s="20"/>
      <c r="Y216" s="20"/>
      <c r="Z216" s="20"/>
      <c r="AA216" s="20"/>
    </row>
    <row r="217" spans="1:27" ht="15.75" customHeight="1">
      <c r="A217" s="48"/>
      <c r="B217" s="56"/>
      <c r="C217" s="56"/>
      <c r="D217" s="57"/>
      <c r="E217" s="20"/>
      <c r="F217" s="58"/>
      <c r="G217" s="20"/>
      <c r="H217" s="60"/>
      <c r="I217" s="60"/>
      <c r="J217" s="61"/>
      <c r="K217" s="61"/>
      <c r="L217" s="59"/>
      <c r="M217" s="59"/>
      <c r="N217" s="59"/>
      <c r="O217" s="59"/>
      <c r="P217" s="20"/>
      <c r="Q217" s="20"/>
      <c r="R217" s="20"/>
      <c r="S217" s="20"/>
      <c r="T217" s="62"/>
      <c r="U217" s="62"/>
      <c r="V217" s="20"/>
      <c r="W217" s="20"/>
      <c r="X217" s="20"/>
      <c r="Y217" s="20"/>
      <c r="Z217" s="20"/>
      <c r="AA217" s="20"/>
    </row>
    <row r="218" spans="1:27" ht="15.75" customHeight="1">
      <c r="A218" s="48"/>
      <c r="B218" s="56"/>
      <c r="C218" s="56"/>
      <c r="D218" s="57"/>
      <c r="E218" s="20"/>
      <c r="F218" s="58"/>
      <c r="G218" s="20"/>
      <c r="H218" s="60"/>
      <c r="I218" s="60"/>
      <c r="J218" s="61"/>
      <c r="K218" s="61"/>
      <c r="L218" s="59"/>
      <c r="M218" s="59"/>
      <c r="N218" s="59"/>
      <c r="O218" s="59"/>
      <c r="P218" s="20"/>
      <c r="Q218" s="20"/>
      <c r="R218" s="20"/>
      <c r="S218" s="20"/>
      <c r="T218" s="62"/>
      <c r="U218" s="62"/>
      <c r="V218" s="20"/>
      <c r="W218" s="20"/>
      <c r="X218" s="20"/>
      <c r="Y218" s="20"/>
      <c r="Z218" s="20"/>
      <c r="AA218" s="20"/>
    </row>
    <row r="219" spans="1:27" ht="15.75" customHeight="1">
      <c r="A219" s="48"/>
      <c r="B219" s="56"/>
      <c r="C219" s="56"/>
      <c r="D219" s="57"/>
      <c r="E219" s="20"/>
      <c r="F219" s="58"/>
      <c r="G219" s="20"/>
      <c r="H219" s="60"/>
      <c r="I219" s="60"/>
      <c r="J219" s="61"/>
      <c r="K219" s="61"/>
      <c r="L219" s="59"/>
      <c r="M219" s="59"/>
      <c r="N219" s="59"/>
      <c r="O219" s="59"/>
      <c r="P219" s="20"/>
      <c r="Q219" s="20"/>
      <c r="R219" s="20"/>
      <c r="S219" s="20"/>
      <c r="T219" s="62"/>
      <c r="U219" s="62"/>
      <c r="V219" s="20"/>
      <c r="W219" s="20"/>
      <c r="X219" s="20"/>
      <c r="Y219" s="20"/>
      <c r="Z219" s="20"/>
      <c r="AA219" s="20"/>
    </row>
    <row r="220" spans="1:27" ht="15.75" customHeight="1">
      <c r="A220" s="48"/>
      <c r="B220" s="56"/>
      <c r="C220" s="56"/>
      <c r="D220" s="57"/>
      <c r="E220" s="20"/>
      <c r="F220" s="58"/>
      <c r="G220" s="20"/>
      <c r="H220" s="60"/>
      <c r="I220" s="60"/>
      <c r="J220" s="61"/>
      <c r="K220" s="61"/>
      <c r="L220" s="59"/>
      <c r="M220" s="59"/>
      <c r="N220" s="59"/>
      <c r="O220" s="59"/>
      <c r="P220" s="20"/>
      <c r="Q220" s="20"/>
      <c r="R220" s="20"/>
      <c r="S220" s="20"/>
      <c r="T220" s="62"/>
      <c r="U220" s="62"/>
      <c r="V220" s="20"/>
      <c r="W220" s="20"/>
      <c r="X220" s="20"/>
      <c r="Y220" s="20"/>
      <c r="Z220" s="20"/>
      <c r="AA220" s="20"/>
    </row>
    <row r="221" spans="1:27" ht="15.75" customHeight="1">
      <c r="A221" s="48"/>
      <c r="B221" s="56"/>
      <c r="C221" s="56"/>
      <c r="D221" s="57"/>
      <c r="E221" s="20"/>
      <c r="F221" s="58"/>
      <c r="G221" s="20"/>
      <c r="H221" s="60"/>
      <c r="I221" s="60"/>
      <c r="J221" s="61"/>
      <c r="K221" s="61"/>
      <c r="L221" s="59"/>
      <c r="M221" s="59"/>
      <c r="N221" s="59"/>
      <c r="O221" s="59"/>
      <c r="P221" s="20"/>
      <c r="Q221" s="20"/>
      <c r="R221" s="20"/>
      <c r="S221" s="20"/>
      <c r="T221" s="62"/>
      <c r="U221" s="62"/>
      <c r="V221" s="20"/>
      <c r="W221" s="20"/>
      <c r="X221" s="20"/>
      <c r="Y221" s="20"/>
      <c r="Z221" s="20"/>
      <c r="AA221" s="20"/>
    </row>
    <row r="222" spans="1:27" ht="15.75" customHeight="1">
      <c r="A222" s="48"/>
      <c r="B222" s="56"/>
      <c r="C222" s="56"/>
      <c r="D222" s="57"/>
      <c r="E222" s="20"/>
      <c r="F222" s="58"/>
      <c r="G222" s="20"/>
      <c r="H222" s="60"/>
      <c r="I222" s="60"/>
      <c r="J222" s="61"/>
      <c r="K222" s="61"/>
      <c r="L222" s="59"/>
      <c r="M222" s="59"/>
      <c r="N222" s="59"/>
      <c r="O222" s="59"/>
      <c r="P222" s="20"/>
      <c r="Q222" s="20"/>
      <c r="R222" s="20"/>
      <c r="S222" s="20"/>
      <c r="T222" s="62"/>
      <c r="U222" s="62"/>
      <c r="V222" s="20"/>
      <c r="W222" s="20"/>
      <c r="X222" s="20"/>
      <c r="Y222" s="20"/>
      <c r="Z222" s="20"/>
      <c r="AA222" s="20"/>
    </row>
    <row r="223" spans="1:27" ht="15.75" customHeight="1">
      <c r="A223" s="48"/>
      <c r="B223" s="56"/>
      <c r="C223" s="56"/>
      <c r="D223" s="57"/>
      <c r="E223" s="20"/>
      <c r="F223" s="58"/>
      <c r="G223" s="20"/>
      <c r="H223" s="60"/>
      <c r="I223" s="60"/>
      <c r="J223" s="61"/>
      <c r="K223" s="61"/>
      <c r="L223" s="59"/>
      <c r="M223" s="59"/>
      <c r="N223" s="59"/>
      <c r="O223" s="59"/>
      <c r="P223" s="20"/>
      <c r="Q223" s="20"/>
      <c r="R223" s="20"/>
      <c r="S223" s="20"/>
      <c r="T223" s="62"/>
      <c r="U223" s="62"/>
      <c r="V223" s="20"/>
      <c r="W223" s="20"/>
      <c r="X223" s="20"/>
      <c r="Y223" s="20"/>
      <c r="Z223" s="20"/>
      <c r="AA223" s="20"/>
    </row>
    <row r="224" spans="1:27" ht="15.75" customHeight="1">
      <c r="A224" s="48"/>
      <c r="B224" s="56"/>
      <c r="C224" s="56"/>
      <c r="D224" s="57"/>
      <c r="E224" s="20"/>
      <c r="F224" s="58"/>
      <c r="G224" s="20"/>
      <c r="H224" s="60"/>
      <c r="I224" s="60"/>
      <c r="J224" s="61"/>
      <c r="K224" s="61"/>
      <c r="L224" s="59"/>
      <c r="M224" s="59"/>
      <c r="N224" s="59"/>
      <c r="O224" s="59"/>
      <c r="P224" s="20"/>
      <c r="Q224" s="20"/>
      <c r="R224" s="20"/>
      <c r="S224" s="20"/>
      <c r="T224" s="62"/>
      <c r="U224" s="62"/>
      <c r="V224" s="20"/>
      <c r="W224" s="20"/>
      <c r="X224" s="20"/>
      <c r="Y224" s="20"/>
      <c r="Z224" s="20"/>
      <c r="AA224" s="20"/>
    </row>
    <row r="225" spans="1:27" ht="15.75" customHeight="1">
      <c r="A225" s="48"/>
      <c r="B225" s="56"/>
      <c r="C225" s="56"/>
      <c r="D225" s="57"/>
      <c r="E225" s="20"/>
      <c r="F225" s="58"/>
      <c r="G225" s="20"/>
      <c r="H225" s="60"/>
      <c r="I225" s="60"/>
      <c r="J225" s="61"/>
      <c r="K225" s="61"/>
      <c r="L225" s="59"/>
      <c r="M225" s="59"/>
      <c r="N225" s="59"/>
      <c r="O225" s="59"/>
      <c r="P225" s="20"/>
      <c r="Q225" s="20"/>
      <c r="R225" s="20"/>
      <c r="S225" s="20"/>
      <c r="T225" s="62"/>
      <c r="U225" s="62"/>
      <c r="V225" s="20"/>
      <c r="W225" s="20"/>
      <c r="X225" s="20"/>
      <c r="Y225" s="20"/>
      <c r="Z225" s="20"/>
      <c r="AA225" s="20"/>
    </row>
    <row r="226" spans="1:27" ht="15.75" customHeight="1">
      <c r="A226" s="48"/>
      <c r="B226" s="56"/>
      <c r="C226" s="56"/>
      <c r="D226" s="57"/>
      <c r="E226" s="20"/>
      <c r="F226" s="58"/>
      <c r="G226" s="20"/>
      <c r="H226" s="60"/>
      <c r="I226" s="60"/>
      <c r="J226" s="61"/>
      <c r="K226" s="61"/>
      <c r="L226" s="59"/>
      <c r="M226" s="59"/>
      <c r="N226" s="59"/>
      <c r="O226" s="59"/>
      <c r="P226" s="20"/>
      <c r="Q226" s="20"/>
      <c r="R226" s="20"/>
      <c r="S226" s="20"/>
      <c r="T226" s="62"/>
      <c r="U226" s="62"/>
      <c r="V226" s="20"/>
      <c r="W226" s="20"/>
      <c r="X226" s="20"/>
      <c r="Y226" s="20"/>
      <c r="Z226" s="20"/>
      <c r="AA226" s="20"/>
    </row>
    <row r="227" spans="1:27" ht="15.75" customHeight="1">
      <c r="A227" s="48"/>
      <c r="B227" s="56"/>
      <c r="C227" s="56"/>
      <c r="D227" s="57"/>
      <c r="E227" s="20"/>
      <c r="F227" s="58"/>
      <c r="G227" s="20"/>
      <c r="H227" s="60"/>
      <c r="I227" s="60"/>
      <c r="J227" s="61"/>
      <c r="K227" s="61"/>
      <c r="L227" s="59"/>
      <c r="M227" s="59"/>
      <c r="N227" s="59"/>
      <c r="O227" s="59"/>
      <c r="P227" s="20"/>
      <c r="Q227" s="20"/>
      <c r="R227" s="20"/>
      <c r="S227" s="20"/>
      <c r="T227" s="62"/>
      <c r="U227" s="62"/>
      <c r="V227" s="20"/>
      <c r="W227" s="20"/>
      <c r="X227" s="20"/>
      <c r="Y227" s="20"/>
      <c r="Z227" s="20"/>
      <c r="AA227" s="20"/>
    </row>
    <row r="228" spans="1:27" ht="15.75" customHeight="1">
      <c r="A228" s="48"/>
      <c r="B228" s="56"/>
      <c r="C228" s="56"/>
      <c r="D228" s="57"/>
      <c r="E228" s="20"/>
      <c r="F228" s="58"/>
      <c r="G228" s="20"/>
      <c r="H228" s="60"/>
      <c r="I228" s="60"/>
      <c r="J228" s="61"/>
      <c r="K228" s="61"/>
      <c r="L228" s="59"/>
      <c r="M228" s="59"/>
      <c r="N228" s="59"/>
      <c r="O228" s="59"/>
      <c r="P228" s="20"/>
      <c r="Q228" s="20"/>
      <c r="R228" s="20"/>
      <c r="S228" s="20"/>
      <c r="T228" s="62"/>
      <c r="U228" s="62"/>
      <c r="V228" s="20"/>
      <c r="W228" s="20"/>
      <c r="X228" s="20"/>
      <c r="Y228" s="20"/>
      <c r="Z228" s="20"/>
      <c r="AA228" s="20"/>
    </row>
    <row r="229" spans="1:27" ht="15.75" customHeight="1">
      <c r="A229" s="48"/>
      <c r="B229" s="56"/>
      <c r="C229" s="56"/>
      <c r="D229" s="57"/>
      <c r="E229" s="20"/>
      <c r="F229" s="58"/>
      <c r="G229" s="20"/>
      <c r="H229" s="60"/>
      <c r="I229" s="60"/>
      <c r="J229" s="61"/>
      <c r="K229" s="61"/>
      <c r="L229" s="59"/>
      <c r="M229" s="59"/>
      <c r="N229" s="59"/>
      <c r="O229" s="59"/>
      <c r="P229" s="20"/>
      <c r="Q229" s="20"/>
      <c r="R229" s="20"/>
      <c r="S229" s="20"/>
      <c r="T229" s="62"/>
      <c r="U229" s="62"/>
      <c r="V229" s="20"/>
      <c r="W229" s="20"/>
      <c r="X229" s="20"/>
      <c r="Y229" s="20"/>
      <c r="Z229" s="20"/>
      <c r="AA229" s="20"/>
    </row>
    <row r="230" spans="1:27" ht="15.75" customHeight="1">
      <c r="A230" s="48"/>
      <c r="B230" s="56"/>
      <c r="C230" s="56"/>
      <c r="D230" s="57"/>
      <c r="E230" s="20"/>
      <c r="F230" s="58"/>
      <c r="G230" s="20"/>
      <c r="H230" s="60"/>
      <c r="I230" s="60"/>
      <c r="J230" s="61"/>
      <c r="K230" s="61"/>
      <c r="L230" s="59"/>
      <c r="M230" s="59"/>
      <c r="N230" s="59"/>
      <c r="O230" s="59"/>
      <c r="P230" s="20"/>
      <c r="Q230" s="20"/>
      <c r="R230" s="20"/>
      <c r="S230" s="20"/>
      <c r="T230" s="62"/>
      <c r="U230" s="62"/>
      <c r="V230" s="20"/>
      <c r="W230" s="20"/>
      <c r="X230" s="20"/>
      <c r="Y230" s="20"/>
      <c r="Z230" s="20"/>
      <c r="AA230" s="20"/>
    </row>
    <row r="231" spans="1:27" ht="15.75" customHeight="1">
      <c r="A231" s="48"/>
      <c r="B231" s="56"/>
      <c r="C231" s="56"/>
      <c r="D231" s="57"/>
      <c r="E231" s="20"/>
      <c r="F231" s="58"/>
      <c r="G231" s="20"/>
      <c r="H231" s="60"/>
      <c r="I231" s="60"/>
      <c r="J231" s="61"/>
      <c r="K231" s="61"/>
      <c r="L231" s="59"/>
      <c r="M231" s="59"/>
      <c r="N231" s="59"/>
      <c r="O231" s="59"/>
      <c r="P231" s="20"/>
      <c r="Q231" s="20"/>
      <c r="R231" s="20"/>
      <c r="S231" s="20"/>
      <c r="T231" s="62"/>
      <c r="U231" s="62"/>
      <c r="V231" s="20"/>
      <c r="W231" s="20"/>
      <c r="X231" s="20"/>
      <c r="Y231" s="20"/>
      <c r="Z231" s="20"/>
      <c r="AA231" s="20"/>
    </row>
    <row r="232" spans="1:27" ht="15.75" customHeight="1">
      <c r="A232" s="48"/>
      <c r="B232" s="56"/>
      <c r="C232" s="56"/>
      <c r="D232" s="57"/>
      <c r="E232" s="20"/>
      <c r="F232" s="58"/>
      <c r="G232" s="20"/>
      <c r="H232" s="60"/>
      <c r="I232" s="60"/>
      <c r="J232" s="61"/>
      <c r="K232" s="61"/>
      <c r="L232" s="59"/>
      <c r="M232" s="59"/>
      <c r="N232" s="59"/>
      <c r="O232" s="59"/>
      <c r="P232" s="20"/>
      <c r="Q232" s="20"/>
      <c r="R232" s="20"/>
      <c r="S232" s="20"/>
      <c r="T232" s="62"/>
      <c r="U232" s="62"/>
      <c r="V232" s="20"/>
      <c r="W232" s="20"/>
      <c r="X232" s="20"/>
      <c r="Y232" s="20"/>
      <c r="Z232" s="20"/>
      <c r="AA232" s="20"/>
    </row>
    <row r="233" spans="1:27" ht="15.75" customHeight="1">
      <c r="A233" s="48"/>
      <c r="B233" s="56"/>
      <c r="C233" s="56"/>
      <c r="D233" s="57"/>
      <c r="E233" s="20"/>
      <c r="F233" s="58"/>
      <c r="G233" s="20"/>
      <c r="H233" s="60"/>
      <c r="I233" s="60"/>
      <c r="J233" s="61"/>
      <c r="K233" s="61"/>
      <c r="L233" s="59"/>
      <c r="M233" s="59"/>
      <c r="N233" s="59"/>
      <c r="O233" s="59"/>
      <c r="P233" s="20"/>
      <c r="Q233" s="20"/>
      <c r="R233" s="20"/>
      <c r="S233" s="20"/>
      <c r="T233" s="62"/>
      <c r="U233" s="62"/>
      <c r="V233" s="20"/>
      <c r="W233" s="20"/>
      <c r="X233" s="20"/>
      <c r="Y233" s="20"/>
      <c r="Z233" s="20"/>
      <c r="AA233" s="20"/>
    </row>
    <row r="234" spans="1:27" ht="15.75" customHeight="1">
      <c r="A234" s="48"/>
      <c r="B234" s="56"/>
      <c r="C234" s="56"/>
      <c r="D234" s="57"/>
      <c r="E234" s="20"/>
      <c r="F234" s="58"/>
      <c r="G234" s="20"/>
      <c r="H234" s="60"/>
      <c r="I234" s="60"/>
      <c r="J234" s="61"/>
      <c r="K234" s="61"/>
      <c r="L234" s="59"/>
      <c r="M234" s="59"/>
      <c r="N234" s="59"/>
      <c r="O234" s="59"/>
      <c r="P234" s="20"/>
      <c r="Q234" s="20"/>
      <c r="R234" s="20"/>
      <c r="S234" s="20"/>
      <c r="T234" s="62"/>
      <c r="U234" s="62"/>
      <c r="V234" s="20"/>
      <c r="W234" s="20"/>
      <c r="X234" s="20"/>
      <c r="Y234" s="20"/>
      <c r="Z234" s="20"/>
      <c r="AA234" s="20"/>
    </row>
    <row r="235" spans="1:27" ht="15.75" customHeight="1">
      <c r="A235" s="48"/>
      <c r="B235" s="56"/>
      <c r="C235" s="56"/>
      <c r="D235" s="57"/>
      <c r="E235" s="20"/>
      <c r="F235" s="58"/>
      <c r="G235" s="20"/>
      <c r="H235" s="60"/>
      <c r="I235" s="60"/>
      <c r="J235" s="61"/>
      <c r="K235" s="61"/>
      <c r="L235" s="59"/>
      <c r="M235" s="59"/>
      <c r="N235" s="59"/>
      <c r="O235" s="59"/>
      <c r="P235" s="20"/>
      <c r="Q235" s="20"/>
      <c r="R235" s="20"/>
      <c r="S235" s="20"/>
      <c r="T235" s="62"/>
      <c r="U235" s="62"/>
      <c r="V235" s="20"/>
      <c r="W235" s="20"/>
      <c r="X235" s="20"/>
      <c r="Y235" s="20"/>
      <c r="Z235" s="20"/>
      <c r="AA235" s="20"/>
    </row>
    <row r="236" spans="1:27" ht="15.75" customHeight="1">
      <c r="A236" s="48"/>
      <c r="B236" s="56"/>
      <c r="C236" s="56"/>
      <c r="D236" s="57"/>
      <c r="E236" s="20"/>
      <c r="F236" s="58"/>
      <c r="G236" s="20"/>
      <c r="H236" s="60"/>
      <c r="I236" s="60"/>
      <c r="J236" s="61"/>
      <c r="K236" s="61"/>
      <c r="L236" s="59"/>
      <c r="M236" s="59"/>
      <c r="N236" s="59"/>
      <c r="O236" s="59"/>
      <c r="P236" s="20"/>
      <c r="Q236" s="20"/>
      <c r="R236" s="20"/>
      <c r="S236" s="20"/>
      <c r="T236" s="62"/>
      <c r="U236" s="62"/>
      <c r="V236" s="20"/>
      <c r="W236" s="20"/>
      <c r="X236" s="20"/>
      <c r="Y236" s="20"/>
      <c r="Z236" s="20"/>
      <c r="AA236" s="20"/>
    </row>
    <row r="237" spans="1:27" ht="15.75" customHeight="1">
      <c r="A237" s="48"/>
      <c r="B237" s="56"/>
      <c r="C237" s="56"/>
      <c r="D237" s="57"/>
      <c r="E237" s="20"/>
      <c r="F237" s="58"/>
      <c r="G237" s="20"/>
      <c r="H237" s="60"/>
      <c r="I237" s="60"/>
      <c r="J237" s="61"/>
      <c r="K237" s="61"/>
      <c r="L237" s="59"/>
      <c r="M237" s="59"/>
      <c r="N237" s="59"/>
      <c r="O237" s="59"/>
      <c r="P237" s="20"/>
      <c r="Q237" s="20"/>
      <c r="R237" s="20"/>
      <c r="S237" s="20"/>
      <c r="T237" s="62"/>
      <c r="U237" s="62"/>
      <c r="V237" s="20"/>
      <c r="W237" s="20"/>
      <c r="X237" s="20"/>
      <c r="Y237" s="20"/>
      <c r="Z237" s="20"/>
      <c r="AA237" s="20"/>
    </row>
    <row r="238" spans="1:27" ht="15.75" customHeight="1">
      <c r="A238" s="48"/>
      <c r="B238" s="56"/>
      <c r="C238" s="56"/>
      <c r="D238" s="57"/>
      <c r="E238" s="20"/>
      <c r="F238" s="58"/>
      <c r="G238" s="20"/>
      <c r="H238" s="60"/>
      <c r="I238" s="60"/>
      <c r="J238" s="61"/>
      <c r="K238" s="61"/>
      <c r="L238" s="59"/>
      <c r="M238" s="59"/>
      <c r="N238" s="59"/>
      <c r="O238" s="59"/>
      <c r="P238" s="20"/>
      <c r="Q238" s="20"/>
      <c r="R238" s="20"/>
      <c r="S238" s="20"/>
      <c r="T238" s="62"/>
      <c r="U238" s="62"/>
      <c r="V238" s="20"/>
      <c r="W238" s="20"/>
      <c r="X238" s="20"/>
      <c r="Y238" s="20"/>
      <c r="Z238" s="20"/>
      <c r="AA238" s="20"/>
    </row>
    <row r="239" spans="1:27" ht="15.75" customHeight="1">
      <c r="A239" s="48"/>
      <c r="B239" s="56"/>
      <c r="C239" s="56"/>
      <c r="D239" s="57"/>
      <c r="E239" s="20"/>
      <c r="F239" s="58"/>
      <c r="G239" s="20"/>
      <c r="H239" s="60"/>
      <c r="I239" s="60"/>
      <c r="J239" s="61"/>
      <c r="K239" s="61"/>
      <c r="L239" s="59"/>
      <c r="M239" s="59"/>
      <c r="N239" s="59"/>
      <c r="O239" s="59"/>
      <c r="P239" s="20"/>
      <c r="Q239" s="20"/>
      <c r="R239" s="20"/>
      <c r="S239" s="20"/>
      <c r="T239" s="62"/>
      <c r="U239" s="62"/>
      <c r="V239" s="20"/>
      <c r="W239" s="20"/>
      <c r="X239" s="20"/>
      <c r="Y239" s="20"/>
      <c r="Z239" s="20"/>
      <c r="AA239" s="20"/>
    </row>
    <row r="240" spans="1:27" ht="15.75" customHeight="1">
      <c r="A240" s="48"/>
      <c r="B240" s="56"/>
      <c r="C240" s="56"/>
      <c r="D240" s="57"/>
      <c r="E240" s="20"/>
      <c r="F240" s="58"/>
      <c r="G240" s="20"/>
      <c r="H240" s="60"/>
      <c r="I240" s="60"/>
      <c r="J240" s="61"/>
      <c r="K240" s="61"/>
      <c r="L240" s="59"/>
      <c r="M240" s="59"/>
      <c r="N240" s="59"/>
      <c r="O240" s="59"/>
      <c r="P240" s="20"/>
      <c r="Q240" s="20"/>
      <c r="R240" s="20"/>
      <c r="S240" s="20"/>
      <c r="T240" s="62"/>
      <c r="U240" s="62"/>
      <c r="V240" s="20"/>
      <c r="W240" s="20"/>
      <c r="X240" s="20"/>
      <c r="Y240" s="20"/>
      <c r="Z240" s="20"/>
      <c r="AA240" s="20"/>
    </row>
    <row r="241" spans="1:27" ht="15.75" customHeight="1">
      <c r="A241" s="48"/>
      <c r="B241" s="56"/>
      <c r="C241" s="56"/>
      <c r="D241" s="57"/>
      <c r="E241" s="20"/>
      <c r="F241" s="58"/>
      <c r="G241" s="20"/>
      <c r="H241" s="60"/>
      <c r="I241" s="60"/>
      <c r="J241" s="61"/>
      <c r="K241" s="61"/>
      <c r="L241" s="59"/>
      <c r="M241" s="59"/>
      <c r="N241" s="59"/>
      <c r="O241" s="59"/>
      <c r="P241" s="20"/>
      <c r="Q241" s="20"/>
      <c r="R241" s="20"/>
      <c r="S241" s="20"/>
      <c r="T241" s="62"/>
      <c r="U241" s="62"/>
      <c r="V241" s="20"/>
      <c r="W241" s="20"/>
      <c r="X241" s="20"/>
      <c r="Y241" s="20"/>
      <c r="Z241" s="20"/>
      <c r="AA241" s="20"/>
    </row>
    <row r="242" spans="1:27" ht="15.75" customHeight="1">
      <c r="A242" s="48"/>
      <c r="B242" s="56"/>
      <c r="C242" s="56"/>
      <c r="D242" s="57"/>
      <c r="E242" s="20"/>
      <c r="F242" s="58"/>
      <c r="G242" s="20"/>
      <c r="H242" s="60"/>
      <c r="I242" s="60"/>
      <c r="J242" s="61"/>
      <c r="K242" s="61"/>
      <c r="L242" s="59"/>
      <c r="M242" s="59"/>
      <c r="N242" s="59"/>
      <c r="O242" s="59"/>
      <c r="P242" s="20"/>
      <c r="Q242" s="20"/>
      <c r="R242" s="20"/>
      <c r="S242" s="20"/>
      <c r="T242" s="62"/>
      <c r="U242" s="62"/>
      <c r="V242" s="20"/>
      <c r="W242" s="20"/>
      <c r="X242" s="20"/>
      <c r="Y242" s="20"/>
      <c r="Z242" s="20"/>
      <c r="AA242" s="20"/>
    </row>
    <row r="243" spans="1:27" ht="15.75" customHeight="1">
      <c r="A243" s="48"/>
      <c r="B243" s="56"/>
      <c r="C243" s="56"/>
      <c r="D243" s="57"/>
      <c r="E243" s="20"/>
      <c r="F243" s="58"/>
      <c r="G243" s="20"/>
      <c r="H243" s="60"/>
      <c r="I243" s="60"/>
      <c r="J243" s="61"/>
      <c r="K243" s="61"/>
      <c r="L243" s="59"/>
      <c r="M243" s="59"/>
      <c r="N243" s="59"/>
      <c r="O243" s="59"/>
      <c r="P243" s="20"/>
      <c r="Q243" s="20"/>
      <c r="R243" s="20"/>
      <c r="S243" s="20"/>
      <c r="T243" s="62"/>
      <c r="U243" s="62"/>
      <c r="V243" s="20"/>
      <c r="W243" s="20"/>
      <c r="X243" s="20"/>
      <c r="Y243" s="20"/>
      <c r="Z243" s="20"/>
      <c r="AA243" s="20"/>
    </row>
    <row r="244" spans="1:27" ht="15.75" customHeight="1">
      <c r="A244" s="48"/>
      <c r="B244" s="56"/>
      <c r="C244" s="56"/>
      <c r="D244" s="57"/>
      <c r="E244" s="20"/>
      <c r="F244" s="58"/>
      <c r="G244" s="20"/>
      <c r="H244" s="60"/>
      <c r="I244" s="60"/>
      <c r="J244" s="61"/>
      <c r="K244" s="61"/>
      <c r="L244" s="59"/>
      <c r="M244" s="59"/>
      <c r="N244" s="59"/>
      <c r="O244" s="59"/>
      <c r="P244" s="20"/>
      <c r="Q244" s="20"/>
      <c r="R244" s="20"/>
      <c r="S244" s="20"/>
      <c r="T244" s="62"/>
      <c r="U244" s="62"/>
      <c r="V244" s="20"/>
      <c r="W244" s="20"/>
      <c r="X244" s="20"/>
      <c r="Y244" s="20"/>
      <c r="Z244" s="20"/>
      <c r="AA244" s="20"/>
    </row>
    <row r="245" spans="1:27" ht="15.75" customHeight="1">
      <c r="A245" s="48"/>
      <c r="B245" s="56"/>
      <c r="C245" s="56"/>
      <c r="D245" s="57"/>
      <c r="E245" s="20"/>
      <c r="F245" s="58"/>
      <c r="G245" s="20"/>
      <c r="H245" s="60"/>
      <c r="I245" s="60"/>
      <c r="J245" s="61"/>
      <c r="K245" s="61"/>
      <c r="L245" s="59"/>
      <c r="M245" s="59"/>
      <c r="N245" s="59"/>
      <c r="O245" s="59"/>
      <c r="P245" s="20"/>
      <c r="Q245" s="20"/>
      <c r="R245" s="20"/>
      <c r="S245" s="20"/>
      <c r="T245" s="62"/>
      <c r="U245" s="62"/>
      <c r="V245" s="20"/>
      <c r="W245" s="20"/>
      <c r="X245" s="20"/>
      <c r="Y245" s="20"/>
      <c r="Z245" s="20"/>
      <c r="AA245" s="20"/>
    </row>
    <row r="246" spans="1:27" ht="15.75" customHeight="1">
      <c r="A246" s="48"/>
      <c r="B246" s="56"/>
      <c r="C246" s="56"/>
      <c r="D246" s="57"/>
      <c r="E246" s="20"/>
      <c r="F246" s="58"/>
      <c r="G246" s="20"/>
      <c r="H246" s="60"/>
      <c r="I246" s="60"/>
      <c r="J246" s="61"/>
      <c r="K246" s="61"/>
      <c r="L246" s="59"/>
      <c r="M246" s="59"/>
      <c r="N246" s="59"/>
      <c r="O246" s="59"/>
      <c r="P246" s="20"/>
      <c r="Q246" s="20"/>
      <c r="R246" s="20"/>
      <c r="S246" s="20"/>
      <c r="T246" s="62"/>
      <c r="U246" s="62"/>
      <c r="V246" s="20"/>
      <c r="W246" s="20"/>
      <c r="X246" s="20"/>
      <c r="Y246" s="20"/>
      <c r="Z246" s="20"/>
      <c r="AA246" s="20"/>
    </row>
    <row r="247" spans="1:27" ht="15.75" customHeight="1">
      <c r="A247" s="48"/>
      <c r="B247" s="56"/>
      <c r="C247" s="56"/>
      <c r="D247" s="57"/>
      <c r="E247" s="20"/>
      <c r="F247" s="58"/>
      <c r="G247" s="20"/>
      <c r="H247" s="60"/>
      <c r="I247" s="60"/>
      <c r="J247" s="61"/>
      <c r="K247" s="61"/>
      <c r="L247" s="59"/>
      <c r="M247" s="59"/>
      <c r="N247" s="59"/>
      <c r="O247" s="59"/>
      <c r="P247" s="20"/>
      <c r="Q247" s="20"/>
      <c r="R247" s="20"/>
      <c r="S247" s="20"/>
      <c r="T247" s="62"/>
      <c r="U247" s="62"/>
      <c r="V247" s="20"/>
      <c r="W247" s="20"/>
      <c r="X247" s="20"/>
      <c r="Y247" s="20"/>
      <c r="Z247" s="20"/>
      <c r="AA247" s="20"/>
    </row>
    <row r="248" spans="1:27" ht="15.75" customHeight="1">
      <c r="A248" s="48"/>
      <c r="B248" s="56"/>
      <c r="C248" s="56"/>
      <c r="D248" s="57"/>
      <c r="E248" s="20"/>
      <c r="F248" s="58"/>
      <c r="G248" s="20"/>
      <c r="H248" s="60"/>
      <c r="I248" s="60"/>
      <c r="J248" s="61"/>
      <c r="K248" s="61"/>
      <c r="L248" s="59"/>
      <c r="M248" s="59"/>
      <c r="N248" s="59"/>
      <c r="O248" s="59"/>
      <c r="P248" s="20"/>
      <c r="Q248" s="20"/>
      <c r="R248" s="20"/>
      <c r="S248" s="20"/>
      <c r="T248" s="62"/>
      <c r="U248" s="62"/>
      <c r="V248" s="20"/>
      <c r="W248" s="20"/>
      <c r="X248" s="20"/>
      <c r="Y248" s="20"/>
      <c r="Z248" s="20"/>
      <c r="AA248" s="20"/>
    </row>
    <row r="249" spans="1:27" ht="15.75" customHeight="1">
      <c r="A249" s="48"/>
      <c r="B249" s="56"/>
      <c r="C249" s="56"/>
      <c r="D249" s="57"/>
      <c r="E249" s="20"/>
      <c r="F249" s="58"/>
      <c r="G249" s="20"/>
      <c r="H249" s="60"/>
      <c r="I249" s="60"/>
      <c r="J249" s="61"/>
      <c r="K249" s="61"/>
      <c r="L249" s="59"/>
      <c r="M249" s="59"/>
      <c r="N249" s="59"/>
      <c r="O249" s="59"/>
      <c r="P249" s="20"/>
      <c r="Q249" s="20"/>
      <c r="R249" s="20"/>
      <c r="S249" s="20"/>
      <c r="T249" s="62"/>
      <c r="U249" s="62"/>
      <c r="V249" s="20"/>
      <c r="W249" s="20"/>
      <c r="X249" s="20"/>
      <c r="Y249" s="20"/>
      <c r="Z249" s="20"/>
      <c r="AA249" s="20"/>
    </row>
    <row r="250" spans="1:27" ht="15.75" customHeight="1">
      <c r="A250" s="48"/>
      <c r="B250" s="56"/>
      <c r="C250" s="56"/>
      <c r="D250" s="57"/>
      <c r="E250" s="20"/>
      <c r="F250" s="58"/>
      <c r="G250" s="20"/>
      <c r="H250" s="60"/>
      <c r="I250" s="60"/>
      <c r="J250" s="61"/>
      <c r="K250" s="61"/>
      <c r="L250" s="59"/>
      <c r="M250" s="59"/>
      <c r="N250" s="59"/>
      <c r="O250" s="59"/>
      <c r="P250" s="20"/>
      <c r="Q250" s="20"/>
      <c r="R250" s="20"/>
      <c r="S250" s="20"/>
      <c r="T250" s="62"/>
      <c r="U250" s="62"/>
      <c r="V250" s="20"/>
      <c r="W250" s="20"/>
      <c r="X250" s="20"/>
      <c r="Y250" s="20"/>
      <c r="Z250" s="20"/>
      <c r="AA250" s="20"/>
    </row>
    <row r="251" spans="1:27" ht="15.75" customHeight="1">
      <c r="A251" s="48"/>
      <c r="B251" s="56"/>
      <c r="C251" s="56"/>
      <c r="D251" s="57"/>
      <c r="E251" s="20"/>
      <c r="F251" s="58"/>
      <c r="G251" s="20"/>
      <c r="H251" s="60"/>
      <c r="I251" s="60"/>
      <c r="J251" s="61"/>
      <c r="K251" s="61"/>
      <c r="L251" s="59"/>
      <c r="M251" s="59"/>
      <c r="N251" s="59"/>
      <c r="O251" s="59"/>
      <c r="P251" s="20"/>
      <c r="Q251" s="20"/>
      <c r="R251" s="20"/>
      <c r="S251" s="20"/>
      <c r="T251" s="62"/>
      <c r="U251" s="62"/>
      <c r="V251" s="20"/>
      <c r="W251" s="20"/>
      <c r="X251" s="20"/>
      <c r="Y251" s="20"/>
      <c r="Z251" s="20"/>
      <c r="AA251" s="20"/>
    </row>
    <row r="252" spans="1:27" ht="15.75" customHeight="1">
      <c r="A252" s="48"/>
      <c r="B252" s="56"/>
      <c r="C252" s="56"/>
      <c r="D252" s="57"/>
      <c r="E252" s="20"/>
      <c r="F252" s="58"/>
      <c r="G252" s="20"/>
      <c r="H252" s="60"/>
      <c r="I252" s="60"/>
      <c r="J252" s="61"/>
      <c r="K252" s="61"/>
      <c r="L252" s="59"/>
      <c r="M252" s="59"/>
      <c r="N252" s="59"/>
      <c r="O252" s="59"/>
      <c r="P252" s="20"/>
      <c r="Q252" s="20"/>
      <c r="R252" s="20"/>
      <c r="S252" s="20"/>
      <c r="T252" s="62"/>
      <c r="U252" s="62"/>
      <c r="V252" s="20"/>
      <c r="W252" s="20"/>
      <c r="X252" s="20"/>
      <c r="Y252" s="20"/>
      <c r="Z252" s="20"/>
      <c r="AA252" s="20"/>
    </row>
    <row r="253" spans="1:27" ht="15.75" customHeight="1">
      <c r="A253" s="48"/>
      <c r="B253" s="56"/>
      <c r="C253" s="56"/>
      <c r="D253" s="57"/>
      <c r="E253" s="20"/>
      <c r="F253" s="58"/>
      <c r="G253" s="20"/>
      <c r="H253" s="60"/>
      <c r="I253" s="60"/>
      <c r="J253" s="61"/>
      <c r="K253" s="61"/>
      <c r="L253" s="59"/>
      <c r="M253" s="59"/>
      <c r="N253" s="59"/>
      <c r="O253" s="59"/>
      <c r="P253" s="20"/>
      <c r="Q253" s="20"/>
      <c r="R253" s="20"/>
      <c r="S253" s="20"/>
      <c r="T253" s="62"/>
      <c r="U253" s="62"/>
      <c r="V253" s="20"/>
      <c r="W253" s="20"/>
      <c r="X253" s="20"/>
      <c r="Y253" s="20"/>
      <c r="Z253" s="20"/>
      <c r="AA253" s="20"/>
    </row>
    <row r="254" spans="1:27" ht="15.75" customHeight="1">
      <c r="A254" s="48"/>
      <c r="B254" s="56"/>
      <c r="C254" s="56"/>
      <c r="D254" s="57"/>
      <c r="E254" s="20"/>
      <c r="F254" s="58"/>
      <c r="G254" s="20"/>
      <c r="H254" s="60"/>
      <c r="I254" s="60"/>
      <c r="J254" s="61"/>
      <c r="K254" s="61"/>
      <c r="L254" s="59"/>
      <c r="M254" s="59"/>
      <c r="N254" s="59"/>
      <c r="O254" s="59"/>
      <c r="P254" s="20"/>
      <c r="Q254" s="20"/>
      <c r="R254" s="20"/>
      <c r="S254" s="20"/>
      <c r="T254" s="62"/>
      <c r="U254" s="62"/>
      <c r="V254" s="20"/>
      <c r="W254" s="20"/>
      <c r="X254" s="20"/>
      <c r="Y254" s="20"/>
      <c r="Z254" s="20"/>
      <c r="AA254" s="20"/>
    </row>
    <row r="255" spans="1:27" ht="15.75" customHeight="1">
      <c r="A255" s="48"/>
      <c r="B255" s="56"/>
      <c r="C255" s="56"/>
      <c r="D255" s="57"/>
      <c r="E255" s="20"/>
      <c r="F255" s="58"/>
      <c r="G255" s="20"/>
      <c r="H255" s="60"/>
      <c r="I255" s="60"/>
      <c r="J255" s="61"/>
      <c r="K255" s="61"/>
      <c r="L255" s="59"/>
      <c r="M255" s="59"/>
      <c r="N255" s="59"/>
      <c r="O255" s="59"/>
      <c r="P255" s="20"/>
      <c r="Q255" s="20"/>
      <c r="R255" s="20"/>
      <c r="S255" s="20"/>
      <c r="T255" s="62"/>
      <c r="U255" s="62"/>
      <c r="V255" s="20"/>
      <c r="W255" s="20"/>
      <c r="X255" s="20"/>
      <c r="Y255" s="20"/>
      <c r="Z255" s="20"/>
      <c r="AA255" s="20"/>
    </row>
    <row r="256" spans="1:27" ht="15.75" customHeight="1">
      <c r="A256" s="48"/>
      <c r="B256" s="56"/>
      <c r="C256" s="56"/>
      <c r="D256" s="57"/>
      <c r="E256" s="20"/>
      <c r="F256" s="58"/>
      <c r="G256" s="20"/>
      <c r="H256" s="60"/>
      <c r="I256" s="60"/>
      <c r="J256" s="61"/>
      <c r="K256" s="61"/>
      <c r="L256" s="59"/>
      <c r="M256" s="59"/>
      <c r="N256" s="59"/>
      <c r="O256" s="59"/>
      <c r="P256" s="20"/>
      <c r="Q256" s="20"/>
      <c r="R256" s="20"/>
      <c r="S256" s="20"/>
      <c r="T256" s="62"/>
      <c r="U256" s="62"/>
      <c r="V256" s="20"/>
      <c r="W256" s="20"/>
      <c r="X256" s="20"/>
      <c r="Y256" s="20"/>
      <c r="Z256" s="20"/>
      <c r="AA256" s="20"/>
    </row>
    <row r="257" spans="1:27" ht="15.75" customHeight="1">
      <c r="A257" s="48"/>
      <c r="B257" s="56"/>
      <c r="C257" s="56"/>
      <c r="D257" s="57"/>
      <c r="E257" s="20"/>
      <c r="F257" s="58"/>
      <c r="G257" s="20"/>
      <c r="H257" s="60"/>
      <c r="I257" s="60"/>
      <c r="J257" s="61"/>
      <c r="K257" s="61"/>
      <c r="L257" s="59"/>
      <c r="M257" s="59"/>
      <c r="N257" s="59"/>
      <c r="O257" s="59"/>
      <c r="P257" s="20"/>
      <c r="Q257" s="20"/>
      <c r="R257" s="20"/>
      <c r="S257" s="20"/>
      <c r="T257" s="62"/>
      <c r="U257" s="62"/>
      <c r="V257" s="20"/>
      <c r="W257" s="20"/>
      <c r="X257" s="20"/>
      <c r="Y257" s="20"/>
      <c r="Z257" s="20"/>
      <c r="AA257" s="20"/>
    </row>
    <row r="258" spans="1:27" ht="15.75" customHeight="1">
      <c r="A258" s="48"/>
      <c r="B258" s="56"/>
      <c r="C258" s="56"/>
      <c r="D258" s="57"/>
      <c r="E258" s="20"/>
      <c r="F258" s="58"/>
      <c r="G258" s="20"/>
      <c r="H258" s="60"/>
      <c r="I258" s="60"/>
      <c r="J258" s="61"/>
      <c r="K258" s="61"/>
      <c r="L258" s="59"/>
      <c r="M258" s="59"/>
      <c r="N258" s="59"/>
      <c r="O258" s="59"/>
      <c r="P258" s="20"/>
      <c r="Q258" s="20"/>
      <c r="R258" s="20"/>
      <c r="S258" s="20"/>
      <c r="T258" s="62"/>
      <c r="U258" s="62"/>
      <c r="V258" s="20"/>
      <c r="W258" s="20"/>
      <c r="X258" s="20"/>
      <c r="Y258" s="20"/>
      <c r="Z258" s="20"/>
      <c r="AA258" s="20"/>
    </row>
    <row r="259" spans="1:27" ht="15.75" customHeight="1">
      <c r="A259" s="48"/>
      <c r="B259" s="56"/>
      <c r="C259" s="56"/>
      <c r="D259" s="57"/>
      <c r="E259" s="20"/>
      <c r="F259" s="58"/>
      <c r="G259" s="20"/>
      <c r="H259" s="60"/>
      <c r="I259" s="60"/>
      <c r="J259" s="61"/>
      <c r="K259" s="61"/>
      <c r="L259" s="59"/>
      <c r="M259" s="59"/>
      <c r="N259" s="59"/>
      <c r="O259" s="59"/>
      <c r="P259" s="20"/>
      <c r="Q259" s="20"/>
      <c r="R259" s="20"/>
      <c r="S259" s="20"/>
      <c r="T259" s="62"/>
      <c r="U259" s="62"/>
      <c r="V259" s="20"/>
      <c r="W259" s="20"/>
      <c r="X259" s="20"/>
      <c r="Y259" s="20"/>
      <c r="Z259" s="20"/>
      <c r="AA259" s="20"/>
    </row>
    <row r="260" spans="1:27" ht="15.75" customHeight="1">
      <c r="A260" s="48"/>
      <c r="B260" s="56"/>
      <c r="C260" s="56"/>
      <c r="D260" s="57"/>
      <c r="E260" s="20"/>
      <c r="F260" s="58"/>
      <c r="G260" s="20"/>
      <c r="H260" s="60"/>
      <c r="I260" s="60"/>
      <c r="J260" s="61"/>
      <c r="K260" s="61"/>
      <c r="L260" s="59"/>
      <c r="M260" s="59"/>
      <c r="N260" s="59"/>
      <c r="O260" s="59"/>
      <c r="P260" s="20"/>
      <c r="Q260" s="20"/>
      <c r="R260" s="20"/>
      <c r="S260" s="20"/>
      <c r="T260" s="62"/>
      <c r="U260" s="62"/>
      <c r="V260" s="20"/>
      <c r="W260" s="20"/>
      <c r="X260" s="20"/>
      <c r="Y260" s="20"/>
      <c r="Z260" s="20"/>
      <c r="AA260" s="20"/>
    </row>
    <row r="261" spans="1:27" ht="15.75" customHeight="1">
      <c r="A261" s="48"/>
      <c r="B261" s="56"/>
      <c r="C261" s="56"/>
      <c r="D261" s="57"/>
      <c r="E261" s="20"/>
      <c r="F261" s="58"/>
      <c r="G261" s="20"/>
      <c r="H261" s="60"/>
      <c r="I261" s="60"/>
      <c r="J261" s="61"/>
      <c r="K261" s="61"/>
      <c r="L261" s="59"/>
      <c r="M261" s="59"/>
      <c r="N261" s="59"/>
      <c r="O261" s="59"/>
      <c r="P261" s="20"/>
      <c r="Q261" s="20"/>
      <c r="R261" s="20"/>
      <c r="S261" s="20"/>
      <c r="T261" s="62"/>
      <c r="U261" s="62"/>
      <c r="V261" s="20"/>
      <c r="W261" s="20"/>
      <c r="X261" s="20"/>
      <c r="Y261" s="20"/>
      <c r="Z261" s="20"/>
      <c r="AA261" s="20"/>
    </row>
    <row r="262" spans="1:27" ht="15.75" customHeight="1">
      <c r="A262" s="48"/>
      <c r="B262" s="56"/>
      <c r="C262" s="56"/>
      <c r="D262" s="57"/>
      <c r="E262" s="20"/>
      <c r="F262" s="58"/>
      <c r="G262" s="20"/>
      <c r="H262" s="60"/>
      <c r="I262" s="60"/>
      <c r="J262" s="61"/>
      <c r="K262" s="61"/>
      <c r="L262" s="59"/>
      <c r="M262" s="59"/>
      <c r="N262" s="59"/>
      <c r="O262" s="59"/>
      <c r="P262" s="20"/>
      <c r="Q262" s="20"/>
      <c r="R262" s="20"/>
      <c r="S262" s="20"/>
      <c r="T262" s="62"/>
      <c r="U262" s="62"/>
      <c r="V262" s="20"/>
      <c r="W262" s="20"/>
      <c r="X262" s="20"/>
      <c r="Y262" s="20"/>
      <c r="Z262" s="20"/>
      <c r="AA262" s="20"/>
    </row>
    <row r="263" spans="1:27" ht="15.75" customHeight="1">
      <c r="A263" s="48"/>
      <c r="B263" s="56"/>
      <c r="C263" s="56"/>
      <c r="D263" s="57"/>
      <c r="E263" s="20"/>
      <c r="F263" s="58"/>
      <c r="G263" s="20"/>
      <c r="H263" s="60"/>
      <c r="I263" s="60"/>
      <c r="J263" s="61"/>
      <c r="K263" s="61"/>
      <c r="L263" s="59"/>
      <c r="M263" s="59"/>
      <c r="N263" s="59"/>
      <c r="O263" s="59"/>
      <c r="P263" s="20"/>
      <c r="Q263" s="20"/>
      <c r="R263" s="20"/>
      <c r="S263" s="20"/>
      <c r="T263" s="62"/>
      <c r="U263" s="62"/>
      <c r="V263" s="20"/>
      <c r="W263" s="20"/>
      <c r="X263" s="20"/>
      <c r="Y263" s="20"/>
      <c r="Z263" s="20"/>
      <c r="AA263" s="20"/>
    </row>
    <row r="264" spans="1:27" ht="15.75" customHeight="1">
      <c r="A264" s="48"/>
      <c r="B264" s="56"/>
      <c r="C264" s="56"/>
      <c r="D264" s="57"/>
      <c r="E264" s="20"/>
      <c r="F264" s="58"/>
      <c r="G264" s="20"/>
      <c r="H264" s="60"/>
      <c r="I264" s="60"/>
      <c r="J264" s="61"/>
      <c r="K264" s="61"/>
      <c r="L264" s="59"/>
      <c r="M264" s="59"/>
      <c r="N264" s="59"/>
      <c r="O264" s="59"/>
      <c r="P264" s="20"/>
      <c r="Q264" s="20"/>
      <c r="R264" s="20"/>
      <c r="S264" s="20"/>
      <c r="T264" s="62"/>
      <c r="U264" s="62"/>
      <c r="V264" s="20"/>
      <c r="W264" s="20"/>
      <c r="X264" s="20"/>
      <c r="Y264" s="20"/>
      <c r="Z264" s="20"/>
      <c r="AA264" s="20"/>
    </row>
    <row r="265" spans="1:27" ht="15.75" customHeight="1">
      <c r="A265" s="48"/>
      <c r="B265" s="56"/>
      <c r="C265" s="56"/>
      <c r="D265" s="57"/>
      <c r="E265" s="20"/>
      <c r="F265" s="58"/>
      <c r="G265" s="20"/>
      <c r="H265" s="60"/>
      <c r="I265" s="60"/>
      <c r="J265" s="61"/>
      <c r="K265" s="61"/>
      <c r="L265" s="59"/>
      <c r="M265" s="59"/>
      <c r="N265" s="59"/>
      <c r="O265" s="59"/>
      <c r="P265" s="20"/>
      <c r="Q265" s="20"/>
      <c r="R265" s="20"/>
      <c r="S265" s="20"/>
      <c r="T265" s="62"/>
      <c r="U265" s="62"/>
      <c r="V265" s="20"/>
      <c r="W265" s="20"/>
      <c r="X265" s="20"/>
      <c r="Y265" s="20"/>
      <c r="Z265" s="20"/>
      <c r="AA265" s="20"/>
    </row>
    <row r="266" spans="1:27" ht="15.75" customHeight="1">
      <c r="A266" s="48"/>
      <c r="B266" s="56"/>
      <c r="C266" s="56"/>
      <c r="D266" s="57"/>
      <c r="E266" s="20"/>
      <c r="F266" s="58"/>
      <c r="G266" s="20"/>
      <c r="H266" s="60"/>
      <c r="I266" s="60"/>
      <c r="J266" s="61"/>
      <c r="K266" s="61"/>
      <c r="L266" s="59"/>
      <c r="M266" s="59"/>
      <c r="N266" s="59"/>
      <c r="O266" s="59"/>
      <c r="P266" s="20"/>
      <c r="Q266" s="20"/>
      <c r="R266" s="20"/>
      <c r="S266" s="20"/>
      <c r="T266" s="62"/>
      <c r="U266" s="62"/>
      <c r="V266" s="20"/>
      <c r="W266" s="20"/>
      <c r="X266" s="20"/>
      <c r="Y266" s="20"/>
      <c r="Z266" s="20"/>
      <c r="AA266" s="20"/>
    </row>
    <row r="267" spans="1:27" ht="15.75" customHeight="1">
      <c r="A267" s="48"/>
      <c r="B267" s="56"/>
      <c r="C267" s="56"/>
      <c r="D267" s="57"/>
      <c r="E267" s="20"/>
      <c r="F267" s="58"/>
      <c r="G267" s="20"/>
      <c r="H267" s="60"/>
      <c r="I267" s="60"/>
      <c r="J267" s="61"/>
      <c r="K267" s="61"/>
      <c r="L267" s="59"/>
      <c r="M267" s="59"/>
      <c r="N267" s="59"/>
      <c r="O267" s="59"/>
      <c r="P267" s="20"/>
      <c r="Q267" s="20"/>
      <c r="R267" s="20"/>
      <c r="S267" s="20"/>
      <c r="T267" s="62"/>
      <c r="U267" s="62"/>
      <c r="V267" s="20"/>
      <c r="W267" s="20"/>
      <c r="X267" s="20"/>
      <c r="Y267" s="20"/>
      <c r="Z267" s="20"/>
      <c r="AA267" s="20"/>
    </row>
    <row r="268" spans="1:27" ht="15.75" customHeight="1">
      <c r="A268" s="48"/>
      <c r="B268" s="56"/>
      <c r="C268" s="56"/>
      <c r="D268" s="57"/>
      <c r="E268" s="20"/>
      <c r="F268" s="58"/>
      <c r="G268" s="20"/>
      <c r="H268" s="60"/>
      <c r="I268" s="60"/>
      <c r="J268" s="61"/>
      <c r="K268" s="61"/>
      <c r="L268" s="59"/>
      <c r="M268" s="59"/>
      <c r="N268" s="59"/>
      <c r="O268" s="59"/>
      <c r="P268" s="20"/>
      <c r="Q268" s="20"/>
      <c r="R268" s="20"/>
      <c r="S268" s="20"/>
      <c r="T268" s="62"/>
      <c r="U268" s="62"/>
      <c r="V268" s="20"/>
      <c r="W268" s="20"/>
      <c r="X268" s="20"/>
      <c r="Y268" s="20"/>
      <c r="Z268" s="20"/>
      <c r="AA268" s="20"/>
    </row>
    <row r="269" spans="1:27" ht="15.75" customHeight="1">
      <c r="A269" s="48"/>
      <c r="B269" s="56"/>
      <c r="C269" s="56"/>
      <c r="D269" s="57"/>
      <c r="E269" s="20"/>
      <c r="F269" s="58"/>
      <c r="G269" s="20"/>
      <c r="H269" s="60"/>
      <c r="I269" s="60"/>
      <c r="J269" s="61"/>
      <c r="K269" s="61"/>
      <c r="L269" s="59"/>
      <c r="M269" s="59"/>
      <c r="N269" s="59"/>
      <c r="O269" s="59"/>
      <c r="P269" s="20"/>
      <c r="Q269" s="20"/>
      <c r="R269" s="20"/>
      <c r="S269" s="20"/>
      <c r="T269" s="62"/>
      <c r="U269" s="62"/>
      <c r="V269" s="20"/>
      <c r="W269" s="20"/>
      <c r="X269" s="20"/>
      <c r="Y269" s="20"/>
      <c r="Z269" s="20"/>
      <c r="AA269" s="20"/>
    </row>
    <row r="270" spans="1:27" ht="15.75" customHeight="1">
      <c r="A270" s="48"/>
      <c r="B270" s="56"/>
      <c r="C270" s="56"/>
      <c r="D270" s="57"/>
      <c r="E270" s="20"/>
      <c r="F270" s="58"/>
      <c r="G270" s="20"/>
      <c r="H270" s="60"/>
      <c r="I270" s="60"/>
      <c r="J270" s="61"/>
      <c r="K270" s="61"/>
      <c r="L270" s="59"/>
      <c r="M270" s="59"/>
      <c r="N270" s="59"/>
      <c r="O270" s="59"/>
      <c r="P270" s="20"/>
      <c r="Q270" s="20"/>
      <c r="R270" s="20"/>
      <c r="S270" s="20"/>
      <c r="T270" s="62"/>
      <c r="U270" s="62"/>
      <c r="V270" s="20"/>
      <c r="W270" s="20"/>
      <c r="X270" s="20"/>
      <c r="Y270" s="20"/>
      <c r="Z270" s="20"/>
      <c r="AA270" s="20"/>
    </row>
    <row r="271" spans="1:27" ht="15.75" customHeight="1">
      <c r="A271" s="48"/>
      <c r="B271" s="56"/>
      <c r="C271" s="56"/>
      <c r="D271" s="57"/>
      <c r="E271" s="20"/>
      <c r="F271" s="58"/>
      <c r="G271" s="20"/>
      <c r="H271" s="60"/>
      <c r="I271" s="60"/>
      <c r="J271" s="61"/>
      <c r="K271" s="61"/>
      <c r="L271" s="59"/>
      <c r="M271" s="59"/>
      <c r="N271" s="59"/>
      <c r="O271" s="59"/>
      <c r="P271" s="20"/>
      <c r="Q271" s="20"/>
      <c r="R271" s="20"/>
      <c r="S271" s="20"/>
      <c r="T271" s="62"/>
      <c r="U271" s="62"/>
      <c r="V271" s="20"/>
      <c r="W271" s="20"/>
      <c r="X271" s="20"/>
      <c r="Y271" s="20"/>
      <c r="Z271" s="20"/>
      <c r="AA271" s="20"/>
    </row>
    <row r="272" spans="1:27" ht="15.75" customHeight="1">
      <c r="A272" s="48"/>
      <c r="B272" s="56"/>
      <c r="C272" s="56"/>
      <c r="D272" s="57"/>
      <c r="E272" s="20"/>
      <c r="F272" s="58"/>
      <c r="G272" s="20"/>
      <c r="H272" s="60"/>
      <c r="I272" s="60"/>
      <c r="J272" s="61"/>
      <c r="K272" s="61"/>
      <c r="L272" s="59"/>
      <c r="M272" s="59"/>
      <c r="N272" s="59"/>
      <c r="O272" s="59"/>
      <c r="P272" s="20"/>
      <c r="Q272" s="20"/>
      <c r="R272" s="20"/>
      <c r="S272" s="20"/>
      <c r="T272" s="62"/>
      <c r="U272" s="62"/>
      <c r="V272" s="20"/>
      <c r="W272" s="20"/>
      <c r="X272" s="20"/>
      <c r="Y272" s="20"/>
      <c r="Z272" s="20"/>
      <c r="AA272" s="20"/>
    </row>
    <row r="273" spans="1:27" ht="15.75" customHeight="1">
      <c r="A273" s="48"/>
      <c r="B273" s="56"/>
      <c r="C273" s="56"/>
      <c r="D273" s="57"/>
      <c r="E273" s="20"/>
      <c r="F273" s="58"/>
      <c r="G273" s="20"/>
      <c r="H273" s="60"/>
      <c r="I273" s="60"/>
      <c r="J273" s="61"/>
      <c r="K273" s="61"/>
      <c r="L273" s="59"/>
      <c r="M273" s="59"/>
      <c r="N273" s="59"/>
      <c r="O273" s="59"/>
      <c r="P273" s="20"/>
      <c r="Q273" s="20"/>
      <c r="R273" s="20"/>
      <c r="S273" s="20"/>
      <c r="T273" s="62"/>
      <c r="U273" s="62"/>
      <c r="V273" s="20"/>
      <c r="W273" s="20"/>
      <c r="X273" s="20"/>
      <c r="Y273" s="20"/>
      <c r="Z273" s="20"/>
      <c r="AA273" s="20"/>
    </row>
    <row r="274" spans="1:27" ht="15.75" customHeight="1">
      <c r="A274" s="48"/>
      <c r="B274" s="56"/>
      <c r="C274" s="56"/>
      <c r="D274" s="57"/>
      <c r="E274" s="20"/>
      <c r="F274" s="58"/>
      <c r="G274" s="20"/>
      <c r="H274" s="60"/>
      <c r="I274" s="60"/>
      <c r="J274" s="61"/>
      <c r="K274" s="61"/>
      <c r="L274" s="59"/>
      <c r="M274" s="59"/>
      <c r="N274" s="59"/>
      <c r="O274" s="59"/>
      <c r="P274" s="20"/>
      <c r="Q274" s="20"/>
      <c r="R274" s="20"/>
      <c r="S274" s="20"/>
      <c r="T274" s="62"/>
      <c r="U274" s="62"/>
      <c r="V274" s="20"/>
      <c r="W274" s="20"/>
      <c r="X274" s="20"/>
      <c r="Y274" s="20"/>
      <c r="Z274" s="20"/>
      <c r="AA274" s="20"/>
    </row>
    <row r="275" spans="1:27" ht="15.75" customHeight="1">
      <c r="A275" s="48"/>
      <c r="B275" s="56"/>
      <c r="C275" s="56"/>
      <c r="D275" s="57"/>
      <c r="E275" s="20"/>
      <c r="F275" s="58"/>
      <c r="G275" s="20"/>
      <c r="H275" s="60"/>
      <c r="I275" s="60"/>
      <c r="J275" s="61"/>
      <c r="K275" s="61"/>
      <c r="L275" s="59"/>
      <c r="M275" s="59"/>
      <c r="N275" s="59"/>
      <c r="O275" s="59"/>
      <c r="P275" s="20"/>
      <c r="Q275" s="20"/>
      <c r="R275" s="20"/>
      <c r="S275" s="20"/>
      <c r="T275" s="62"/>
      <c r="U275" s="62"/>
      <c r="V275" s="20"/>
      <c r="W275" s="20"/>
      <c r="X275" s="20"/>
      <c r="Y275" s="20"/>
      <c r="Z275" s="20"/>
      <c r="AA275" s="20"/>
    </row>
    <row r="276" spans="1:27" ht="15.75" customHeight="1">
      <c r="A276" s="48"/>
      <c r="B276" s="56"/>
      <c r="C276" s="56"/>
      <c r="D276" s="57"/>
      <c r="E276" s="20"/>
      <c r="F276" s="58"/>
      <c r="G276" s="20"/>
      <c r="H276" s="60"/>
      <c r="I276" s="60"/>
      <c r="J276" s="61"/>
      <c r="K276" s="61"/>
      <c r="L276" s="59"/>
      <c r="M276" s="59"/>
      <c r="N276" s="59"/>
      <c r="O276" s="59"/>
      <c r="P276" s="20"/>
      <c r="Q276" s="20"/>
      <c r="R276" s="20"/>
      <c r="S276" s="20"/>
      <c r="T276" s="62"/>
      <c r="U276" s="62"/>
      <c r="V276" s="20"/>
      <c r="W276" s="20"/>
      <c r="X276" s="20"/>
      <c r="Y276" s="20"/>
      <c r="Z276" s="20"/>
      <c r="AA276" s="20"/>
    </row>
    <row r="277" spans="1:27" ht="15.75" customHeight="1">
      <c r="A277" s="48"/>
      <c r="B277" s="56"/>
      <c r="C277" s="56"/>
      <c r="D277" s="57"/>
      <c r="E277" s="20"/>
      <c r="F277" s="58"/>
      <c r="G277" s="20"/>
      <c r="H277" s="60"/>
      <c r="I277" s="60"/>
      <c r="J277" s="61"/>
      <c r="K277" s="61"/>
      <c r="L277" s="59"/>
      <c r="M277" s="59"/>
      <c r="N277" s="59"/>
      <c r="O277" s="59"/>
      <c r="P277" s="20"/>
      <c r="Q277" s="20"/>
      <c r="R277" s="20"/>
      <c r="S277" s="20"/>
      <c r="T277" s="62"/>
      <c r="U277" s="62"/>
      <c r="V277" s="20"/>
      <c r="W277" s="20"/>
      <c r="X277" s="20"/>
      <c r="Y277" s="20"/>
      <c r="Z277" s="20"/>
      <c r="AA277" s="20"/>
    </row>
    <row r="278" spans="1:27" ht="15.75" customHeight="1">
      <c r="A278" s="48"/>
      <c r="B278" s="56"/>
      <c r="C278" s="56"/>
      <c r="D278" s="57"/>
      <c r="E278" s="20"/>
      <c r="F278" s="58"/>
      <c r="G278" s="20"/>
      <c r="H278" s="60"/>
      <c r="I278" s="60"/>
      <c r="J278" s="61"/>
      <c r="K278" s="61"/>
      <c r="L278" s="59"/>
      <c r="M278" s="59"/>
      <c r="N278" s="59"/>
      <c r="O278" s="59"/>
      <c r="P278" s="20"/>
      <c r="Q278" s="20"/>
      <c r="R278" s="20"/>
      <c r="S278" s="20"/>
      <c r="T278" s="62"/>
      <c r="U278" s="62"/>
      <c r="V278" s="20"/>
      <c r="W278" s="20"/>
      <c r="X278" s="20"/>
      <c r="Y278" s="20"/>
      <c r="Z278" s="20"/>
      <c r="AA278" s="20"/>
    </row>
    <row r="279" spans="1:27" ht="15.75" customHeight="1">
      <c r="A279" s="48"/>
      <c r="B279" s="56"/>
      <c r="C279" s="56"/>
      <c r="D279" s="57"/>
      <c r="E279" s="20"/>
      <c r="F279" s="58"/>
      <c r="G279" s="20"/>
      <c r="H279" s="60"/>
      <c r="I279" s="60"/>
      <c r="J279" s="61"/>
      <c r="K279" s="61"/>
      <c r="L279" s="59"/>
      <c r="M279" s="59"/>
      <c r="N279" s="59"/>
      <c r="O279" s="59"/>
      <c r="P279" s="20"/>
      <c r="Q279" s="20"/>
      <c r="R279" s="20"/>
      <c r="S279" s="20"/>
      <c r="T279" s="62"/>
      <c r="U279" s="62"/>
      <c r="V279" s="20"/>
      <c r="W279" s="20"/>
      <c r="X279" s="20"/>
      <c r="Y279" s="20"/>
      <c r="Z279" s="20"/>
      <c r="AA279" s="20"/>
    </row>
    <row r="280" spans="1:27" ht="15.75" customHeight="1">
      <c r="A280" s="48"/>
      <c r="B280" s="56"/>
      <c r="C280" s="56"/>
      <c r="D280" s="57"/>
      <c r="E280" s="20"/>
      <c r="F280" s="58"/>
      <c r="G280" s="20"/>
      <c r="H280" s="60"/>
      <c r="I280" s="60"/>
      <c r="J280" s="61"/>
      <c r="K280" s="61"/>
      <c r="L280" s="59"/>
      <c r="M280" s="59"/>
      <c r="N280" s="59"/>
      <c r="O280" s="59"/>
      <c r="P280" s="20"/>
      <c r="Q280" s="20"/>
      <c r="R280" s="20"/>
      <c r="S280" s="20"/>
      <c r="T280" s="62"/>
      <c r="U280" s="62"/>
      <c r="V280" s="20"/>
      <c r="W280" s="20"/>
      <c r="X280" s="20"/>
      <c r="Y280" s="20"/>
      <c r="Z280" s="20"/>
      <c r="AA280" s="20"/>
    </row>
    <row r="281" spans="1:27" ht="15.75" customHeight="1">
      <c r="A281" s="48"/>
      <c r="B281" s="56"/>
      <c r="C281" s="56"/>
      <c r="D281" s="57"/>
      <c r="E281" s="20"/>
      <c r="F281" s="58"/>
      <c r="G281" s="20"/>
      <c r="H281" s="60"/>
      <c r="I281" s="60"/>
      <c r="J281" s="61"/>
      <c r="K281" s="61"/>
      <c r="L281" s="59"/>
      <c r="M281" s="59"/>
      <c r="N281" s="59"/>
      <c r="O281" s="59"/>
      <c r="P281" s="20"/>
      <c r="Q281" s="20"/>
      <c r="R281" s="20"/>
      <c r="S281" s="20"/>
      <c r="T281" s="62"/>
      <c r="U281" s="62"/>
      <c r="V281" s="20"/>
      <c r="W281" s="20"/>
      <c r="X281" s="20"/>
      <c r="Y281" s="20"/>
      <c r="Z281" s="20"/>
      <c r="AA281" s="20"/>
    </row>
    <row r="282" spans="1:27" ht="15.75" customHeight="1">
      <c r="A282" s="48"/>
      <c r="B282" s="56"/>
      <c r="C282" s="56"/>
      <c r="D282" s="57"/>
      <c r="E282" s="20"/>
      <c r="F282" s="58"/>
      <c r="G282" s="20"/>
      <c r="H282" s="60"/>
      <c r="I282" s="60"/>
      <c r="J282" s="61"/>
      <c r="K282" s="61"/>
      <c r="L282" s="59"/>
      <c r="M282" s="59"/>
      <c r="N282" s="59"/>
      <c r="O282" s="59"/>
      <c r="P282" s="20"/>
      <c r="Q282" s="20"/>
      <c r="R282" s="20"/>
      <c r="S282" s="20"/>
      <c r="T282" s="62"/>
      <c r="U282" s="62"/>
      <c r="V282" s="20"/>
      <c r="W282" s="20"/>
      <c r="X282" s="20"/>
      <c r="Y282" s="20"/>
      <c r="Z282" s="20"/>
      <c r="AA282" s="20"/>
    </row>
    <row r="283" spans="1:27" ht="15.75" customHeight="1">
      <c r="A283" s="48"/>
      <c r="B283" s="56"/>
      <c r="C283" s="56"/>
      <c r="D283" s="57"/>
      <c r="E283" s="20"/>
      <c r="F283" s="58"/>
      <c r="G283" s="20"/>
      <c r="H283" s="60"/>
      <c r="I283" s="60"/>
      <c r="J283" s="61"/>
      <c r="K283" s="61"/>
      <c r="L283" s="59"/>
      <c r="M283" s="59"/>
      <c r="N283" s="59"/>
      <c r="O283" s="59"/>
      <c r="P283" s="20"/>
      <c r="Q283" s="20"/>
      <c r="R283" s="20"/>
      <c r="S283" s="20"/>
      <c r="T283" s="62"/>
      <c r="U283" s="62"/>
      <c r="V283" s="20"/>
      <c r="W283" s="20"/>
      <c r="X283" s="20"/>
      <c r="Y283" s="20"/>
      <c r="Z283" s="20"/>
      <c r="AA283" s="20"/>
    </row>
    <row r="284" spans="1:27" ht="15.75" customHeight="1">
      <c r="A284" s="48"/>
      <c r="B284" s="56"/>
      <c r="C284" s="56"/>
      <c r="D284" s="57"/>
      <c r="E284" s="20"/>
      <c r="F284" s="58"/>
      <c r="G284" s="20"/>
      <c r="H284" s="60"/>
      <c r="I284" s="60"/>
      <c r="J284" s="61"/>
      <c r="K284" s="61"/>
      <c r="L284" s="59"/>
      <c r="M284" s="59"/>
      <c r="N284" s="59"/>
      <c r="O284" s="59"/>
      <c r="P284" s="20"/>
      <c r="Q284" s="20"/>
      <c r="R284" s="20"/>
      <c r="S284" s="20"/>
      <c r="T284" s="62"/>
      <c r="U284" s="62"/>
      <c r="V284" s="20"/>
      <c r="W284" s="20"/>
      <c r="X284" s="20"/>
      <c r="Y284" s="20"/>
      <c r="Z284" s="20"/>
      <c r="AA284" s="20"/>
    </row>
    <row r="285" spans="1:27" ht="15.75" customHeight="1">
      <c r="A285" s="48"/>
      <c r="B285" s="56"/>
      <c r="C285" s="56"/>
      <c r="D285" s="57"/>
      <c r="E285" s="20"/>
      <c r="F285" s="58"/>
      <c r="G285" s="20"/>
      <c r="H285" s="60"/>
      <c r="I285" s="60"/>
      <c r="J285" s="61"/>
      <c r="K285" s="61"/>
      <c r="L285" s="59"/>
      <c r="M285" s="59"/>
      <c r="N285" s="59"/>
      <c r="O285" s="59"/>
      <c r="P285" s="20"/>
      <c r="Q285" s="20"/>
      <c r="R285" s="20"/>
      <c r="S285" s="20"/>
      <c r="T285" s="62"/>
      <c r="U285" s="62"/>
      <c r="V285" s="20"/>
      <c r="W285" s="20"/>
      <c r="X285" s="20"/>
      <c r="Y285" s="20"/>
      <c r="Z285" s="20"/>
      <c r="AA285" s="20"/>
    </row>
    <row r="286" spans="1:27" ht="15.75" customHeight="1">
      <c r="A286" s="48"/>
      <c r="B286" s="56"/>
      <c r="C286" s="56"/>
      <c r="D286" s="57"/>
      <c r="E286" s="20"/>
      <c r="F286" s="58"/>
      <c r="G286" s="20"/>
      <c r="H286" s="60"/>
      <c r="I286" s="60"/>
      <c r="J286" s="61"/>
      <c r="K286" s="61"/>
      <c r="L286" s="59"/>
      <c r="M286" s="59"/>
      <c r="N286" s="59"/>
      <c r="O286" s="59"/>
      <c r="P286" s="20"/>
      <c r="Q286" s="20"/>
      <c r="R286" s="20"/>
      <c r="S286" s="20"/>
      <c r="T286" s="62"/>
      <c r="U286" s="62"/>
      <c r="V286" s="20"/>
      <c r="W286" s="20"/>
      <c r="X286" s="20"/>
      <c r="Y286" s="20"/>
      <c r="Z286" s="20"/>
      <c r="AA286" s="20"/>
    </row>
    <row r="287" spans="1:27" ht="15.75" customHeight="1">
      <c r="A287" s="48"/>
      <c r="B287" s="56"/>
      <c r="C287" s="56"/>
      <c r="D287" s="57"/>
      <c r="E287" s="20"/>
      <c r="F287" s="58"/>
      <c r="G287" s="20"/>
      <c r="H287" s="60"/>
      <c r="I287" s="60"/>
      <c r="J287" s="61"/>
      <c r="K287" s="61"/>
      <c r="L287" s="59"/>
      <c r="M287" s="59"/>
      <c r="N287" s="59"/>
      <c r="O287" s="59"/>
      <c r="P287" s="20"/>
      <c r="Q287" s="20"/>
      <c r="R287" s="20"/>
      <c r="S287" s="20"/>
      <c r="T287" s="62"/>
      <c r="U287" s="62"/>
      <c r="V287" s="20"/>
      <c r="W287" s="20"/>
      <c r="X287" s="20"/>
      <c r="Y287" s="20"/>
      <c r="Z287" s="20"/>
      <c r="AA287" s="20"/>
    </row>
    <row r="288" spans="1:27" ht="15.75" customHeight="1">
      <c r="A288" s="48"/>
      <c r="B288" s="56"/>
      <c r="C288" s="56"/>
      <c r="D288" s="57"/>
      <c r="E288" s="20"/>
      <c r="F288" s="58"/>
      <c r="G288" s="20"/>
      <c r="H288" s="60"/>
      <c r="I288" s="60"/>
      <c r="J288" s="61"/>
      <c r="K288" s="61"/>
      <c r="L288" s="59"/>
      <c r="M288" s="59"/>
      <c r="N288" s="59"/>
      <c r="O288" s="59"/>
      <c r="P288" s="20"/>
      <c r="Q288" s="20"/>
      <c r="R288" s="20"/>
      <c r="S288" s="20"/>
      <c r="T288" s="62"/>
      <c r="U288" s="62"/>
      <c r="V288" s="20"/>
      <c r="W288" s="20"/>
      <c r="X288" s="20"/>
      <c r="Y288" s="20"/>
      <c r="Z288" s="20"/>
      <c r="AA288" s="20"/>
    </row>
    <row r="289" spans="1:27" ht="15.75" customHeight="1">
      <c r="A289" s="48"/>
      <c r="B289" s="56"/>
      <c r="C289" s="56"/>
      <c r="D289" s="57"/>
      <c r="E289" s="20"/>
      <c r="F289" s="58"/>
      <c r="G289" s="20"/>
      <c r="H289" s="60"/>
      <c r="I289" s="60"/>
      <c r="J289" s="61"/>
      <c r="K289" s="61"/>
      <c r="L289" s="59"/>
      <c r="M289" s="59"/>
      <c r="N289" s="59"/>
      <c r="O289" s="59"/>
      <c r="P289" s="20"/>
      <c r="Q289" s="20"/>
      <c r="R289" s="20"/>
      <c r="S289" s="20"/>
      <c r="T289" s="62"/>
      <c r="U289" s="62"/>
      <c r="V289" s="20"/>
      <c r="W289" s="20"/>
      <c r="X289" s="20"/>
      <c r="Y289" s="20"/>
      <c r="Z289" s="20"/>
      <c r="AA289" s="20"/>
    </row>
    <row r="290" spans="1:27" ht="15.75" customHeight="1">
      <c r="A290" s="48"/>
      <c r="B290" s="56"/>
      <c r="C290" s="56"/>
      <c r="D290" s="57"/>
      <c r="E290" s="20"/>
      <c r="F290" s="58"/>
      <c r="G290" s="20"/>
      <c r="H290" s="60"/>
      <c r="I290" s="60"/>
      <c r="J290" s="61"/>
      <c r="K290" s="61"/>
      <c r="L290" s="59"/>
      <c r="M290" s="59"/>
      <c r="N290" s="59"/>
      <c r="O290" s="59"/>
      <c r="P290" s="20"/>
      <c r="Q290" s="20"/>
      <c r="R290" s="20"/>
      <c r="S290" s="20"/>
      <c r="T290" s="62"/>
      <c r="U290" s="62"/>
      <c r="V290" s="20"/>
      <c r="W290" s="20"/>
      <c r="X290" s="20"/>
      <c r="Y290" s="20"/>
      <c r="Z290" s="20"/>
      <c r="AA290" s="20"/>
    </row>
    <row r="291" spans="1:27" ht="15.75" customHeight="1">
      <c r="A291" s="48"/>
      <c r="B291" s="56"/>
      <c r="C291" s="56"/>
      <c r="D291" s="57"/>
      <c r="E291" s="20"/>
      <c r="F291" s="58"/>
      <c r="G291" s="20"/>
      <c r="H291" s="60"/>
      <c r="I291" s="60"/>
      <c r="J291" s="61"/>
      <c r="K291" s="61"/>
      <c r="L291" s="59"/>
      <c r="M291" s="59"/>
      <c r="N291" s="59"/>
      <c r="O291" s="59"/>
      <c r="P291" s="20"/>
      <c r="Q291" s="20"/>
      <c r="R291" s="20"/>
      <c r="S291" s="20"/>
      <c r="T291" s="62"/>
      <c r="U291" s="62"/>
      <c r="V291" s="20"/>
      <c r="W291" s="20"/>
      <c r="X291" s="20"/>
      <c r="Y291" s="20"/>
      <c r="Z291" s="20"/>
      <c r="AA291" s="20"/>
    </row>
    <row r="292" spans="1:27" ht="15.75" customHeight="1">
      <c r="A292" s="48"/>
      <c r="B292" s="56"/>
      <c r="C292" s="56"/>
      <c r="D292" s="57"/>
      <c r="E292" s="20"/>
      <c r="F292" s="58"/>
      <c r="G292" s="20"/>
      <c r="H292" s="60"/>
      <c r="I292" s="60"/>
      <c r="J292" s="61"/>
      <c r="K292" s="61"/>
      <c r="L292" s="59"/>
      <c r="M292" s="59"/>
      <c r="N292" s="59"/>
      <c r="O292" s="59"/>
      <c r="P292" s="20"/>
      <c r="Q292" s="20"/>
      <c r="R292" s="20"/>
      <c r="S292" s="20"/>
      <c r="T292" s="62"/>
      <c r="U292" s="62"/>
      <c r="V292" s="20"/>
      <c r="W292" s="20"/>
      <c r="X292" s="20"/>
      <c r="Y292" s="20"/>
      <c r="Z292" s="20"/>
      <c r="AA292" s="20"/>
    </row>
    <row r="293" spans="1:27" ht="15.75" customHeight="1">
      <c r="A293" s="48"/>
      <c r="B293" s="56"/>
      <c r="C293" s="56"/>
      <c r="D293" s="57"/>
      <c r="E293" s="20"/>
      <c r="F293" s="58"/>
      <c r="G293" s="20"/>
      <c r="H293" s="60"/>
      <c r="I293" s="60"/>
      <c r="J293" s="61"/>
      <c r="K293" s="61"/>
      <c r="L293" s="59"/>
      <c r="M293" s="59"/>
      <c r="N293" s="59"/>
      <c r="O293" s="59"/>
      <c r="P293" s="20"/>
      <c r="Q293" s="20"/>
      <c r="R293" s="20"/>
      <c r="S293" s="20"/>
      <c r="T293" s="62"/>
      <c r="U293" s="62"/>
      <c r="V293" s="20"/>
      <c r="W293" s="20"/>
      <c r="X293" s="20"/>
      <c r="Y293" s="20"/>
      <c r="Z293" s="20"/>
      <c r="AA293" s="20"/>
    </row>
    <row r="294" spans="1:27" ht="15.75" customHeight="1">
      <c r="A294" s="48"/>
      <c r="B294" s="56"/>
      <c r="C294" s="56"/>
      <c r="D294" s="57"/>
      <c r="E294" s="20"/>
      <c r="F294" s="58"/>
      <c r="G294" s="20"/>
      <c r="H294" s="60"/>
      <c r="I294" s="60"/>
      <c r="J294" s="61"/>
      <c r="K294" s="61"/>
      <c r="L294" s="59"/>
      <c r="M294" s="59"/>
      <c r="N294" s="59"/>
      <c r="O294" s="59"/>
      <c r="P294" s="20"/>
      <c r="Q294" s="20"/>
      <c r="R294" s="20"/>
      <c r="S294" s="20"/>
      <c r="T294" s="62"/>
      <c r="U294" s="62"/>
      <c r="V294" s="20"/>
      <c r="W294" s="20"/>
      <c r="X294" s="20"/>
      <c r="Y294" s="20"/>
      <c r="Z294" s="20"/>
      <c r="AA294" s="20"/>
    </row>
    <row r="295" spans="1:27" ht="15.75" customHeight="1">
      <c r="A295" s="48"/>
      <c r="B295" s="56"/>
      <c r="C295" s="56"/>
      <c r="D295" s="57"/>
      <c r="E295" s="20"/>
      <c r="F295" s="58"/>
      <c r="G295" s="20"/>
      <c r="H295" s="60"/>
      <c r="I295" s="60"/>
      <c r="J295" s="61"/>
      <c r="K295" s="61"/>
      <c r="L295" s="59"/>
      <c r="M295" s="59"/>
      <c r="N295" s="59"/>
      <c r="O295" s="59"/>
      <c r="P295" s="20"/>
      <c r="Q295" s="20"/>
      <c r="R295" s="20"/>
      <c r="S295" s="20"/>
      <c r="T295" s="62"/>
      <c r="U295" s="62"/>
      <c r="V295" s="20"/>
      <c r="W295" s="20"/>
      <c r="X295" s="20"/>
      <c r="Y295" s="20"/>
      <c r="Z295" s="20"/>
      <c r="AA295" s="20"/>
    </row>
    <row r="296" spans="1:27" ht="15.75" customHeight="1">
      <c r="A296" s="48"/>
      <c r="B296" s="56"/>
      <c r="C296" s="56"/>
      <c r="D296" s="57"/>
      <c r="E296" s="20"/>
      <c r="F296" s="58"/>
      <c r="G296" s="20"/>
      <c r="H296" s="60"/>
      <c r="I296" s="60"/>
      <c r="J296" s="61"/>
      <c r="K296" s="61"/>
      <c r="L296" s="59"/>
      <c r="M296" s="59"/>
      <c r="N296" s="59"/>
      <c r="O296" s="59"/>
      <c r="P296" s="20"/>
      <c r="Q296" s="20"/>
      <c r="R296" s="20"/>
      <c r="S296" s="20"/>
      <c r="T296" s="62"/>
      <c r="U296" s="62"/>
      <c r="V296" s="20"/>
      <c r="W296" s="20"/>
      <c r="X296" s="20"/>
      <c r="Y296" s="20"/>
      <c r="Z296" s="20"/>
      <c r="AA296" s="20"/>
    </row>
    <row r="297" spans="1:27" ht="15.75" customHeight="1">
      <c r="A297" s="48"/>
      <c r="B297" s="56"/>
      <c r="C297" s="56"/>
      <c r="D297" s="57"/>
      <c r="E297" s="20"/>
      <c r="F297" s="58"/>
      <c r="G297" s="20"/>
      <c r="H297" s="60"/>
      <c r="I297" s="60"/>
      <c r="J297" s="61"/>
      <c r="K297" s="61"/>
      <c r="L297" s="59"/>
      <c r="M297" s="59"/>
      <c r="N297" s="59"/>
      <c r="O297" s="59"/>
      <c r="P297" s="20"/>
      <c r="Q297" s="20"/>
      <c r="R297" s="20"/>
      <c r="S297" s="20"/>
      <c r="T297" s="62"/>
      <c r="U297" s="62"/>
      <c r="V297" s="20"/>
      <c r="W297" s="20"/>
      <c r="X297" s="20"/>
      <c r="Y297" s="20"/>
      <c r="Z297" s="20"/>
      <c r="AA297" s="20"/>
    </row>
    <row r="298" spans="1:27" ht="15.75" customHeight="1">
      <c r="A298" s="48"/>
      <c r="B298" s="56"/>
      <c r="C298" s="56"/>
      <c r="D298" s="57"/>
      <c r="E298" s="20"/>
      <c r="F298" s="58"/>
      <c r="G298" s="20"/>
      <c r="H298" s="60"/>
      <c r="I298" s="60"/>
      <c r="J298" s="61"/>
      <c r="K298" s="61"/>
      <c r="L298" s="59"/>
      <c r="M298" s="59"/>
      <c r="N298" s="59"/>
      <c r="O298" s="59"/>
      <c r="P298" s="20"/>
      <c r="Q298" s="20"/>
      <c r="R298" s="20"/>
      <c r="S298" s="20"/>
      <c r="T298" s="62"/>
      <c r="U298" s="62"/>
      <c r="V298" s="20"/>
      <c r="W298" s="20"/>
      <c r="X298" s="20"/>
      <c r="Y298" s="20"/>
      <c r="Z298" s="20"/>
      <c r="AA298" s="20"/>
    </row>
    <row r="299" spans="1:27" ht="15.75" customHeight="1">
      <c r="A299" s="48"/>
      <c r="B299" s="56"/>
      <c r="C299" s="56"/>
      <c r="D299" s="57"/>
      <c r="E299" s="20"/>
      <c r="F299" s="58"/>
      <c r="G299" s="20"/>
      <c r="H299" s="60"/>
      <c r="I299" s="60"/>
      <c r="J299" s="61"/>
      <c r="K299" s="61"/>
      <c r="L299" s="59"/>
      <c r="M299" s="59"/>
      <c r="N299" s="59"/>
      <c r="O299" s="59"/>
      <c r="P299" s="20"/>
      <c r="Q299" s="20"/>
      <c r="R299" s="20"/>
      <c r="S299" s="20"/>
      <c r="T299" s="62"/>
      <c r="U299" s="62"/>
      <c r="V299" s="20"/>
      <c r="W299" s="20"/>
      <c r="X299" s="20"/>
      <c r="Y299" s="20"/>
      <c r="Z299" s="20"/>
      <c r="AA299" s="20"/>
    </row>
    <row r="300" spans="1:27" ht="15.75" customHeight="1">
      <c r="A300" s="48"/>
      <c r="B300" s="56"/>
      <c r="C300" s="56"/>
      <c r="D300" s="57"/>
      <c r="E300" s="20"/>
      <c r="F300" s="58"/>
      <c r="G300" s="20"/>
      <c r="H300" s="60"/>
      <c r="I300" s="60"/>
      <c r="J300" s="61"/>
      <c r="K300" s="61"/>
      <c r="L300" s="59"/>
      <c r="M300" s="59"/>
      <c r="N300" s="59"/>
      <c r="O300" s="59"/>
      <c r="P300" s="20"/>
      <c r="Q300" s="20"/>
      <c r="R300" s="20"/>
      <c r="S300" s="20"/>
      <c r="T300" s="62"/>
      <c r="U300" s="62"/>
      <c r="V300" s="20"/>
      <c r="W300" s="20"/>
      <c r="X300" s="20"/>
      <c r="Y300" s="20"/>
      <c r="Z300" s="20"/>
      <c r="AA300" s="20"/>
    </row>
    <row r="301" spans="1:27" ht="15.75" customHeight="1">
      <c r="A301" s="48"/>
      <c r="B301" s="56"/>
      <c r="C301" s="56"/>
      <c r="D301" s="57"/>
      <c r="E301" s="20"/>
      <c r="F301" s="58"/>
      <c r="G301" s="20"/>
      <c r="H301" s="60"/>
      <c r="I301" s="60"/>
      <c r="J301" s="61"/>
      <c r="K301" s="61"/>
      <c r="L301" s="59"/>
      <c r="M301" s="59"/>
      <c r="N301" s="59"/>
      <c r="O301" s="59"/>
      <c r="P301" s="20"/>
      <c r="Q301" s="20"/>
      <c r="R301" s="20"/>
      <c r="S301" s="20"/>
      <c r="T301" s="62"/>
      <c r="U301" s="62"/>
      <c r="V301" s="20"/>
      <c r="W301" s="20"/>
      <c r="X301" s="20"/>
      <c r="Y301" s="20"/>
      <c r="Z301" s="20"/>
      <c r="AA301" s="20"/>
    </row>
    <row r="302" spans="1:27" ht="15.75" customHeight="1">
      <c r="A302" s="48"/>
      <c r="B302" s="56"/>
      <c r="C302" s="56"/>
      <c r="D302" s="57"/>
      <c r="E302" s="20"/>
      <c r="F302" s="58"/>
      <c r="G302" s="20"/>
      <c r="H302" s="60"/>
      <c r="I302" s="60"/>
      <c r="J302" s="61"/>
      <c r="K302" s="61"/>
      <c r="L302" s="59"/>
      <c r="M302" s="59"/>
      <c r="N302" s="59"/>
      <c r="O302" s="59"/>
      <c r="P302" s="20"/>
      <c r="Q302" s="20"/>
      <c r="R302" s="20"/>
      <c r="S302" s="20"/>
      <c r="T302" s="62"/>
      <c r="U302" s="62"/>
      <c r="V302" s="20"/>
      <c r="W302" s="20"/>
      <c r="X302" s="20"/>
      <c r="Y302" s="20"/>
      <c r="Z302" s="20"/>
      <c r="AA302" s="20"/>
    </row>
    <row r="303" spans="1:27" ht="15.75" customHeight="1">
      <c r="A303" s="48"/>
      <c r="B303" s="56"/>
      <c r="C303" s="56"/>
      <c r="D303" s="57"/>
      <c r="E303" s="20"/>
      <c r="F303" s="58"/>
      <c r="G303" s="20"/>
      <c r="H303" s="60"/>
      <c r="I303" s="60"/>
      <c r="J303" s="61"/>
      <c r="K303" s="61"/>
      <c r="L303" s="59"/>
      <c r="M303" s="59"/>
      <c r="N303" s="59"/>
      <c r="O303" s="59"/>
      <c r="P303" s="20"/>
      <c r="Q303" s="20"/>
      <c r="R303" s="20"/>
      <c r="S303" s="20"/>
      <c r="T303" s="62"/>
      <c r="U303" s="62"/>
      <c r="V303" s="20"/>
      <c r="W303" s="20"/>
      <c r="X303" s="20"/>
      <c r="Y303" s="20"/>
      <c r="Z303" s="20"/>
      <c r="AA303" s="20"/>
    </row>
    <row r="304" spans="1:27" ht="15.75" customHeight="1">
      <c r="A304" s="48"/>
      <c r="B304" s="56"/>
      <c r="C304" s="56"/>
      <c r="D304" s="57"/>
      <c r="E304" s="20"/>
      <c r="F304" s="58"/>
      <c r="G304" s="20"/>
      <c r="H304" s="60"/>
      <c r="I304" s="60"/>
      <c r="J304" s="61"/>
      <c r="K304" s="61"/>
      <c r="L304" s="59"/>
      <c r="M304" s="59"/>
      <c r="N304" s="59"/>
      <c r="O304" s="59"/>
      <c r="P304" s="20"/>
      <c r="Q304" s="20"/>
      <c r="R304" s="20"/>
      <c r="S304" s="20"/>
      <c r="T304" s="62"/>
      <c r="U304" s="62"/>
      <c r="V304" s="20"/>
      <c r="W304" s="20"/>
      <c r="X304" s="20"/>
      <c r="Y304" s="20"/>
      <c r="Z304" s="20"/>
      <c r="AA304" s="20"/>
    </row>
    <row r="305" spans="1:27" ht="15.75" customHeight="1">
      <c r="A305" s="48"/>
      <c r="B305" s="56"/>
      <c r="C305" s="56"/>
      <c r="D305" s="57"/>
      <c r="E305" s="20"/>
      <c r="F305" s="58"/>
      <c r="G305" s="20"/>
      <c r="H305" s="60"/>
      <c r="I305" s="60"/>
      <c r="J305" s="61"/>
      <c r="K305" s="61"/>
      <c r="L305" s="59"/>
      <c r="M305" s="59"/>
      <c r="N305" s="59"/>
      <c r="O305" s="59"/>
      <c r="P305" s="20"/>
      <c r="Q305" s="20"/>
      <c r="R305" s="20"/>
      <c r="S305" s="20"/>
      <c r="T305" s="62"/>
      <c r="U305" s="62"/>
      <c r="V305" s="20"/>
      <c r="W305" s="20"/>
      <c r="X305" s="20"/>
      <c r="Y305" s="20"/>
      <c r="Z305" s="20"/>
      <c r="AA305" s="20"/>
    </row>
    <row r="306" spans="1:27" ht="15.75" customHeight="1">
      <c r="A306" s="48"/>
      <c r="B306" s="56"/>
      <c r="C306" s="56"/>
      <c r="D306" s="57"/>
      <c r="E306" s="20"/>
      <c r="F306" s="58"/>
      <c r="G306" s="20"/>
      <c r="H306" s="60"/>
      <c r="I306" s="60"/>
      <c r="J306" s="61"/>
      <c r="K306" s="61"/>
      <c r="L306" s="59"/>
      <c r="M306" s="59"/>
      <c r="N306" s="59"/>
      <c r="O306" s="59"/>
      <c r="P306" s="20"/>
      <c r="Q306" s="20"/>
      <c r="R306" s="20"/>
      <c r="S306" s="20"/>
      <c r="T306" s="62"/>
      <c r="U306" s="62"/>
      <c r="V306" s="20"/>
      <c r="W306" s="20"/>
      <c r="X306" s="20"/>
      <c r="Y306" s="20"/>
      <c r="Z306" s="20"/>
      <c r="AA306" s="20"/>
    </row>
    <row r="307" spans="1:27" ht="15.75" customHeight="1">
      <c r="A307" s="48"/>
      <c r="B307" s="56"/>
      <c r="C307" s="56"/>
      <c r="D307" s="57"/>
      <c r="E307" s="20"/>
      <c r="F307" s="58"/>
      <c r="G307" s="20"/>
      <c r="H307" s="60"/>
      <c r="I307" s="60"/>
      <c r="J307" s="61"/>
      <c r="K307" s="61"/>
      <c r="L307" s="59"/>
      <c r="M307" s="59"/>
      <c r="N307" s="59"/>
      <c r="O307" s="59"/>
      <c r="P307" s="20"/>
      <c r="Q307" s="20"/>
      <c r="R307" s="20"/>
      <c r="S307" s="20"/>
      <c r="T307" s="62"/>
      <c r="U307" s="62"/>
      <c r="V307" s="20"/>
      <c r="W307" s="20"/>
      <c r="X307" s="20"/>
      <c r="Y307" s="20"/>
      <c r="Z307" s="20"/>
      <c r="AA307" s="20"/>
    </row>
    <row r="308" spans="1:27" ht="15.75" customHeight="1">
      <c r="A308" s="48"/>
      <c r="B308" s="56"/>
      <c r="C308" s="56"/>
      <c r="D308" s="57"/>
      <c r="E308" s="20"/>
      <c r="F308" s="58"/>
      <c r="G308" s="20"/>
      <c r="H308" s="60"/>
      <c r="I308" s="60"/>
      <c r="J308" s="61"/>
      <c r="K308" s="61"/>
      <c r="L308" s="59"/>
      <c r="M308" s="59"/>
      <c r="N308" s="59"/>
      <c r="O308" s="59"/>
      <c r="P308" s="20"/>
      <c r="Q308" s="20"/>
      <c r="R308" s="20"/>
      <c r="S308" s="20"/>
      <c r="T308" s="62"/>
      <c r="U308" s="62"/>
      <c r="V308" s="20"/>
      <c r="W308" s="20"/>
      <c r="X308" s="20"/>
      <c r="Y308" s="20"/>
      <c r="Z308" s="20"/>
      <c r="AA308" s="20"/>
    </row>
    <row r="309" spans="1:27" ht="15.75" customHeight="1">
      <c r="A309" s="48"/>
      <c r="B309" s="56"/>
      <c r="C309" s="56"/>
      <c r="D309" s="57"/>
      <c r="E309" s="20"/>
      <c r="F309" s="58"/>
      <c r="G309" s="20"/>
      <c r="H309" s="60"/>
      <c r="I309" s="60"/>
      <c r="J309" s="61"/>
      <c r="K309" s="61"/>
      <c r="L309" s="59"/>
      <c r="M309" s="59"/>
      <c r="N309" s="59"/>
      <c r="O309" s="59"/>
      <c r="P309" s="20"/>
      <c r="Q309" s="20"/>
      <c r="R309" s="20"/>
      <c r="S309" s="20"/>
      <c r="T309" s="62"/>
      <c r="U309" s="62"/>
      <c r="V309" s="20"/>
      <c r="W309" s="20"/>
      <c r="X309" s="20"/>
      <c r="Y309" s="20"/>
      <c r="Z309" s="20"/>
      <c r="AA309" s="20"/>
    </row>
    <row r="310" spans="1:27" ht="15.75" customHeight="1">
      <c r="A310" s="48"/>
      <c r="B310" s="56"/>
      <c r="C310" s="56"/>
      <c r="D310" s="57"/>
      <c r="E310" s="20"/>
      <c r="F310" s="58"/>
      <c r="G310" s="20"/>
      <c r="H310" s="60"/>
      <c r="I310" s="60"/>
      <c r="J310" s="61"/>
      <c r="K310" s="61"/>
      <c r="L310" s="59"/>
      <c r="M310" s="59"/>
      <c r="N310" s="59"/>
      <c r="O310" s="59"/>
      <c r="P310" s="20"/>
      <c r="Q310" s="20"/>
      <c r="R310" s="20"/>
      <c r="S310" s="20"/>
      <c r="T310" s="62"/>
      <c r="U310" s="62"/>
      <c r="V310" s="20"/>
      <c r="W310" s="20"/>
      <c r="X310" s="20"/>
      <c r="Y310" s="20"/>
      <c r="Z310" s="20"/>
      <c r="AA310" s="20"/>
    </row>
    <row r="311" spans="1:27" ht="15.75" customHeight="1">
      <c r="A311" s="48"/>
      <c r="B311" s="56"/>
      <c r="C311" s="56"/>
      <c r="D311" s="57"/>
      <c r="E311" s="20"/>
      <c r="F311" s="58"/>
      <c r="G311" s="20"/>
      <c r="H311" s="60"/>
      <c r="I311" s="60"/>
      <c r="J311" s="61"/>
      <c r="K311" s="61"/>
      <c r="L311" s="59"/>
      <c r="M311" s="59"/>
      <c r="N311" s="59"/>
      <c r="O311" s="59"/>
      <c r="P311" s="20"/>
      <c r="Q311" s="20"/>
      <c r="R311" s="20"/>
      <c r="S311" s="20"/>
      <c r="T311" s="62"/>
      <c r="U311" s="62"/>
      <c r="V311" s="20"/>
      <c r="W311" s="20"/>
      <c r="X311" s="20"/>
      <c r="Y311" s="20"/>
      <c r="Z311" s="20"/>
      <c r="AA311" s="20"/>
    </row>
    <row r="312" spans="1:27" ht="15.75" customHeight="1">
      <c r="A312" s="48"/>
      <c r="B312" s="56"/>
      <c r="C312" s="56"/>
      <c r="D312" s="57"/>
      <c r="E312" s="20"/>
      <c r="F312" s="58"/>
      <c r="G312" s="20"/>
      <c r="H312" s="60"/>
      <c r="I312" s="60"/>
      <c r="J312" s="61"/>
      <c r="K312" s="61"/>
      <c r="L312" s="59"/>
      <c r="M312" s="59"/>
      <c r="N312" s="59"/>
      <c r="O312" s="59"/>
      <c r="P312" s="20"/>
      <c r="Q312" s="20"/>
      <c r="R312" s="20"/>
      <c r="S312" s="20"/>
      <c r="T312" s="62"/>
      <c r="U312" s="62"/>
      <c r="V312" s="20"/>
      <c r="W312" s="20"/>
      <c r="X312" s="20"/>
      <c r="Y312" s="20"/>
      <c r="Z312" s="20"/>
      <c r="AA312" s="20"/>
    </row>
    <row r="313" spans="1:27" ht="15.75" customHeight="1">
      <c r="A313" s="48"/>
      <c r="B313" s="56"/>
      <c r="C313" s="56"/>
      <c r="D313" s="57"/>
      <c r="E313" s="20"/>
      <c r="F313" s="58"/>
      <c r="G313" s="20"/>
      <c r="H313" s="60"/>
      <c r="I313" s="60"/>
      <c r="J313" s="61"/>
      <c r="K313" s="61"/>
      <c r="L313" s="59"/>
      <c r="M313" s="59"/>
      <c r="N313" s="59"/>
      <c r="O313" s="59"/>
      <c r="P313" s="20"/>
      <c r="Q313" s="20"/>
      <c r="R313" s="20"/>
      <c r="S313" s="20"/>
      <c r="T313" s="62"/>
      <c r="U313" s="62"/>
      <c r="V313" s="20"/>
      <c r="W313" s="20"/>
      <c r="X313" s="20"/>
      <c r="Y313" s="20"/>
      <c r="Z313" s="20"/>
      <c r="AA313" s="20"/>
    </row>
    <row r="314" spans="1:27" ht="15.75" customHeight="1">
      <c r="A314" s="48"/>
      <c r="B314" s="56"/>
      <c r="C314" s="56"/>
      <c r="D314" s="57"/>
      <c r="E314" s="20"/>
      <c r="F314" s="58"/>
      <c r="G314" s="20"/>
      <c r="H314" s="60"/>
      <c r="I314" s="60"/>
      <c r="J314" s="61"/>
      <c r="K314" s="61"/>
      <c r="L314" s="59"/>
      <c r="M314" s="59"/>
      <c r="N314" s="59"/>
      <c r="O314" s="59"/>
      <c r="P314" s="20"/>
      <c r="Q314" s="20"/>
      <c r="R314" s="20"/>
      <c r="S314" s="20"/>
      <c r="T314" s="62"/>
      <c r="U314" s="62"/>
      <c r="V314" s="20"/>
      <c r="W314" s="20"/>
      <c r="X314" s="20"/>
      <c r="Y314" s="20"/>
      <c r="Z314" s="20"/>
      <c r="AA314" s="20"/>
    </row>
    <row r="315" spans="1:27" ht="15.75" customHeight="1">
      <c r="A315" s="48"/>
      <c r="B315" s="56"/>
      <c r="C315" s="56"/>
      <c r="D315" s="57"/>
      <c r="E315" s="20"/>
      <c r="F315" s="58"/>
      <c r="G315" s="20"/>
      <c r="H315" s="60"/>
      <c r="I315" s="60"/>
      <c r="J315" s="61"/>
      <c r="K315" s="61"/>
      <c r="L315" s="59"/>
      <c r="M315" s="59"/>
      <c r="N315" s="59"/>
      <c r="O315" s="59"/>
      <c r="P315" s="20"/>
      <c r="Q315" s="20"/>
      <c r="R315" s="20"/>
      <c r="S315" s="20"/>
      <c r="T315" s="62"/>
      <c r="U315" s="62"/>
      <c r="V315" s="20"/>
      <c r="W315" s="20"/>
      <c r="X315" s="20"/>
      <c r="Y315" s="20"/>
      <c r="Z315" s="20"/>
      <c r="AA315" s="20"/>
    </row>
    <row r="316" spans="1:27" ht="15.75" customHeight="1">
      <c r="A316" s="48"/>
      <c r="B316" s="56"/>
      <c r="C316" s="56"/>
      <c r="D316" s="57"/>
      <c r="E316" s="20"/>
      <c r="F316" s="58"/>
      <c r="G316" s="20"/>
      <c r="H316" s="60"/>
      <c r="I316" s="60"/>
      <c r="J316" s="61"/>
      <c r="K316" s="61"/>
      <c r="L316" s="59"/>
      <c r="M316" s="59"/>
      <c r="N316" s="59"/>
      <c r="O316" s="59"/>
      <c r="P316" s="20"/>
      <c r="Q316" s="20"/>
      <c r="R316" s="20"/>
      <c r="S316" s="20"/>
      <c r="T316" s="62"/>
      <c r="U316" s="62"/>
      <c r="V316" s="20"/>
      <c r="W316" s="20"/>
      <c r="X316" s="20"/>
      <c r="Y316" s="20"/>
      <c r="Z316" s="20"/>
      <c r="AA316" s="20"/>
    </row>
    <row r="317" spans="1:27" ht="15.75" customHeight="1">
      <c r="A317" s="48"/>
      <c r="B317" s="56"/>
      <c r="C317" s="56"/>
      <c r="D317" s="57"/>
      <c r="E317" s="20"/>
      <c r="F317" s="58"/>
      <c r="G317" s="20"/>
      <c r="H317" s="60"/>
      <c r="I317" s="60"/>
      <c r="J317" s="61"/>
      <c r="K317" s="61"/>
      <c r="L317" s="59"/>
      <c r="M317" s="59"/>
      <c r="N317" s="59"/>
      <c r="O317" s="59"/>
      <c r="P317" s="20"/>
      <c r="Q317" s="20"/>
      <c r="R317" s="20"/>
      <c r="S317" s="20"/>
      <c r="T317" s="62"/>
      <c r="U317" s="62"/>
      <c r="V317" s="20"/>
      <c r="W317" s="20"/>
      <c r="X317" s="20"/>
      <c r="Y317" s="20"/>
      <c r="Z317" s="20"/>
      <c r="AA317" s="20"/>
    </row>
    <row r="318" spans="1:27" ht="15.75" customHeight="1">
      <c r="A318" s="48"/>
      <c r="B318" s="56"/>
      <c r="C318" s="56"/>
      <c r="D318" s="57"/>
      <c r="E318" s="20"/>
      <c r="F318" s="58"/>
      <c r="G318" s="20"/>
      <c r="H318" s="60"/>
      <c r="I318" s="60"/>
      <c r="J318" s="61"/>
      <c r="K318" s="61"/>
      <c r="L318" s="59"/>
      <c r="M318" s="59"/>
      <c r="N318" s="59"/>
      <c r="O318" s="59"/>
      <c r="P318" s="20"/>
      <c r="Q318" s="20"/>
      <c r="R318" s="20"/>
      <c r="S318" s="20"/>
      <c r="T318" s="62"/>
      <c r="U318" s="62"/>
      <c r="V318" s="20"/>
      <c r="W318" s="20"/>
      <c r="X318" s="20"/>
      <c r="Y318" s="20"/>
      <c r="Z318" s="20"/>
      <c r="AA318" s="20"/>
    </row>
    <row r="319" spans="1:27" ht="15.75" customHeight="1">
      <c r="A319" s="48"/>
      <c r="B319" s="56"/>
      <c r="C319" s="56"/>
      <c r="D319" s="57"/>
      <c r="E319" s="20"/>
      <c r="F319" s="58"/>
      <c r="G319" s="20"/>
      <c r="H319" s="60"/>
      <c r="I319" s="60"/>
      <c r="J319" s="61"/>
      <c r="K319" s="61"/>
      <c r="L319" s="59"/>
      <c r="M319" s="59"/>
      <c r="N319" s="59"/>
      <c r="O319" s="59"/>
      <c r="P319" s="20"/>
      <c r="Q319" s="20"/>
      <c r="R319" s="20"/>
      <c r="S319" s="20"/>
      <c r="T319" s="62"/>
      <c r="U319" s="62"/>
      <c r="V319" s="20"/>
      <c r="W319" s="20"/>
      <c r="X319" s="20"/>
      <c r="Y319" s="20"/>
      <c r="Z319" s="20"/>
      <c r="AA319" s="20"/>
    </row>
    <row r="320" spans="1:27" ht="15.75" customHeight="1">
      <c r="A320" s="48"/>
      <c r="B320" s="56"/>
      <c r="C320" s="56"/>
      <c r="D320" s="57"/>
      <c r="E320" s="20"/>
      <c r="F320" s="58"/>
      <c r="G320" s="20"/>
      <c r="H320" s="60"/>
      <c r="I320" s="60"/>
      <c r="J320" s="61"/>
      <c r="K320" s="61"/>
      <c r="L320" s="59"/>
      <c r="M320" s="59"/>
      <c r="N320" s="59"/>
      <c r="O320" s="59"/>
      <c r="P320" s="20"/>
      <c r="Q320" s="20"/>
      <c r="R320" s="20"/>
      <c r="S320" s="20"/>
      <c r="T320" s="62"/>
      <c r="U320" s="62"/>
      <c r="V320" s="20"/>
      <c r="W320" s="20"/>
      <c r="X320" s="20"/>
      <c r="Y320" s="20"/>
      <c r="Z320" s="20"/>
      <c r="AA320" s="20"/>
    </row>
    <row r="321" spans="1:27" ht="15.75" customHeight="1">
      <c r="A321" s="48"/>
      <c r="B321" s="56"/>
      <c r="C321" s="56"/>
      <c r="D321" s="57"/>
      <c r="E321" s="20"/>
      <c r="F321" s="58"/>
      <c r="G321" s="20"/>
      <c r="H321" s="60"/>
      <c r="I321" s="60"/>
      <c r="J321" s="61"/>
      <c r="K321" s="61"/>
      <c r="L321" s="59"/>
      <c r="M321" s="59"/>
      <c r="N321" s="59"/>
      <c r="O321" s="59"/>
      <c r="P321" s="20"/>
      <c r="Q321" s="20"/>
      <c r="R321" s="20"/>
      <c r="S321" s="20"/>
      <c r="T321" s="62"/>
      <c r="U321" s="62"/>
      <c r="V321" s="20"/>
      <c r="W321" s="20"/>
      <c r="X321" s="20"/>
      <c r="Y321" s="20"/>
      <c r="Z321" s="20"/>
      <c r="AA321" s="20"/>
    </row>
    <row r="322" spans="1:27" ht="15.75" customHeight="1">
      <c r="A322" s="48"/>
      <c r="B322" s="56"/>
      <c r="C322" s="56"/>
      <c r="D322" s="57"/>
      <c r="E322" s="20"/>
      <c r="F322" s="58"/>
      <c r="G322" s="20"/>
      <c r="H322" s="60"/>
      <c r="I322" s="60"/>
      <c r="J322" s="61"/>
      <c r="K322" s="61"/>
      <c r="L322" s="59"/>
      <c r="M322" s="59"/>
      <c r="N322" s="59"/>
      <c r="O322" s="59"/>
      <c r="P322" s="20"/>
      <c r="Q322" s="20"/>
      <c r="R322" s="20"/>
      <c r="S322" s="20"/>
      <c r="T322" s="62"/>
      <c r="U322" s="62"/>
      <c r="V322" s="20"/>
      <c r="W322" s="20"/>
      <c r="X322" s="20"/>
      <c r="Y322" s="20"/>
      <c r="Z322" s="20"/>
      <c r="AA322" s="20"/>
    </row>
    <row r="323" spans="1:27" ht="15.75" customHeight="1">
      <c r="A323" s="48"/>
      <c r="B323" s="56"/>
      <c r="C323" s="56"/>
      <c r="D323" s="57"/>
      <c r="E323" s="20"/>
      <c r="F323" s="58"/>
      <c r="G323" s="20"/>
      <c r="H323" s="60"/>
      <c r="I323" s="60"/>
      <c r="J323" s="61"/>
      <c r="K323" s="61"/>
      <c r="L323" s="59"/>
      <c r="M323" s="59"/>
      <c r="N323" s="59"/>
      <c r="O323" s="59"/>
      <c r="P323" s="20"/>
      <c r="Q323" s="20"/>
      <c r="R323" s="20"/>
      <c r="S323" s="20"/>
      <c r="T323" s="62"/>
      <c r="U323" s="62"/>
      <c r="V323" s="20"/>
      <c r="W323" s="20"/>
      <c r="X323" s="20"/>
      <c r="Y323" s="20"/>
      <c r="Z323" s="20"/>
      <c r="AA323" s="20"/>
    </row>
    <row r="324" spans="1:27" ht="15.75" customHeight="1">
      <c r="A324" s="48"/>
      <c r="B324" s="56"/>
      <c r="C324" s="56"/>
      <c r="D324" s="57"/>
      <c r="E324" s="20"/>
      <c r="F324" s="58"/>
      <c r="G324" s="20"/>
      <c r="H324" s="60"/>
      <c r="I324" s="60"/>
      <c r="J324" s="61"/>
      <c r="K324" s="61"/>
      <c r="L324" s="59"/>
      <c r="M324" s="59"/>
      <c r="N324" s="59"/>
      <c r="O324" s="59"/>
      <c r="P324" s="20"/>
      <c r="Q324" s="20"/>
      <c r="R324" s="20"/>
      <c r="S324" s="20"/>
      <c r="T324" s="62"/>
      <c r="U324" s="62"/>
      <c r="V324" s="20"/>
      <c r="W324" s="20"/>
      <c r="X324" s="20"/>
      <c r="Y324" s="20"/>
      <c r="Z324" s="20"/>
      <c r="AA324" s="20"/>
    </row>
    <row r="325" spans="1:27" ht="15.75" customHeight="1">
      <c r="A325" s="48"/>
      <c r="B325" s="56"/>
      <c r="C325" s="56"/>
      <c r="D325" s="57"/>
      <c r="E325" s="20"/>
      <c r="F325" s="58"/>
      <c r="G325" s="20"/>
      <c r="H325" s="60"/>
      <c r="I325" s="60"/>
      <c r="J325" s="61"/>
      <c r="K325" s="61"/>
      <c r="L325" s="59"/>
      <c r="M325" s="59"/>
      <c r="N325" s="59"/>
      <c r="O325" s="59"/>
      <c r="P325" s="20"/>
      <c r="Q325" s="20"/>
      <c r="R325" s="20"/>
      <c r="S325" s="20"/>
      <c r="T325" s="62"/>
      <c r="U325" s="62"/>
      <c r="V325" s="20"/>
      <c r="W325" s="20"/>
      <c r="X325" s="20"/>
      <c r="Y325" s="20"/>
      <c r="Z325" s="20"/>
      <c r="AA325" s="20"/>
    </row>
    <row r="326" spans="1:27" ht="15.75" customHeight="1">
      <c r="A326" s="48"/>
      <c r="B326" s="56"/>
      <c r="C326" s="56"/>
      <c r="D326" s="57"/>
      <c r="E326" s="20"/>
      <c r="F326" s="58"/>
      <c r="G326" s="20"/>
      <c r="H326" s="60"/>
      <c r="I326" s="60"/>
      <c r="J326" s="61"/>
      <c r="K326" s="61"/>
      <c r="L326" s="59"/>
      <c r="M326" s="59"/>
      <c r="N326" s="59"/>
      <c r="O326" s="59"/>
      <c r="P326" s="20"/>
      <c r="Q326" s="20"/>
      <c r="R326" s="20"/>
      <c r="S326" s="20"/>
      <c r="T326" s="62"/>
      <c r="U326" s="62"/>
      <c r="V326" s="20"/>
      <c r="W326" s="20"/>
      <c r="X326" s="20"/>
      <c r="Y326" s="20"/>
      <c r="Z326" s="20"/>
      <c r="AA326" s="20"/>
    </row>
    <row r="327" spans="1:27" ht="15.75" customHeight="1">
      <c r="A327" s="48"/>
      <c r="B327" s="56"/>
      <c r="C327" s="56"/>
      <c r="D327" s="57"/>
      <c r="E327" s="20"/>
      <c r="F327" s="58"/>
      <c r="G327" s="20"/>
      <c r="H327" s="60"/>
      <c r="I327" s="60"/>
      <c r="J327" s="61"/>
      <c r="K327" s="61"/>
      <c r="L327" s="59"/>
      <c r="M327" s="59"/>
      <c r="N327" s="59"/>
      <c r="O327" s="59"/>
      <c r="P327" s="20"/>
      <c r="Q327" s="20"/>
      <c r="R327" s="20"/>
      <c r="S327" s="20"/>
      <c r="T327" s="62"/>
      <c r="U327" s="62"/>
      <c r="V327" s="20"/>
      <c r="W327" s="20"/>
      <c r="X327" s="20"/>
      <c r="Y327" s="20"/>
      <c r="Z327" s="20"/>
      <c r="AA327" s="20"/>
    </row>
    <row r="328" spans="1:27" ht="15.75" customHeight="1">
      <c r="A328" s="48"/>
      <c r="B328" s="56"/>
      <c r="C328" s="56"/>
      <c r="D328" s="57"/>
      <c r="E328" s="20"/>
      <c r="F328" s="58"/>
      <c r="G328" s="20"/>
      <c r="H328" s="60"/>
      <c r="I328" s="60"/>
      <c r="J328" s="61"/>
      <c r="K328" s="61"/>
      <c r="L328" s="59"/>
      <c r="M328" s="59"/>
      <c r="N328" s="59"/>
      <c r="O328" s="59"/>
      <c r="P328" s="20"/>
      <c r="Q328" s="20"/>
      <c r="R328" s="20"/>
      <c r="S328" s="20"/>
      <c r="T328" s="62"/>
      <c r="U328" s="62"/>
      <c r="V328" s="20"/>
      <c r="W328" s="20"/>
      <c r="X328" s="20"/>
      <c r="Y328" s="20"/>
      <c r="Z328" s="20"/>
      <c r="AA328" s="20"/>
    </row>
    <row r="329" spans="1:27" ht="15.75" customHeight="1">
      <c r="A329" s="48"/>
      <c r="B329" s="56"/>
      <c r="C329" s="56"/>
      <c r="D329" s="57"/>
      <c r="E329" s="20"/>
      <c r="F329" s="58"/>
      <c r="G329" s="20"/>
      <c r="H329" s="60"/>
      <c r="I329" s="60"/>
      <c r="J329" s="61"/>
      <c r="K329" s="61"/>
      <c r="L329" s="59"/>
      <c r="M329" s="59"/>
      <c r="N329" s="59"/>
      <c r="O329" s="59"/>
      <c r="P329" s="20"/>
      <c r="Q329" s="20"/>
      <c r="R329" s="20"/>
      <c r="S329" s="20"/>
      <c r="T329" s="62"/>
      <c r="U329" s="62"/>
      <c r="V329" s="20"/>
      <c r="W329" s="20"/>
      <c r="X329" s="20"/>
      <c r="Y329" s="20"/>
      <c r="Z329" s="20"/>
      <c r="AA329" s="20"/>
    </row>
    <row r="330" spans="1:27" ht="15.75" customHeight="1">
      <c r="A330" s="48"/>
      <c r="B330" s="56"/>
      <c r="C330" s="56"/>
      <c r="D330" s="57"/>
      <c r="E330" s="20"/>
      <c r="F330" s="58"/>
      <c r="G330" s="20"/>
      <c r="H330" s="60"/>
      <c r="I330" s="60"/>
      <c r="J330" s="61"/>
      <c r="K330" s="61"/>
      <c r="L330" s="59"/>
      <c r="M330" s="59"/>
      <c r="N330" s="59"/>
      <c r="O330" s="59"/>
      <c r="P330" s="20"/>
      <c r="Q330" s="20"/>
      <c r="R330" s="20"/>
      <c r="S330" s="20"/>
      <c r="T330" s="62"/>
      <c r="U330" s="62"/>
      <c r="V330" s="20"/>
      <c r="W330" s="20"/>
      <c r="X330" s="20"/>
      <c r="Y330" s="20"/>
      <c r="Z330" s="20"/>
      <c r="AA330" s="20"/>
    </row>
    <row r="331" spans="1:27" ht="15.75" customHeight="1">
      <c r="A331" s="48"/>
      <c r="B331" s="56"/>
      <c r="C331" s="56"/>
      <c r="D331" s="57"/>
      <c r="E331" s="20"/>
      <c r="F331" s="58"/>
      <c r="G331" s="20"/>
      <c r="H331" s="60"/>
      <c r="I331" s="60"/>
      <c r="J331" s="61"/>
      <c r="K331" s="61"/>
      <c r="L331" s="59"/>
      <c r="M331" s="59"/>
      <c r="N331" s="59"/>
      <c r="O331" s="59"/>
      <c r="P331" s="20"/>
      <c r="Q331" s="20"/>
      <c r="R331" s="20"/>
      <c r="S331" s="20"/>
      <c r="T331" s="62"/>
      <c r="U331" s="62"/>
      <c r="V331" s="20"/>
      <c r="W331" s="20"/>
      <c r="X331" s="20"/>
      <c r="Y331" s="20"/>
      <c r="Z331" s="20"/>
      <c r="AA331" s="20"/>
    </row>
    <row r="332" spans="1:27" ht="15.75" customHeight="1">
      <c r="A332" s="48"/>
      <c r="B332" s="56"/>
      <c r="C332" s="56"/>
      <c r="D332" s="57"/>
      <c r="E332" s="20"/>
      <c r="F332" s="58"/>
      <c r="G332" s="20"/>
      <c r="H332" s="60"/>
      <c r="I332" s="60"/>
      <c r="J332" s="61"/>
      <c r="K332" s="61"/>
      <c r="L332" s="59"/>
      <c r="M332" s="59"/>
      <c r="N332" s="59"/>
      <c r="O332" s="59"/>
      <c r="P332" s="20"/>
      <c r="Q332" s="20"/>
      <c r="R332" s="20"/>
      <c r="S332" s="20"/>
      <c r="T332" s="62"/>
      <c r="U332" s="62"/>
      <c r="V332" s="20"/>
      <c r="W332" s="20"/>
      <c r="X332" s="20"/>
      <c r="Y332" s="20"/>
      <c r="Z332" s="20"/>
      <c r="AA332" s="20"/>
    </row>
    <row r="333" spans="1:27" ht="15.75" customHeight="1">
      <c r="A333" s="48"/>
      <c r="B333" s="56"/>
      <c r="C333" s="56"/>
      <c r="D333" s="57"/>
      <c r="E333" s="20"/>
      <c r="F333" s="58"/>
      <c r="G333" s="20"/>
      <c r="H333" s="60"/>
      <c r="I333" s="60"/>
      <c r="J333" s="61"/>
      <c r="K333" s="61"/>
      <c r="L333" s="59"/>
      <c r="M333" s="59"/>
      <c r="N333" s="59"/>
      <c r="O333" s="59"/>
      <c r="P333" s="20"/>
      <c r="Q333" s="20"/>
      <c r="R333" s="20"/>
      <c r="S333" s="20"/>
      <c r="T333" s="62"/>
      <c r="U333" s="62"/>
      <c r="V333" s="20"/>
      <c r="W333" s="20"/>
      <c r="X333" s="20"/>
      <c r="Y333" s="20"/>
      <c r="Z333" s="20"/>
      <c r="AA333" s="20"/>
    </row>
    <row r="334" spans="1:27" ht="15.75" customHeight="1">
      <c r="A334" s="48"/>
      <c r="B334" s="56"/>
      <c r="C334" s="56"/>
      <c r="D334" s="57"/>
      <c r="E334" s="20"/>
      <c r="F334" s="58"/>
      <c r="G334" s="20"/>
      <c r="H334" s="60"/>
      <c r="I334" s="60"/>
      <c r="J334" s="61"/>
      <c r="K334" s="61"/>
      <c r="L334" s="59"/>
      <c r="M334" s="59"/>
      <c r="N334" s="59"/>
      <c r="O334" s="59"/>
      <c r="P334" s="20"/>
      <c r="Q334" s="20"/>
      <c r="R334" s="20"/>
      <c r="S334" s="20"/>
      <c r="T334" s="62"/>
      <c r="U334" s="62"/>
      <c r="V334" s="20"/>
      <c r="W334" s="20"/>
      <c r="X334" s="20"/>
      <c r="Y334" s="20"/>
      <c r="Z334" s="20"/>
      <c r="AA334" s="20"/>
    </row>
    <row r="335" spans="1:27" ht="15.75" customHeight="1">
      <c r="A335" s="48"/>
      <c r="B335" s="56"/>
      <c r="C335" s="56"/>
      <c r="D335" s="57"/>
      <c r="E335" s="20"/>
      <c r="F335" s="58"/>
      <c r="G335" s="20"/>
      <c r="H335" s="60"/>
      <c r="I335" s="60"/>
      <c r="J335" s="61"/>
      <c r="K335" s="61"/>
      <c r="L335" s="59"/>
      <c r="M335" s="59"/>
      <c r="N335" s="59"/>
      <c r="O335" s="59"/>
      <c r="P335" s="20"/>
      <c r="Q335" s="20"/>
      <c r="R335" s="20"/>
      <c r="S335" s="20"/>
      <c r="T335" s="62"/>
      <c r="U335" s="62"/>
      <c r="V335" s="20"/>
      <c r="W335" s="20"/>
      <c r="X335" s="20"/>
      <c r="Y335" s="20"/>
      <c r="Z335" s="20"/>
      <c r="AA335" s="20"/>
    </row>
    <row r="336" spans="1:27" ht="15.75" customHeight="1">
      <c r="A336" s="48"/>
      <c r="B336" s="56"/>
      <c r="C336" s="56"/>
      <c r="D336" s="57"/>
      <c r="E336" s="20"/>
      <c r="F336" s="58"/>
      <c r="G336" s="20"/>
      <c r="H336" s="60"/>
      <c r="I336" s="60"/>
      <c r="J336" s="61"/>
      <c r="K336" s="61"/>
      <c r="L336" s="59"/>
      <c r="M336" s="59"/>
      <c r="N336" s="59"/>
      <c r="O336" s="59"/>
      <c r="P336" s="20"/>
      <c r="Q336" s="20"/>
      <c r="R336" s="20"/>
      <c r="S336" s="20"/>
      <c r="T336" s="62"/>
      <c r="U336" s="62"/>
      <c r="V336" s="20"/>
      <c r="W336" s="20"/>
      <c r="X336" s="20"/>
      <c r="Y336" s="20"/>
      <c r="Z336" s="20"/>
      <c r="AA336" s="20"/>
    </row>
    <row r="337" spans="1:27" ht="15.75" customHeight="1">
      <c r="A337" s="48"/>
      <c r="B337" s="56"/>
      <c r="C337" s="56"/>
      <c r="D337" s="57"/>
      <c r="E337" s="20"/>
      <c r="F337" s="58"/>
      <c r="G337" s="20"/>
      <c r="H337" s="60"/>
      <c r="I337" s="60"/>
      <c r="J337" s="61"/>
      <c r="K337" s="61"/>
      <c r="L337" s="59"/>
      <c r="M337" s="59"/>
      <c r="N337" s="59"/>
      <c r="O337" s="59"/>
      <c r="P337" s="20"/>
      <c r="Q337" s="20"/>
      <c r="R337" s="20"/>
      <c r="S337" s="20"/>
      <c r="T337" s="62"/>
      <c r="U337" s="62"/>
      <c r="V337" s="20"/>
      <c r="W337" s="20"/>
      <c r="X337" s="20"/>
      <c r="Y337" s="20"/>
      <c r="Z337" s="20"/>
      <c r="AA337" s="20"/>
    </row>
    <row r="338" spans="1:27" ht="15.75" customHeight="1">
      <c r="A338" s="48"/>
      <c r="B338" s="56"/>
      <c r="C338" s="56"/>
      <c r="D338" s="57"/>
      <c r="E338" s="20"/>
      <c r="F338" s="58"/>
      <c r="G338" s="20"/>
      <c r="H338" s="60"/>
      <c r="I338" s="60"/>
      <c r="J338" s="61"/>
      <c r="K338" s="61"/>
      <c r="L338" s="59"/>
      <c r="M338" s="59"/>
      <c r="N338" s="59"/>
      <c r="O338" s="59"/>
      <c r="P338" s="20"/>
      <c r="Q338" s="20"/>
      <c r="R338" s="20"/>
      <c r="S338" s="20"/>
      <c r="T338" s="62"/>
      <c r="U338" s="62"/>
      <c r="V338" s="20"/>
      <c r="W338" s="20"/>
      <c r="X338" s="20"/>
      <c r="Y338" s="20"/>
      <c r="Z338" s="20"/>
      <c r="AA338" s="20"/>
    </row>
    <row r="339" spans="1:27" ht="15.75" customHeight="1">
      <c r="A339" s="48"/>
      <c r="B339" s="56"/>
      <c r="C339" s="56"/>
      <c r="D339" s="57"/>
      <c r="E339" s="20"/>
      <c r="F339" s="58"/>
      <c r="G339" s="20"/>
      <c r="H339" s="60"/>
      <c r="I339" s="60"/>
      <c r="J339" s="61"/>
      <c r="K339" s="61"/>
      <c r="L339" s="59"/>
      <c r="M339" s="59"/>
      <c r="N339" s="59"/>
      <c r="O339" s="59"/>
      <c r="P339" s="20"/>
      <c r="Q339" s="20"/>
      <c r="R339" s="20"/>
      <c r="S339" s="20"/>
      <c r="T339" s="62"/>
      <c r="U339" s="62"/>
      <c r="V339" s="20"/>
      <c r="W339" s="20"/>
      <c r="X339" s="20"/>
      <c r="Y339" s="20"/>
      <c r="Z339" s="20"/>
      <c r="AA339" s="20"/>
    </row>
    <row r="340" spans="1:27" ht="15.75" customHeight="1">
      <c r="A340" s="48"/>
      <c r="B340" s="56"/>
      <c r="C340" s="56"/>
      <c r="D340" s="57"/>
      <c r="E340" s="20"/>
      <c r="F340" s="58"/>
      <c r="G340" s="20"/>
      <c r="H340" s="60"/>
      <c r="I340" s="60"/>
      <c r="J340" s="61"/>
      <c r="K340" s="61"/>
      <c r="L340" s="59"/>
      <c r="M340" s="59"/>
      <c r="N340" s="59"/>
      <c r="O340" s="59"/>
      <c r="P340" s="20"/>
      <c r="Q340" s="20"/>
      <c r="R340" s="20"/>
      <c r="S340" s="20"/>
      <c r="T340" s="62"/>
      <c r="U340" s="62"/>
      <c r="V340" s="20"/>
      <c r="W340" s="20"/>
      <c r="X340" s="20"/>
      <c r="Y340" s="20"/>
      <c r="Z340" s="20"/>
      <c r="AA340" s="20"/>
    </row>
    <row r="341" spans="1:27" ht="15.75" customHeight="1">
      <c r="A341" s="48"/>
      <c r="B341" s="56"/>
      <c r="C341" s="56"/>
      <c r="D341" s="57"/>
      <c r="E341" s="20"/>
      <c r="F341" s="58"/>
      <c r="G341" s="20"/>
      <c r="H341" s="60"/>
      <c r="I341" s="60"/>
      <c r="J341" s="61"/>
      <c r="K341" s="61"/>
      <c r="L341" s="59"/>
      <c r="M341" s="59"/>
      <c r="N341" s="59"/>
      <c r="O341" s="59"/>
      <c r="P341" s="20"/>
      <c r="Q341" s="20"/>
      <c r="R341" s="20"/>
      <c r="S341" s="20"/>
      <c r="T341" s="62"/>
      <c r="U341" s="62"/>
      <c r="V341" s="20"/>
      <c r="W341" s="20"/>
      <c r="X341" s="20"/>
      <c r="Y341" s="20"/>
      <c r="Z341" s="20"/>
      <c r="AA341" s="20"/>
    </row>
    <row r="342" spans="1:27" ht="15.75" customHeight="1">
      <c r="A342" s="48"/>
      <c r="B342" s="56"/>
      <c r="C342" s="56"/>
      <c r="D342" s="57"/>
      <c r="E342" s="20"/>
      <c r="F342" s="58"/>
      <c r="G342" s="20"/>
      <c r="H342" s="60"/>
      <c r="I342" s="60"/>
      <c r="J342" s="61"/>
      <c r="K342" s="61"/>
      <c r="L342" s="59"/>
      <c r="M342" s="59"/>
      <c r="N342" s="59"/>
      <c r="O342" s="59"/>
      <c r="P342" s="20"/>
      <c r="Q342" s="20"/>
      <c r="R342" s="20"/>
      <c r="S342" s="20"/>
      <c r="T342" s="62"/>
      <c r="U342" s="62"/>
      <c r="V342" s="20"/>
      <c r="W342" s="20"/>
      <c r="X342" s="20"/>
      <c r="Y342" s="20"/>
      <c r="Z342" s="20"/>
      <c r="AA342" s="20"/>
    </row>
    <row r="343" spans="1:27" ht="15.75" customHeight="1">
      <c r="A343" s="48"/>
      <c r="B343" s="56"/>
      <c r="C343" s="56"/>
      <c r="D343" s="57"/>
      <c r="E343" s="20"/>
      <c r="F343" s="58"/>
      <c r="G343" s="20"/>
      <c r="H343" s="60"/>
      <c r="I343" s="60"/>
      <c r="J343" s="61"/>
      <c r="K343" s="61"/>
      <c r="L343" s="59"/>
      <c r="M343" s="59"/>
      <c r="N343" s="59"/>
      <c r="O343" s="59"/>
      <c r="P343" s="20"/>
      <c r="Q343" s="20"/>
      <c r="R343" s="20"/>
      <c r="S343" s="20"/>
      <c r="T343" s="62"/>
      <c r="U343" s="62"/>
      <c r="V343" s="20"/>
      <c r="W343" s="20"/>
      <c r="X343" s="20"/>
      <c r="Y343" s="20"/>
      <c r="Z343" s="20"/>
      <c r="AA343" s="20"/>
    </row>
    <row r="344" spans="1:27" ht="15.75" customHeight="1">
      <c r="A344" s="48"/>
      <c r="B344" s="56"/>
      <c r="C344" s="56"/>
      <c r="D344" s="57"/>
      <c r="E344" s="20"/>
      <c r="F344" s="58"/>
      <c r="G344" s="20"/>
      <c r="H344" s="60"/>
      <c r="I344" s="60"/>
      <c r="J344" s="61"/>
      <c r="K344" s="61"/>
      <c r="L344" s="59"/>
      <c r="M344" s="59"/>
      <c r="N344" s="59"/>
      <c r="O344" s="59"/>
      <c r="P344" s="20"/>
      <c r="Q344" s="20"/>
      <c r="R344" s="20"/>
      <c r="S344" s="20"/>
      <c r="T344" s="62"/>
      <c r="U344" s="62"/>
      <c r="V344" s="20"/>
      <c r="W344" s="20"/>
      <c r="X344" s="20"/>
      <c r="Y344" s="20"/>
      <c r="Z344" s="20"/>
      <c r="AA344" s="20"/>
    </row>
    <row r="345" spans="1:27" ht="15.75" customHeight="1">
      <c r="A345" s="48"/>
      <c r="B345" s="56"/>
      <c r="C345" s="56"/>
      <c r="D345" s="57"/>
      <c r="E345" s="20"/>
      <c r="F345" s="58"/>
      <c r="G345" s="20"/>
      <c r="H345" s="60"/>
      <c r="I345" s="60"/>
      <c r="J345" s="61"/>
      <c r="K345" s="61"/>
      <c r="L345" s="59"/>
      <c r="M345" s="59"/>
      <c r="N345" s="59"/>
      <c r="O345" s="59"/>
      <c r="P345" s="20"/>
      <c r="Q345" s="20"/>
      <c r="R345" s="20"/>
      <c r="S345" s="20"/>
      <c r="T345" s="62"/>
      <c r="U345" s="62"/>
      <c r="V345" s="20"/>
      <c r="W345" s="20"/>
      <c r="X345" s="20"/>
      <c r="Y345" s="20"/>
      <c r="Z345" s="20"/>
      <c r="AA345" s="20"/>
    </row>
    <row r="346" spans="1:27" ht="15.75" customHeight="1">
      <c r="A346" s="48"/>
      <c r="B346" s="56"/>
      <c r="C346" s="56"/>
      <c r="D346" s="57"/>
      <c r="E346" s="20"/>
      <c r="F346" s="58"/>
      <c r="G346" s="20"/>
      <c r="H346" s="60"/>
      <c r="I346" s="60"/>
      <c r="J346" s="61"/>
      <c r="K346" s="61"/>
      <c r="L346" s="59"/>
      <c r="M346" s="59"/>
      <c r="N346" s="59"/>
      <c r="O346" s="59"/>
      <c r="P346" s="20"/>
      <c r="Q346" s="20"/>
      <c r="R346" s="20"/>
      <c r="S346" s="20"/>
      <c r="T346" s="62"/>
      <c r="U346" s="62"/>
      <c r="V346" s="20"/>
      <c r="W346" s="20"/>
      <c r="X346" s="20"/>
      <c r="Y346" s="20"/>
      <c r="Z346" s="20"/>
      <c r="AA346" s="20"/>
    </row>
    <row r="347" spans="1:27" ht="15.75" customHeight="1">
      <c r="A347" s="48"/>
      <c r="B347" s="56"/>
      <c r="C347" s="56"/>
      <c r="D347" s="57"/>
      <c r="E347" s="20"/>
      <c r="F347" s="58"/>
      <c r="G347" s="20"/>
      <c r="H347" s="60"/>
      <c r="I347" s="60"/>
      <c r="J347" s="61"/>
      <c r="K347" s="61"/>
      <c r="L347" s="59"/>
      <c r="M347" s="59"/>
      <c r="N347" s="59"/>
      <c r="O347" s="59"/>
      <c r="P347" s="20"/>
      <c r="Q347" s="20"/>
      <c r="R347" s="20"/>
      <c r="S347" s="20"/>
      <c r="T347" s="62"/>
      <c r="U347" s="62"/>
      <c r="V347" s="20"/>
      <c r="W347" s="20"/>
      <c r="X347" s="20"/>
      <c r="Y347" s="20"/>
      <c r="Z347" s="20"/>
      <c r="AA347" s="20"/>
    </row>
    <row r="348" spans="1:27" ht="15.75" customHeight="1">
      <c r="A348" s="48"/>
      <c r="B348" s="56"/>
      <c r="C348" s="56"/>
      <c r="D348" s="57"/>
      <c r="E348" s="20"/>
      <c r="F348" s="58"/>
      <c r="G348" s="20"/>
      <c r="H348" s="60"/>
      <c r="I348" s="60"/>
      <c r="J348" s="61"/>
      <c r="K348" s="61"/>
      <c r="L348" s="59"/>
      <c r="M348" s="59"/>
      <c r="N348" s="59"/>
      <c r="O348" s="59"/>
      <c r="P348" s="20"/>
      <c r="Q348" s="20"/>
      <c r="R348" s="20"/>
      <c r="S348" s="20"/>
      <c r="T348" s="62"/>
      <c r="U348" s="62"/>
      <c r="V348" s="20"/>
      <c r="W348" s="20"/>
      <c r="X348" s="20"/>
      <c r="Y348" s="20"/>
      <c r="Z348" s="20"/>
      <c r="AA348" s="20"/>
    </row>
    <row r="349" spans="1:27" ht="15.75" customHeight="1">
      <c r="A349" s="48"/>
      <c r="B349" s="56"/>
      <c r="C349" s="56"/>
      <c r="D349" s="57"/>
      <c r="E349" s="20"/>
      <c r="F349" s="58"/>
      <c r="G349" s="20"/>
      <c r="H349" s="60"/>
      <c r="I349" s="60"/>
      <c r="J349" s="61"/>
      <c r="K349" s="61"/>
      <c r="L349" s="59"/>
      <c r="M349" s="59"/>
      <c r="N349" s="59"/>
      <c r="O349" s="59"/>
      <c r="P349" s="20"/>
      <c r="Q349" s="20"/>
      <c r="R349" s="20"/>
      <c r="S349" s="20"/>
      <c r="T349" s="62"/>
      <c r="U349" s="62"/>
      <c r="V349" s="20"/>
      <c r="W349" s="20"/>
      <c r="X349" s="20"/>
      <c r="Y349" s="20"/>
      <c r="Z349" s="20"/>
      <c r="AA349" s="20"/>
    </row>
    <row r="350" spans="1:27" ht="15.75" customHeight="1">
      <c r="A350" s="48"/>
      <c r="B350" s="56"/>
      <c r="C350" s="56"/>
      <c r="D350" s="57"/>
      <c r="E350" s="20"/>
      <c r="F350" s="58"/>
      <c r="G350" s="20"/>
      <c r="H350" s="60"/>
      <c r="I350" s="60"/>
      <c r="J350" s="61"/>
      <c r="K350" s="61"/>
      <c r="L350" s="59"/>
      <c r="M350" s="59"/>
      <c r="N350" s="59"/>
      <c r="O350" s="59"/>
      <c r="P350" s="20"/>
      <c r="Q350" s="20"/>
      <c r="R350" s="20"/>
      <c r="S350" s="20"/>
      <c r="T350" s="62"/>
      <c r="U350" s="62"/>
      <c r="V350" s="20"/>
      <c r="W350" s="20"/>
      <c r="X350" s="20"/>
      <c r="Y350" s="20"/>
      <c r="Z350" s="20"/>
      <c r="AA350" s="20"/>
    </row>
    <row r="351" spans="1:27" ht="15.75" customHeight="1">
      <c r="A351" s="48"/>
      <c r="B351" s="56"/>
      <c r="C351" s="56"/>
      <c r="D351" s="57"/>
      <c r="E351" s="20"/>
      <c r="F351" s="58"/>
      <c r="G351" s="20"/>
      <c r="H351" s="60"/>
      <c r="I351" s="60"/>
      <c r="J351" s="61"/>
      <c r="K351" s="61"/>
      <c r="L351" s="59"/>
      <c r="M351" s="59"/>
      <c r="N351" s="59"/>
      <c r="O351" s="59"/>
      <c r="P351" s="20"/>
      <c r="Q351" s="20"/>
      <c r="R351" s="20"/>
      <c r="S351" s="20"/>
      <c r="T351" s="62"/>
      <c r="U351" s="62"/>
      <c r="V351" s="20"/>
      <c r="W351" s="20"/>
      <c r="X351" s="20"/>
      <c r="Y351" s="20"/>
      <c r="Z351" s="20"/>
      <c r="AA351" s="20"/>
    </row>
    <row r="352" spans="1:27" ht="15.75" customHeight="1">
      <c r="A352" s="48"/>
      <c r="B352" s="56"/>
      <c r="C352" s="56"/>
      <c r="D352" s="57"/>
      <c r="E352" s="20"/>
      <c r="F352" s="58"/>
      <c r="G352" s="20"/>
      <c r="H352" s="60"/>
      <c r="I352" s="60"/>
      <c r="J352" s="61"/>
      <c r="K352" s="61"/>
      <c r="L352" s="59"/>
      <c r="M352" s="59"/>
      <c r="N352" s="59"/>
      <c r="O352" s="59"/>
      <c r="P352" s="20"/>
      <c r="Q352" s="20"/>
      <c r="R352" s="20"/>
      <c r="S352" s="20"/>
      <c r="T352" s="62"/>
      <c r="U352" s="62"/>
      <c r="V352" s="20"/>
      <c r="W352" s="20"/>
      <c r="X352" s="20"/>
      <c r="Y352" s="20"/>
      <c r="Z352" s="20"/>
      <c r="AA352" s="20"/>
    </row>
    <row r="353" spans="1:27" ht="15.75" customHeight="1">
      <c r="A353" s="48"/>
      <c r="B353" s="56"/>
      <c r="C353" s="56"/>
      <c r="D353" s="57"/>
      <c r="E353" s="20"/>
      <c r="F353" s="58"/>
      <c r="G353" s="20"/>
      <c r="H353" s="60"/>
      <c r="I353" s="60"/>
      <c r="J353" s="61"/>
      <c r="K353" s="61"/>
      <c r="L353" s="59"/>
      <c r="M353" s="59"/>
      <c r="N353" s="59"/>
      <c r="O353" s="59"/>
      <c r="P353" s="20"/>
      <c r="Q353" s="20"/>
      <c r="R353" s="20"/>
      <c r="S353" s="20"/>
      <c r="T353" s="62"/>
      <c r="U353" s="62"/>
      <c r="V353" s="20"/>
      <c r="W353" s="20"/>
      <c r="X353" s="20"/>
      <c r="Y353" s="20"/>
      <c r="Z353" s="20"/>
      <c r="AA353" s="20"/>
    </row>
    <row r="354" spans="1:27" ht="15.75" customHeight="1">
      <c r="A354" s="48"/>
      <c r="B354" s="56"/>
      <c r="C354" s="56"/>
      <c r="D354" s="57"/>
      <c r="E354" s="20"/>
      <c r="F354" s="58"/>
      <c r="G354" s="20"/>
      <c r="H354" s="60"/>
      <c r="I354" s="60"/>
      <c r="J354" s="61"/>
      <c r="K354" s="61"/>
      <c r="L354" s="59"/>
      <c r="M354" s="59"/>
      <c r="N354" s="59"/>
      <c r="O354" s="59"/>
      <c r="P354" s="20"/>
      <c r="Q354" s="20"/>
      <c r="R354" s="20"/>
      <c r="S354" s="20"/>
      <c r="T354" s="62"/>
      <c r="U354" s="62"/>
      <c r="V354" s="20"/>
      <c r="W354" s="20"/>
      <c r="X354" s="20"/>
      <c r="Y354" s="20"/>
      <c r="Z354" s="20"/>
      <c r="AA354" s="20"/>
    </row>
    <row r="355" spans="1:27" ht="15.75" customHeight="1">
      <c r="A355" s="48"/>
      <c r="B355" s="56"/>
      <c r="C355" s="56"/>
      <c r="D355" s="57"/>
      <c r="E355" s="20"/>
      <c r="F355" s="58"/>
      <c r="G355" s="20"/>
      <c r="H355" s="60"/>
      <c r="I355" s="60"/>
      <c r="J355" s="61"/>
      <c r="K355" s="61"/>
      <c r="L355" s="59"/>
      <c r="M355" s="59"/>
      <c r="N355" s="59"/>
      <c r="O355" s="59"/>
      <c r="P355" s="20"/>
      <c r="Q355" s="20"/>
      <c r="R355" s="20"/>
      <c r="S355" s="20"/>
      <c r="T355" s="62"/>
      <c r="U355" s="62"/>
      <c r="V355" s="20"/>
      <c r="W355" s="20"/>
      <c r="X355" s="20"/>
      <c r="Y355" s="20"/>
      <c r="Z355" s="20"/>
      <c r="AA355" s="20"/>
    </row>
    <row r="356" spans="1:27" ht="15.75" customHeight="1">
      <c r="A356" s="48"/>
      <c r="B356" s="56"/>
      <c r="C356" s="56"/>
      <c r="D356" s="57"/>
      <c r="E356" s="20"/>
      <c r="F356" s="58"/>
      <c r="G356" s="20"/>
      <c r="H356" s="60"/>
      <c r="I356" s="60"/>
      <c r="J356" s="61"/>
      <c r="K356" s="61"/>
      <c r="L356" s="59"/>
      <c r="M356" s="59"/>
      <c r="N356" s="59"/>
      <c r="O356" s="59"/>
      <c r="P356" s="20"/>
      <c r="Q356" s="20"/>
      <c r="R356" s="20"/>
      <c r="S356" s="20"/>
      <c r="T356" s="62"/>
      <c r="U356" s="62"/>
      <c r="V356" s="20"/>
      <c r="W356" s="20"/>
      <c r="X356" s="20"/>
      <c r="Y356" s="20"/>
      <c r="Z356" s="20"/>
      <c r="AA356" s="20"/>
    </row>
    <row r="357" spans="1:27" ht="15.75" customHeight="1">
      <c r="A357" s="48"/>
      <c r="B357" s="56"/>
      <c r="C357" s="56"/>
      <c r="D357" s="57"/>
      <c r="E357" s="20"/>
      <c r="F357" s="58"/>
      <c r="G357" s="20"/>
      <c r="H357" s="60"/>
      <c r="I357" s="60"/>
      <c r="J357" s="61"/>
      <c r="K357" s="61"/>
      <c r="L357" s="59"/>
      <c r="M357" s="59"/>
      <c r="N357" s="59"/>
      <c r="O357" s="59"/>
      <c r="P357" s="20"/>
      <c r="Q357" s="20"/>
      <c r="R357" s="20"/>
      <c r="S357" s="20"/>
      <c r="T357" s="62"/>
      <c r="U357" s="62"/>
      <c r="V357" s="20"/>
      <c r="W357" s="20"/>
      <c r="X357" s="20"/>
      <c r="Y357" s="20"/>
      <c r="Z357" s="20"/>
      <c r="AA357" s="20"/>
    </row>
    <row r="358" spans="1:27" ht="15.75" customHeight="1">
      <c r="A358" s="48"/>
      <c r="B358" s="56"/>
      <c r="C358" s="56"/>
      <c r="D358" s="57"/>
      <c r="E358" s="20"/>
      <c r="F358" s="58"/>
      <c r="G358" s="20"/>
      <c r="H358" s="60"/>
      <c r="I358" s="60"/>
      <c r="J358" s="61"/>
      <c r="K358" s="61"/>
      <c r="L358" s="59"/>
      <c r="M358" s="59"/>
      <c r="N358" s="59"/>
      <c r="O358" s="59"/>
      <c r="P358" s="20"/>
      <c r="Q358" s="20"/>
      <c r="R358" s="20"/>
      <c r="S358" s="20"/>
      <c r="T358" s="62"/>
      <c r="U358" s="62"/>
      <c r="V358" s="20"/>
      <c r="W358" s="20"/>
      <c r="X358" s="20"/>
      <c r="Y358" s="20"/>
      <c r="Z358" s="20"/>
      <c r="AA358" s="20"/>
    </row>
    <row r="359" spans="1:27" ht="15.75" customHeight="1">
      <c r="A359" s="48"/>
      <c r="B359" s="56"/>
      <c r="C359" s="56"/>
      <c r="D359" s="57"/>
      <c r="E359" s="20"/>
      <c r="F359" s="58"/>
      <c r="G359" s="20"/>
      <c r="H359" s="60"/>
      <c r="I359" s="60"/>
      <c r="J359" s="61"/>
      <c r="K359" s="61"/>
      <c r="L359" s="59"/>
      <c r="M359" s="59"/>
      <c r="N359" s="59"/>
      <c r="O359" s="59"/>
      <c r="P359" s="20"/>
      <c r="Q359" s="20"/>
      <c r="R359" s="20"/>
      <c r="S359" s="20"/>
      <c r="T359" s="62"/>
      <c r="U359" s="62"/>
      <c r="V359" s="20"/>
      <c r="W359" s="20"/>
      <c r="X359" s="20"/>
      <c r="Y359" s="20"/>
      <c r="Z359" s="20"/>
      <c r="AA359" s="20"/>
    </row>
    <row r="360" spans="1:27" ht="15.75" customHeight="1">
      <c r="A360" s="48"/>
      <c r="B360" s="56"/>
      <c r="C360" s="56"/>
      <c r="D360" s="57"/>
      <c r="E360" s="20"/>
      <c r="F360" s="58"/>
      <c r="G360" s="20"/>
      <c r="H360" s="60"/>
      <c r="I360" s="60"/>
      <c r="J360" s="61"/>
      <c r="K360" s="61"/>
      <c r="L360" s="59"/>
      <c r="M360" s="59"/>
      <c r="N360" s="59"/>
      <c r="O360" s="59"/>
      <c r="P360" s="20"/>
      <c r="Q360" s="20"/>
      <c r="R360" s="20"/>
      <c r="S360" s="20"/>
      <c r="T360" s="62"/>
      <c r="U360" s="62"/>
      <c r="V360" s="20"/>
      <c r="W360" s="20"/>
      <c r="X360" s="20"/>
      <c r="Y360" s="20"/>
      <c r="Z360" s="20"/>
      <c r="AA360" s="20"/>
    </row>
    <row r="361" spans="1:27" ht="15.75" customHeight="1">
      <c r="A361" s="48"/>
      <c r="B361" s="56"/>
      <c r="C361" s="56"/>
      <c r="D361" s="57"/>
      <c r="E361" s="20"/>
      <c r="F361" s="58"/>
      <c r="G361" s="20"/>
      <c r="H361" s="60"/>
      <c r="I361" s="60"/>
      <c r="J361" s="61"/>
      <c r="K361" s="61"/>
      <c r="L361" s="59"/>
      <c r="M361" s="59"/>
      <c r="N361" s="59"/>
      <c r="O361" s="59"/>
      <c r="P361" s="20"/>
      <c r="Q361" s="20"/>
      <c r="R361" s="20"/>
      <c r="S361" s="20"/>
      <c r="T361" s="62"/>
      <c r="U361" s="62"/>
      <c r="V361" s="20"/>
      <c r="W361" s="20"/>
      <c r="X361" s="20"/>
      <c r="Y361" s="20"/>
      <c r="Z361" s="20"/>
      <c r="AA361" s="20"/>
    </row>
    <row r="362" spans="1:27" ht="15.75" customHeight="1">
      <c r="A362" s="48"/>
      <c r="B362" s="56"/>
      <c r="C362" s="56"/>
      <c r="D362" s="57"/>
      <c r="E362" s="20"/>
      <c r="F362" s="58"/>
      <c r="G362" s="20"/>
      <c r="H362" s="60"/>
      <c r="I362" s="60"/>
      <c r="J362" s="61"/>
      <c r="K362" s="61"/>
      <c r="L362" s="59"/>
      <c r="M362" s="59"/>
      <c r="N362" s="59"/>
      <c r="O362" s="59"/>
      <c r="P362" s="20"/>
      <c r="Q362" s="20"/>
      <c r="R362" s="20"/>
      <c r="S362" s="20"/>
      <c r="T362" s="62"/>
      <c r="U362" s="62"/>
      <c r="V362" s="20"/>
      <c r="W362" s="20"/>
      <c r="X362" s="20"/>
      <c r="Y362" s="20"/>
      <c r="Z362" s="20"/>
      <c r="AA362" s="20"/>
    </row>
    <row r="363" spans="1:27" ht="15.75" customHeight="1">
      <c r="A363" s="48"/>
      <c r="B363" s="56"/>
      <c r="C363" s="56"/>
      <c r="D363" s="57"/>
      <c r="E363" s="20"/>
      <c r="F363" s="58"/>
      <c r="G363" s="20"/>
      <c r="H363" s="60"/>
      <c r="I363" s="60"/>
      <c r="J363" s="61"/>
      <c r="K363" s="61"/>
      <c r="L363" s="59"/>
      <c r="M363" s="59"/>
      <c r="N363" s="59"/>
      <c r="O363" s="59"/>
      <c r="P363" s="20"/>
      <c r="Q363" s="20"/>
      <c r="R363" s="20"/>
      <c r="S363" s="20"/>
      <c r="T363" s="62"/>
      <c r="U363" s="62"/>
      <c r="V363" s="20"/>
      <c r="W363" s="20"/>
      <c r="X363" s="20"/>
      <c r="Y363" s="20"/>
      <c r="Z363" s="20"/>
      <c r="AA363" s="20"/>
    </row>
    <row r="364" spans="1:27" ht="15.75" customHeight="1">
      <c r="A364" s="48"/>
      <c r="B364" s="56"/>
      <c r="C364" s="56"/>
      <c r="D364" s="57"/>
      <c r="E364" s="20"/>
      <c r="F364" s="58"/>
      <c r="G364" s="20"/>
      <c r="H364" s="60"/>
      <c r="I364" s="60"/>
      <c r="J364" s="61"/>
      <c r="K364" s="61"/>
      <c r="L364" s="59"/>
      <c r="M364" s="59"/>
      <c r="N364" s="59"/>
      <c r="O364" s="59"/>
      <c r="P364" s="20"/>
      <c r="Q364" s="20"/>
      <c r="R364" s="20"/>
      <c r="S364" s="20"/>
      <c r="T364" s="62"/>
      <c r="U364" s="62"/>
      <c r="V364" s="20"/>
      <c r="W364" s="20"/>
      <c r="X364" s="20"/>
      <c r="Y364" s="20"/>
      <c r="Z364" s="20"/>
      <c r="AA364" s="20"/>
    </row>
    <row r="365" spans="1:27" ht="15.75" customHeight="1">
      <c r="A365" s="48"/>
      <c r="B365" s="56"/>
      <c r="C365" s="56"/>
      <c r="D365" s="57"/>
      <c r="E365" s="20"/>
      <c r="F365" s="58"/>
      <c r="G365" s="20"/>
      <c r="H365" s="60"/>
      <c r="I365" s="60"/>
      <c r="J365" s="61"/>
      <c r="K365" s="61"/>
      <c r="L365" s="59"/>
      <c r="M365" s="59"/>
      <c r="N365" s="59"/>
      <c r="O365" s="59"/>
      <c r="P365" s="20"/>
      <c r="Q365" s="20"/>
      <c r="R365" s="20"/>
      <c r="S365" s="20"/>
      <c r="T365" s="62"/>
      <c r="U365" s="62"/>
      <c r="V365" s="20"/>
      <c r="W365" s="20"/>
      <c r="X365" s="20"/>
      <c r="Y365" s="20"/>
      <c r="Z365" s="20"/>
      <c r="AA365" s="20"/>
    </row>
    <row r="366" spans="1:27" ht="15.75" customHeight="1">
      <c r="A366" s="48"/>
      <c r="B366" s="56"/>
      <c r="C366" s="56"/>
      <c r="D366" s="57"/>
      <c r="E366" s="20"/>
      <c r="F366" s="58"/>
      <c r="G366" s="20"/>
      <c r="H366" s="60"/>
      <c r="I366" s="60"/>
      <c r="J366" s="61"/>
      <c r="K366" s="61"/>
      <c r="L366" s="59"/>
      <c r="M366" s="59"/>
      <c r="N366" s="59"/>
      <c r="O366" s="59"/>
      <c r="P366" s="20"/>
      <c r="Q366" s="20"/>
      <c r="R366" s="20"/>
      <c r="S366" s="20"/>
      <c r="T366" s="62"/>
      <c r="U366" s="62"/>
      <c r="V366" s="20"/>
      <c r="W366" s="20"/>
      <c r="X366" s="20"/>
      <c r="Y366" s="20"/>
      <c r="Z366" s="20"/>
      <c r="AA366" s="20"/>
    </row>
    <row r="367" spans="1:27" ht="15.75" customHeight="1">
      <c r="A367" s="48"/>
      <c r="B367" s="56"/>
      <c r="C367" s="56"/>
      <c r="D367" s="57"/>
      <c r="E367" s="20"/>
      <c r="F367" s="58"/>
      <c r="G367" s="20"/>
      <c r="H367" s="60"/>
      <c r="I367" s="60"/>
      <c r="J367" s="61"/>
      <c r="K367" s="61"/>
      <c r="L367" s="59"/>
      <c r="M367" s="59"/>
      <c r="N367" s="59"/>
      <c r="O367" s="59"/>
      <c r="P367" s="20"/>
      <c r="Q367" s="20"/>
      <c r="R367" s="20"/>
      <c r="S367" s="20"/>
      <c r="T367" s="62"/>
      <c r="U367" s="62"/>
      <c r="V367" s="20"/>
      <c r="W367" s="20"/>
      <c r="X367" s="20"/>
      <c r="Y367" s="20"/>
      <c r="Z367" s="20"/>
      <c r="AA367" s="20"/>
    </row>
    <row r="368" spans="1:27" ht="15.75" customHeight="1">
      <c r="A368" s="48"/>
      <c r="B368" s="56"/>
      <c r="C368" s="56"/>
      <c r="D368" s="57"/>
      <c r="E368" s="20"/>
      <c r="F368" s="58"/>
      <c r="G368" s="20"/>
      <c r="H368" s="60"/>
      <c r="I368" s="60"/>
      <c r="J368" s="61"/>
      <c r="K368" s="61"/>
      <c r="L368" s="59"/>
      <c r="M368" s="59"/>
      <c r="N368" s="59"/>
      <c r="O368" s="59"/>
      <c r="P368" s="20"/>
      <c r="Q368" s="20"/>
      <c r="R368" s="20"/>
      <c r="S368" s="20"/>
      <c r="T368" s="62"/>
      <c r="U368" s="62"/>
      <c r="V368" s="20"/>
      <c r="W368" s="20"/>
      <c r="X368" s="20"/>
      <c r="Y368" s="20"/>
      <c r="Z368" s="20"/>
      <c r="AA368" s="20"/>
    </row>
    <row r="369" spans="1:27" ht="15.75" customHeight="1">
      <c r="A369" s="48"/>
      <c r="B369" s="56"/>
      <c r="C369" s="56"/>
      <c r="D369" s="57"/>
      <c r="E369" s="20"/>
      <c r="F369" s="58"/>
      <c r="G369" s="20"/>
      <c r="H369" s="60"/>
      <c r="I369" s="60"/>
      <c r="J369" s="61"/>
      <c r="K369" s="61"/>
      <c r="L369" s="59"/>
      <c r="M369" s="59"/>
      <c r="N369" s="59"/>
      <c r="O369" s="59"/>
      <c r="P369" s="20"/>
      <c r="Q369" s="20"/>
      <c r="R369" s="20"/>
      <c r="S369" s="20"/>
      <c r="T369" s="62"/>
      <c r="U369" s="62"/>
      <c r="V369" s="20"/>
      <c r="W369" s="20"/>
      <c r="X369" s="20"/>
      <c r="Y369" s="20"/>
      <c r="Z369" s="20"/>
      <c r="AA369" s="20"/>
    </row>
    <row r="370" spans="1:27" ht="15.75" customHeight="1">
      <c r="A370" s="48"/>
      <c r="B370" s="56"/>
      <c r="C370" s="56"/>
      <c r="D370" s="57"/>
      <c r="E370" s="20"/>
      <c r="F370" s="58"/>
      <c r="G370" s="20"/>
      <c r="H370" s="60"/>
      <c r="I370" s="60"/>
      <c r="J370" s="61"/>
      <c r="K370" s="61"/>
      <c r="L370" s="59"/>
      <c r="M370" s="59"/>
      <c r="N370" s="59"/>
      <c r="O370" s="59"/>
      <c r="P370" s="20"/>
      <c r="Q370" s="20"/>
      <c r="R370" s="20"/>
      <c r="S370" s="20"/>
      <c r="T370" s="62"/>
      <c r="U370" s="62"/>
      <c r="V370" s="20"/>
      <c r="W370" s="20"/>
      <c r="X370" s="20"/>
      <c r="Y370" s="20"/>
      <c r="Z370" s="20"/>
      <c r="AA370" s="20"/>
    </row>
    <row r="371" spans="1:27" ht="15.75" customHeight="1">
      <c r="A371" s="48"/>
      <c r="B371" s="56"/>
      <c r="C371" s="56"/>
      <c r="D371" s="57"/>
      <c r="E371" s="20"/>
      <c r="F371" s="58"/>
      <c r="G371" s="20"/>
      <c r="H371" s="60"/>
      <c r="I371" s="60"/>
      <c r="J371" s="61"/>
      <c r="K371" s="61"/>
      <c r="L371" s="59"/>
      <c r="M371" s="59"/>
      <c r="N371" s="59"/>
      <c r="O371" s="59"/>
      <c r="P371" s="20"/>
      <c r="Q371" s="20"/>
      <c r="R371" s="20"/>
      <c r="S371" s="20"/>
      <c r="T371" s="62"/>
      <c r="U371" s="62"/>
      <c r="V371" s="20"/>
      <c r="W371" s="20"/>
      <c r="X371" s="20"/>
      <c r="Y371" s="20"/>
      <c r="Z371" s="20"/>
      <c r="AA371" s="20"/>
    </row>
    <row r="372" spans="1:27" ht="15.75" customHeight="1">
      <c r="A372" s="48"/>
      <c r="B372" s="56"/>
      <c r="C372" s="56"/>
      <c r="D372" s="57"/>
      <c r="E372" s="20"/>
      <c r="F372" s="58"/>
      <c r="G372" s="20"/>
      <c r="H372" s="60"/>
      <c r="I372" s="60"/>
      <c r="J372" s="61"/>
      <c r="K372" s="61"/>
      <c r="L372" s="59"/>
      <c r="M372" s="59"/>
      <c r="N372" s="59"/>
      <c r="O372" s="59"/>
      <c r="P372" s="20"/>
      <c r="Q372" s="20"/>
      <c r="R372" s="20"/>
      <c r="S372" s="20"/>
      <c r="T372" s="62"/>
      <c r="U372" s="62"/>
      <c r="V372" s="20"/>
      <c r="W372" s="20"/>
      <c r="X372" s="20"/>
      <c r="Y372" s="20"/>
      <c r="Z372" s="20"/>
      <c r="AA372" s="20"/>
    </row>
    <row r="373" spans="1:27" ht="15.75" customHeight="1">
      <c r="A373" s="48"/>
      <c r="B373" s="56"/>
      <c r="C373" s="56"/>
      <c r="D373" s="57"/>
      <c r="E373" s="20"/>
      <c r="F373" s="58"/>
      <c r="G373" s="20"/>
      <c r="H373" s="60"/>
      <c r="I373" s="60"/>
      <c r="J373" s="61"/>
      <c r="K373" s="61"/>
      <c r="L373" s="59"/>
      <c r="M373" s="59"/>
      <c r="N373" s="59"/>
      <c r="O373" s="59"/>
      <c r="P373" s="20"/>
      <c r="Q373" s="20"/>
      <c r="R373" s="20"/>
      <c r="S373" s="20"/>
      <c r="T373" s="62"/>
      <c r="U373" s="62"/>
      <c r="V373" s="20"/>
      <c r="W373" s="20"/>
      <c r="X373" s="20"/>
      <c r="Y373" s="20"/>
      <c r="Z373" s="20"/>
      <c r="AA373" s="20"/>
    </row>
    <row r="374" spans="1:27" ht="15.75" customHeight="1">
      <c r="A374" s="48"/>
      <c r="B374" s="56"/>
      <c r="C374" s="56"/>
      <c r="D374" s="57"/>
      <c r="E374" s="20"/>
      <c r="F374" s="58"/>
      <c r="G374" s="20"/>
      <c r="H374" s="60"/>
      <c r="I374" s="60"/>
      <c r="J374" s="61"/>
      <c r="K374" s="61"/>
      <c r="L374" s="59"/>
      <c r="M374" s="59"/>
      <c r="N374" s="59"/>
      <c r="O374" s="59"/>
      <c r="P374" s="20"/>
      <c r="Q374" s="20"/>
      <c r="R374" s="20"/>
      <c r="S374" s="20"/>
      <c r="T374" s="62"/>
      <c r="U374" s="62"/>
      <c r="V374" s="20"/>
      <c r="W374" s="20"/>
      <c r="X374" s="20"/>
      <c r="Y374" s="20"/>
      <c r="Z374" s="20"/>
      <c r="AA374" s="20"/>
    </row>
    <row r="375" spans="1:27" ht="15.75" customHeight="1">
      <c r="A375" s="48"/>
      <c r="B375" s="56"/>
      <c r="C375" s="56"/>
      <c r="D375" s="57"/>
      <c r="E375" s="20"/>
      <c r="F375" s="58"/>
      <c r="G375" s="20"/>
      <c r="H375" s="60"/>
      <c r="I375" s="60"/>
      <c r="J375" s="61"/>
      <c r="K375" s="61"/>
      <c r="L375" s="59"/>
      <c r="M375" s="59"/>
      <c r="N375" s="59"/>
      <c r="O375" s="59"/>
      <c r="P375" s="20"/>
      <c r="Q375" s="20"/>
      <c r="R375" s="20"/>
      <c r="S375" s="20"/>
      <c r="T375" s="62"/>
      <c r="U375" s="62"/>
      <c r="V375" s="20"/>
      <c r="W375" s="20"/>
      <c r="X375" s="20"/>
      <c r="Y375" s="20"/>
      <c r="Z375" s="20"/>
      <c r="AA375" s="20"/>
    </row>
    <row r="376" spans="1:27" ht="15.75" customHeight="1">
      <c r="A376" s="48"/>
      <c r="B376" s="56"/>
      <c r="C376" s="56"/>
      <c r="D376" s="57"/>
      <c r="E376" s="20"/>
      <c r="F376" s="58"/>
      <c r="G376" s="20"/>
      <c r="H376" s="60"/>
      <c r="I376" s="60"/>
      <c r="J376" s="61"/>
      <c r="K376" s="61"/>
      <c r="L376" s="59"/>
      <c r="M376" s="59"/>
      <c r="N376" s="59"/>
      <c r="O376" s="59"/>
      <c r="P376" s="20"/>
      <c r="Q376" s="20"/>
      <c r="R376" s="20"/>
      <c r="S376" s="20"/>
      <c r="T376" s="62"/>
      <c r="U376" s="62"/>
      <c r="V376" s="20"/>
      <c r="W376" s="20"/>
      <c r="X376" s="20"/>
      <c r="Y376" s="20"/>
      <c r="Z376" s="20"/>
      <c r="AA376" s="20"/>
    </row>
    <row r="377" spans="1:27" ht="15.75" customHeight="1">
      <c r="A377" s="48"/>
      <c r="B377" s="56"/>
      <c r="C377" s="56"/>
      <c r="D377" s="57"/>
      <c r="E377" s="20"/>
      <c r="F377" s="58"/>
      <c r="G377" s="20"/>
      <c r="H377" s="60"/>
      <c r="I377" s="60"/>
      <c r="J377" s="61"/>
      <c r="K377" s="61"/>
      <c r="L377" s="59"/>
      <c r="M377" s="59"/>
      <c r="N377" s="59"/>
      <c r="O377" s="59"/>
      <c r="P377" s="20"/>
      <c r="Q377" s="20"/>
      <c r="R377" s="20"/>
      <c r="S377" s="20"/>
      <c r="T377" s="62"/>
      <c r="U377" s="62"/>
      <c r="V377" s="20"/>
      <c r="W377" s="20"/>
      <c r="X377" s="20"/>
      <c r="Y377" s="20"/>
      <c r="Z377" s="20"/>
      <c r="AA377" s="20"/>
    </row>
    <row r="378" spans="1:27" ht="15.75" customHeight="1">
      <c r="A378" s="48"/>
      <c r="B378" s="56"/>
      <c r="C378" s="56"/>
      <c r="D378" s="57"/>
      <c r="E378" s="20"/>
      <c r="F378" s="58"/>
      <c r="G378" s="20"/>
      <c r="H378" s="60"/>
      <c r="I378" s="60"/>
      <c r="J378" s="61"/>
      <c r="K378" s="61"/>
      <c r="L378" s="59"/>
      <c r="M378" s="59"/>
      <c r="N378" s="59"/>
      <c r="O378" s="59"/>
      <c r="P378" s="20"/>
      <c r="Q378" s="20"/>
      <c r="R378" s="20"/>
      <c r="S378" s="20"/>
      <c r="T378" s="62"/>
      <c r="U378" s="62"/>
      <c r="V378" s="20"/>
      <c r="W378" s="20"/>
      <c r="X378" s="20"/>
      <c r="Y378" s="20"/>
      <c r="Z378" s="20"/>
      <c r="AA378" s="20"/>
    </row>
    <row r="379" spans="1:27" ht="15.75" customHeight="1">
      <c r="A379" s="48"/>
      <c r="B379" s="56"/>
      <c r="C379" s="56"/>
      <c r="D379" s="57"/>
      <c r="E379" s="20"/>
      <c r="F379" s="58"/>
      <c r="G379" s="20"/>
      <c r="H379" s="60"/>
      <c r="I379" s="60"/>
      <c r="J379" s="61"/>
      <c r="K379" s="61"/>
      <c r="L379" s="59"/>
      <c r="M379" s="59"/>
      <c r="N379" s="59"/>
      <c r="O379" s="59"/>
      <c r="P379" s="20"/>
      <c r="Q379" s="20"/>
      <c r="R379" s="20"/>
      <c r="S379" s="20"/>
      <c r="T379" s="62"/>
      <c r="U379" s="62"/>
      <c r="V379" s="20"/>
      <c r="W379" s="20"/>
      <c r="X379" s="20"/>
      <c r="Y379" s="20"/>
      <c r="Z379" s="20"/>
      <c r="AA379" s="20"/>
    </row>
    <row r="380" spans="1:27" ht="15.75" customHeight="1">
      <c r="A380" s="48"/>
      <c r="B380" s="56"/>
      <c r="C380" s="56"/>
      <c r="D380" s="57"/>
      <c r="E380" s="20"/>
      <c r="F380" s="58"/>
      <c r="G380" s="20"/>
      <c r="H380" s="60"/>
      <c r="I380" s="60"/>
      <c r="J380" s="61"/>
      <c r="K380" s="61"/>
      <c r="L380" s="59"/>
      <c r="M380" s="59"/>
      <c r="N380" s="59"/>
      <c r="O380" s="59"/>
      <c r="P380" s="20"/>
      <c r="Q380" s="20"/>
      <c r="R380" s="20"/>
      <c r="S380" s="20"/>
      <c r="T380" s="62"/>
      <c r="U380" s="62"/>
      <c r="V380" s="20"/>
      <c r="W380" s="20"/>
      <c r="X380" s="20"/>
      <c r="Y380" s="20"/>
      <c r="Z380" s="20"/>
      <c r="AA380" s="20"/>
    </row>
    <row r="381" spans="1:27" ht="15.75" customHeight="1">
      <c r="A381" s="48"/>
      <c r="B381" s="56"/>
      <c r="C381" s="56"/>
      <c r="D381" s="57"/>
      <c r="E381" s="20"/>
      <c r="F381" s="58"/>
      <c r="G381" s="20"/>
      <c r="H381" s="60"/>
      <c r="I381" s="60"/>
      <c r="J381" s="61"/>
      <c r="K381" s="61"/>
      <c r="L381" s="59"/>
      <c r="M381" s="59"/>
      <c r="N381" s="59"/>
      <c r="O381" s="59"/>
      <c r="P381" s="20"/>
      <c r="Q381" s="20"/>
      <c r="R381" s="20"/>
      <c r="S381" s="20"/>
      <c r="T381" s="62"/>
      <c r="U381" s="62"/>
      <c r="V381" s="20"/>
      <c r="W381" s="20"/>
      <c r="X381" s="20"/>
      <c r="Y381" s="20"/>
      <c r="Z381" s="20"/>
      <c r="AA381" s="20"/>
    </row>
    <row r="382" spans="1:27" ht="15.75" customHeight="1">
      <c r="A382" s="48"/>
      <c r="B382" s="56"/>
      <c r="C382" s="56"/>
      <c r="D382" s="57"/>
      <c r="E382" s="20"/>
      <c r="F382" s="58"/>
      <c r="G382" s="20"/>
      <c r="H382" s="60"/>
      <c r="I382" s="60"/>
      <c r="J382" s="61"/>
      <c r="K382" s="61"/>
      <c r="L382" s="59"/>
      <c r="M382" s="59"/>
      <c r="N382" s="59"/>
      <c r="O382" s="59"/>
      <c r="P382" s="20"/>
      <c r="Q382" s="20"/>
      <c r="R382" s="20"/>
      <c r="S382" s="20"/>
      <c r="T382" s="62"/>
      <c r="U382" s="62"/>
      <c r="V382" s="20"/>
      <c r="W382" s="20"/>
      <c r="X382" s="20"/>
      <c r="Y382" s="20"/>
      <c r="Z382" s="20"/>
      <c r="AA382" s="20"/>
    </row>
    <row r="383" spans="1:27" ht="15.75" customHeight="1">
      <c r="A383" s="48"/>
      <c r="B383" s="56"/>
      <c r="C383" s="56"/>
      <c r="D383" s="57"/>
      <c r="E383" s="20"/>
      <c r="F383" s="58"/>
      <c r="G383" s="20"/>
      <c r="H383" s="60"/>
      <c r="I383" s="60"/>
      <c r="J383" s="61"/>
      <c r="K383" s="61"/>
      <c r="L383" s="59"/>
      <c r="M383" s="59"/>
      <c r="N383" s="59"/>
      <c r="O383" s="59"/>
      <c r="P383" s="20"/>
      <c r="Q383" s="20"/>
      <c r="R383" s="20"/>
      <c r="S383" s="20"/>
      <c r="T383" s="62"/>
      <c r="U383" s="62"/>
      <c r="V383" s="20"/>
      <c r="W383" s="20"/>
      <c r="X383" s="20"/>
      <c r="Y383" s="20"/>
      <c r="Z383" s="20"/>
      <c r="AA383" s="20"/>
    </row>
    <row r="384" spans="1:27" ht="15.75" customHeight="1">
      <c r="A384" s="48"/>
      <c r="B384" s="56"/>
      <c r="C384" s="56"/>
      <c r="D384" s="57"/>
      <c r="E384" s="20"/>
      <c r="F384" s="58"/>
      <c r="G384" s="20"/>
      <c r="H384" s="60"/>
      <c r="I384" s="60"/>
      <c r="J384" s="61"/>
      <c r="K384" s="61"/>
      <c r="L384" s="59"/>
      <c r="M384" s="59"/>
      <c r="N384" s="59"/>
      <c r="O384" s="59"/>
      <c r="P384" s="20"/>
      <c r="Q384" s="20"/>
      <c r="R384" s="20"/>
      <c r="S384" s="20"/>
      <c r="T384" s="62"/>
      <c r="U384" s="62"/>
      <c r="V384" s="20"/>
      <c r="W384" s="20"/>
      <c r="X384" s="20"/>
      <c r="Y384" s="20"/>
      <c r="Z384" s="20"/>
      <c r="AA384" s="20"/>
    </row>
    <row r="385" spans="1:27" ht="15.75" customHeight="1">
      <c r="A385" s="48"/>
      <c r="B385" s="56"/>
      <c r="C385" s="56"/>
      <c r="D385" s="57"/>
      <c r="E385" s="20"/>
      <c r="F385" s="58"/>
      <c r="G385" s="20"/>
      <c r="H385" s="60"/>
      <c r="I385" s="60"/>
      <c r="J385" s="61"/>
      <c r="K385" s="61"/>
      <c r="L385" s="59"/>
      <c r="M385" s="59"/>
      <c r="N385" s="59"/>
      <c r="O385" s="59"/>
      <c r="P385" s="20"/>
      <c r="Q385" s="20"/>
      <c r="R385" s="20"/>
      <c r="S385" s="20"/>
      <c r="T385" s="62"/>
      <c r="U385" s="62"/>
      <c r="V385" s="20"/>
      <c r="W385" s="20"/>
      <c r="X385" s="20"/>
      <c r="Y385" s="20"/>
      <c r="Z385" s="20"/>
      <c r="AA385" s="20"/>
    </row>
    <row r="386" spans="1:27" ht="15.75" customHeight="1">
      <c r="A386" s="48"/>
      <c r="B386" s="56"/>
      <c r="C386" s="56"/>
      <c r="D386" s="57"/>
      <c r="E386" s="20"/>
      <c r="F386" s="58"/>
      <c r="G386" s="20"/>
      <c r="H386" s="60"/>
      <c r="I386" s="60"/>
      <c r="J386" s="61"/>
      <c r="K386" s="61"/>
      <c r="L386" s="59"/>
      <c r="M386" s="59"/>
      <c r="N386" s="59"/>
      <c r="O386" s="59"/>
      <c r="P386" s="20"/>
      <c r="Q386" s="20"/>
      <c r="R386" s="20"/>
      <c r="S386" s="20"/>
      <c r="T386" s="62"/>
      <c r="U386" s="62"/>
      <c r="V386" s="20"/>
      <c r="W386" s="20"/>
      <c r="X386" s="20"/>
      <c r="Y386" s="20"/>
      <c r="Z386" s="20"/>
      <c r="AA386" s="20"/>
    </row>
    <row r="387" spans="1:27" ht="15.75" customHeight="1">
      <c r="A387" s="48"/>
      <c r="B387" s="56"/>
      <c r="C387" s="56"/>
      <c r="D387" s="57"/>
      <c r="E387" s="20"/>
      <c r="F387" s="58"/>
      <c r="G387" s="20"/>
      <c r="H387" s="60"/>
      <c r="I387" s="60"/>
      <c r="J387" s="61"/>
      <c r="K387" s="61"/>
      <c r="L387" s="59"/>
      <c r="M387" s="59"/>
      <c r="N387" s="59"/>
      <c r="O387" s="59"/>
      <c r="P387" s="20"/>
      <c r="Q387" s="20"/>
      <c r="R387" s="20"/>
      <c r="S387" s="20"/>
      <c r="T387" s="62"/>
      <c r="U387" s="62"/>
      <c r="V387" s="20"/>
      <c r="W387" s="20"/>
      <c r="X387" s="20"/>
      <c r="Y387" s="20"/>
      <c r="Z387" s="20"/>
      <c r="AA387" s="20"/>
    </row>
    <row r="388" spans="1:27" ht="15.75" customHeight="1">
      <c r="A388" s="48"/>
      <c r="B388" s="56"/>
      <c r="C388" s="56"/>
      <c r="D388" s="57"/>
      <c r="E388" s="20"/>
      <c r="F388" s="58"/>
      <c r="G388" s="20"/>
      <c r="H388" s="60"/>
      <c r="I388" s="60"/>
      <c r="J388" s="61"/>
      <c r="K388" s="61"/>
      <c r="L388" s="59"/>
      <c r="M388" s="59"/>
      <c r="N388" s="59"/>
      <c r="O388" s="59"/>
      <c r="P388" s="20"/>
      <c r="Q388" s="20"/>
      <c r="R388" s="20"/>
      <c r="S388" s="20"/>
      <c r="T388" s="62"/>
      <c r="U388" s="62"/>
      <c r="V388" s="20"/>
      <c r="W388" s="20"/>
      <c r="X388" s="20"/>
      <c r="Y388" s="20"/>
      <c r="Z388" s="20"/>
      <c r="AA388" s="20"/>
    </row>
    <row r="389" spans="1:27" ht="15.75" customHeight="1">
      <c r="A389" s="48"/>
      <c r="B389" s="56"/>
      <c r="C389" s="56"/>
      <c r="D389" s="57"/>
      <c r="E389" s="20"/>
      <c r="F389" s="58"/>
      <c r="G389" s="20"/>
      <c r="H389" s="60"/>
      <c r="I389" s="60"/>
      <c r="J389" s="61"/>
      <c r="K389" s="61"/>
      <c r="L389" s="59"/>
      <c r="M389" s="59"/>
      <c r="N389" s="59"/>
      <c r="O389" s="59"/>
      <c r="P389" s="20"/>
      <c r="Q389" s="20"/>
      <c r="R389" s="20"/>
      <c r="S389" s="20"/>
      <c r="T389" s="62"/>
      <c r="U389" s="62"/>
      <c r="V389" s="20"/>
      <c r="W389" s="20"/>
      <c r="X389" s="20"/>
      <c r="Y389" s="20"/>
      <c r="Z389" s="20"/>
      <c r="AA389" s="20"/>
    </row>
    <row r="390" spans="1:27" ht="15.75" customHeight="1">
      <c r="A390" s="48"/>
      <c r="B390" s="56"/>
      <c r="C390" s="56"/>
      <c r="D390" s="57"/>
      <c r="E390" s="20"/>
      <c r="F390" s="58"/>
      <c r="G390" s="20"/>
      <c r="H390" s="60"/>
      <c r="I390" s="60"/>
      <c r="J390" s="61"/>
      <c r="K390" s="61"/>
      <c r="L390" s="59"/>
      <c r="M390" s="59"/>
      <c r="N390" s="59"/>
      <c r="O390" s="59"/>
      <c r="P390" s="20"/>
      <c r="Q390" s="20"/>
      <c r="R390" s="20"/>
      <c r="S390" s="20"/>
      <c r="T390" s="62"/>
      <c r="U390" s="62"/>
      <c r="V390" s="20"/>
      <c r="W390" s="20"/>
      <c r="X390" s="20"/>
      <c r="Y390" s="20"/>
      <c r="Z390" s="20"/>
      <c r="AA390" s="20"/>
    </row>
    <row r="391" spans="1:27" ht="15.75" customHeight="1">
      <c r="A391" s="48"/>
      <c r="B391" s="56"/>
      <c r="C391" s="56"/>
      <c r="D391" s="57"/>
      <c r="E391" s="20"/>
      <c r="F391" s="58"/>
      <c r="G391" s="20"/>
      <c r="H391" s="60"/>
      <c r="I391" s="60"/>
      <c r="J391" s="61"/>
      <c r="K391" s="61"/>
      <c r="L391" s="59"/>
      <c r="M391" s="59"/>
      <c r="N391" s="59"/>
      <c r="O391" s="59"/>
      <c r="P391" s="20"/>
      <c r="Q391" s="20"/>
      <c r="R391" s="20"/>
      <c r="S391" s="20"/>
      <c r="T391" s="62"/>
      <c r="U391" s="62"/>
      <c r="V391" s="20"/>
      <c r="W391" s="20"/>
      <c r="X391" s="20"/>
      <c r="Y391" s="20"/>
      <c r="Z391" s="20"/>
      <c r="AA391" s="20"/>
    </row>
    <row r="392" spans="1:27" ht="15.75" customHeight="1">
      <c r="A392" s="48"/>
      <c r="B392" s="56"/>
      <c r="C392" s="56"/>
      <c r="D392" s="57"/>
      <c r="E392" s="20"/>
      <c r="F392" s="58"/>
      <c r="G392" s="20"/>
      <c r="H392" s="60"/>
      <c r="I392" s="60"/>
      <c r="J392" s="61"/>
      <c r="K392" s="61"/>
      <c r="L392" s="59"/>
      <c r="M392" s="59"/>
      <c r="N392" s="59"/>
      <c r="O392" s="59"/>
      <c r="P392" s="20"/>
      <c r="Q392" s="20"/>
      <c r="R392" s="20"/>
      <c r="S392" s="20"/>
      <c r="T392" s="62"/>
      <c r="U392" s="62"/>
      <c r="V392" s="20"/>
      <c r="W392" s="20"/>
      <c r="X392" s="20"/>
      <c r="Y392" s="20"/>
      <c r="Z392" s="20"/>
      <c r="AA392" s="20"/>
    </row>
    <row r="393" spans="1:27" ht="15.75" customHeight="1">
      <c r="A393" s="48"/>
      <c r="B393" s="56"/>
      <c r="C393" s="56"/>
      <c r="D393" s="57"/>
      <c r="E393" s="20"/>
      <c r="F393" s="58"/>
      <c r="G393" s="20"/>
      <c r="H393" s="60"/>
      <c r="I393" s="60"/>
      <c r="J393" s="61"/>
      <c r="K393" s="61"/>
      <c r="L393" s="59"/>
      <c r="M393" s="59"/>
      <c r="N393" s="59"/>
      <c r="O393" s="59"/>
      <c r="P393" s="20"/>
      <c r="Q393" s="20"/>
      <c r="R393" s="20"/>
      <c r="S393" s="20"/>
      <c r="T393" s="62"/>
      <c r="U393" s="62"/>
      <c r="V393" s="20"/>
      <c r="W393" s="20"/>
      <c r="X393" s="20"/>
      <c r="Y393" s="20"/>
      <c r="Z393" s="20"/>
      <c r="AA393" s="20"/>
    </row>
    <row r="394" spans="1:27" ht="15.75" customHeight="1">
      <c r="A394" s="48"/>
      <c r="B394" s="56"/>
      <c r="C394" s="56"/>
      <c r="D394" s="57"/>
      <c r="E394" s="20"/>
      <c r="F394" s="58"/>
      <c r="G394" s="20"/>
      <c r="H394" s="60"/>
      <c r="I394" s="60"/>
      <c r="J394" s="61"/>
      <c r="K394" s="61"/>
      <c r="L394" s="59"/>
      <c r="M394" s="59"/>
      <c r="N394" s="59"/>
      <c r="O394" s="59"/>
      <c r="P394" s="20"/>
      <c r="Q394" s="20"/>
      <c r="R394" s="20"/>
      <c r="S394" s="20"/>
      <c r="T394" s="62"/>
      <c r="U394" s="62"/>
      <c r="V394" s="20"/>
      <c r="W394" s="20"/>
      <c r="X394" s="20"/>
      <c r="Y394" s="20"/>
      <c r="Z394" s="20"/>
      <c r="AA394" s="20"/>
    </row>
    <row r="395" spans="1:27" ht="15.75" customHeight="1">
      <c r="A395" s="48"/>
      <c r="B395" s="56"/>
      <c r="C395" s="56"/>
      <c r="D395" s="57"/>
      <c r="E395" s="20"/>
      <c r="F395" s="58"/>
      <c r="G395" s="20"/>
      <c r="H395" s="60"/>
      <c r="I395" s="60"/>
      <c r="J395" s="61"/>
      <c r="K395" s="61"/>
      <c r="L395" s="59"/>
      <c r="M395" s="59"/>
      <c r="N395" s="59"/>
      <c r="O395" s="59"/>
      <c r="P395" s="20"/>
      <c r="Q395" s="20"/>
      <c r="R395" s="20"/>
      <c r="S395" s="20"/>
      <c r="T395" s="62"/>
      <c r="U395" s="62"/>
      <c r="V395" s="20"/>
      <c r="W395" s="20"/>
      <c r="X395" s="20"/>
      <c r="Y395" s="20"/>
      <c r="Z395" s="20"/>
      <c r="AA395" s="20"/>
    </row>
    <row r="396" spans="1:27" ht="15.75" customHeight="1">
      <c r="A396" s="48"/>
      <c r="B396" s="56"/>
      <c r="C396" s="56"/>
      <c r="D396" s="57"/>
      <c r="E396" s="20"/>
      <c r="F396" s="58"/>
      <c r="G396" s="20"/>
      <c r="H396" s="60"/>
      <c r="I396" s="60"/>
      <c r="J396" s="61"/>
      <c r="K396" s="61"/>
      <c r="L396" s="59"/>
      <c r="M396" s="59"/>
      <c r="N396" s="59"/>
      <c r="O396" s="59"/>
      <c r="P396" s="20"/>
      <c r="Q396" s="20"/>
      <c r="R396" s="20"/>
      <c r="S396" s="20"/>
      <c r="T396" s="62"/>
      <c r="U396" s="62"/>
      <c r="V396" s="20"/>
      <c r="W396" s="20"/>
      <c r="X396" s="20"/>
      <c r="Y396" s="20"/>
      <c r="Z396" s="20"/>
      <c r="AA396" s="20"/>
    </row>
    <row r="397" spans="1:27" ht="15.75" customHeight="1">
      <c r="A397" s="48"/>
      <c r="B397" s="56"/>
      <c r="C397" s="56"/>
      <c r="D397" s="57"/>
      <c r="E397" s="20"/>
      <c r="F397" s="58"/>
      <c r="G397" s="20"/>
      <c r="H397" s="60"/>
      <c r="I397" s="60"/>
      <c r="J397" s="61"/>
      <c r="K397" s="61"/>
      <c r="L397" s="59"/>
      <c r="M397" s="59"/>
      <c r="N397" s="59"/>
      <c r="O397" s="59"/>
      <c r="P397" s="20"/>
      <c r="Q397" s="20"/>
      <c r="R397" s="20"/>
      <c r="S397" s="20"/>
      <c r="T397" s="62"/>
      <c r="U397" s="62"/>
      <c r="V397" s="20"/>
      <c r="W397" s="20"/>
      <c r="X397" s="20"/>
      <c r="Y397" s="20"/>
      <c r="Z397" s="20"/>
      <c r="AA397" s="20"/>
    </row>
    <row r="398" spans="1:27" ht="15.75" customHeight="1">
      <c r="A398" s="48"/>
      <c r="B398" s="56"/>
      <c r="C398" s="56"/>
      <c r="D398" s="57"/>
      <c r="E398" s="20"/>
      <c r="F398" s="58"/>
      <c r="G398" s="20"/>
      <c r="H398" s="60"/>
      <c r="I398" s="60"/>
      <c r="J398" s="61"/>
      <c r="K398" s="61"/>
      <c r="L398" s="59"/>
      <c r="M398" s="59"/>
      <c r="N398" s="59"/>
      <c r="O398" s="59"/>
      <c r="P398" s="20"/>
      <c r="Q398" s="20"/>
      <c r="R398" s="20"/>
      <c r="S398" s="20"/>
      <c r="T398" s="62"/>
      <c r="U398" s="62"/>
      <c r="V398" s="20"/>
      <c r="W398" s="20"/>
      <c r="X398" s="20"/>
      <c r="Y398" s="20"/>
      <c r="Z398" s="20"/>
      <c r="AA398" s="20"/>
    </row>
    <row r="399" spans="1:27" ht="15.75" customHeight="1">
      <c r="A399" s="48"/>
      <c r="B399" s="56"/>
      <c r="C399" s="56"/>
      <c r="D399" s="57"/>
      <c r="E399" s="20"/>
      <c r="F399" s="58"/>
      <c r="G399" s="20"/>
      <c r="H399" s="60"/>
      <c r="I399" s="60"/>
      <c r="J399" s="61"/>
      <c r="K399" s="61"/>
      <c r="L399" s="59"/>
      <c r="M399" s="59"/>
      <c r="N399" s="59"/>
      <c r="O399" s="59"/>
      <c r="P399" s="20"/>
      <c r="Q399" s="20"/>
      <c r="R399" s="20"/>
      <c r="S399" s="20"/>
      <c r="T399" s="62"/>
      <c r="U399" s="62"/>
      <c r="V399" s="20"/>
      <c r="W399" s="20"/>
      <c r="X399" s="20"/>
      <c r="Y399" s="20"/>
      <c r="Z399" s="20"/>
      <c r="AA399" s="20"/>
    </row>
    <row r="400" spans="1:27" ht="15.75" customHeight="1">
      <c r="A400" s="48"/>
      <c r="B400" s="56"/>
      <c r="C400" s="56"/>
      <c r="D400" s="57"/>
      <c r="E400" s="20"/>
      <c r="F400" s="58"/>
      <c r="G400" s="20"/>
      <c r="H400" s="60"/>
      <c r="I400" s="60"/>
      <c r="J400" s="61"/>
      <c r="K400" s="61"/>
      <c r="L400" s="59"/>
      <c r="M400" s="59"/>
      <c r="N400" s="59"/>
      <c r="O400" s="59"/>
      <c r="P400" s="20"/>
      <c r="Q400" s="20"/>
      <c r="R400" s="20"/>
      <c r="S400" s="20"/>
      <c r="T400" s="62"/>
      <c r="U400" s="62"/>
      <c r="V400" s="20"/>
      <c r="W400" s="20"/>
      <c r="X400" s="20"/>
      <c r="Y400" s="20"/>
      <c r="Z400" s="20"/>
      <c r="AA400" s="20"/>
    </row>
    <row r="401" spans="1:27" ht="15.75" customHeight="1">
      <c r="A401" s="48"/>
      <c r="B401" s="56"/>
      <c r="C401" s="56"/>
      <c r="D401" s="57"/>
      <c r="E401" s="20"/>
      <c r="F401" s="58"/>
      <c r="G401" s="20"/>
      <c r="H401" s="60"/>
      <c r="I401" s="60"/>
      <c r="J401" s="61"/>
      <c r="K401" s="61"/>
      <c r="L401" s="59"/>
      <c r="M401" s="59"/>
      <c r="N401" s="59"/>
      <c r="O401" s="59"/>
      <c r="P401" s="20"/>
      <c r="Q401" s="20"/>
      <c r="R401" s="20"/>
      <c r="S401" s="20"/>
      <c r="T401" s="62"/>
      <c r="U401" s="62"/>
      <c r="V401" s="20"/>
      <c r="W401" s="20"/>
      <c r="X401" s="20"/>
      <c r="Y401" s="20"/>
      <c r="Z401" s="20"/>
      <c r="AA401" s="20"/>
    </row>
    <row r="402" spans="1:27" ht="15.75" customHeight="1">
      <c r="A402" s="48"/>
      <c r="B402" s="56"/>
      <c r="C402" s="56"/>
      <c r="D402" s="57"/>
      <c r="E402" s="20"/>
      <c r="F402" s="58"/>
      <c r="G402" s="20"/>
      <c r="H402" s="60"/>
      <c r="I402" s="60"/>
      <c r="J402" s="61"/>
      <c r="K402" s="61"/>
      <c r="L402" s="59"/>
      <c r="M402" s="59"/>
      <c r="N402" s="59"/>
      <c r="O402" s="59"/>
      <c r="P402" s="20"/>
      <c r="Q402" s="20"/>
      <c r="R402" s="20"/>
      <c r="S402" s="20"/>
      <c r="T402" s="62"/>
      <c r="U402" s="62"/>
      <c r="V402" s="20"/>
      <c r="W402" s="20"/>
      <c r="X402" s="20"/>
      <c r="Y402" s="20"/>
      <c r="Z402" s="20"/>
      <c r="AA402" s="20"/>
    </row>
    <row r="403" spans="1:27" ht="15.75" customHeight="1">
      <c r="A403" s="48"/>
      <c r="B403" s="56"/>
      <c r="C403" s="56"/>
      <c r="D403" s="57"/>
      <c r="E403" s="20"/>
      <c r="F403" s="58"/>
      <c r="G403" s="20"/>
      <c r="H403" s="60"/>
      <c r="I403" s="60"/>
      <c r="J403" s="61"/>
      <c r="K403" s="61"/>
      <c r="L403" s="59"/>
      <c r="M403" s="59"/>
      <c r="N403" s="59"/>
      <c r="O403" s="59"/>
      <c r="P403" s="20"/>
      <c r="Q403" s="20"/>
      <c r="R403" s="20"/>
      <c r="S403" s="20"/>
      <c r="T403" s="62"/>
      <c r="U403" s="62"/>
      <c r="V403" s="20"/>
      <c r="W403" s="20"/>
      <c r="X403" s="20"/>
      <c r="Y403" s="20"/>
      <c r="Z403" s="20"/>
      <c r="AA403" s="20"/>
    </row>
    <row r="404" spans="1:27" ht="15.75" customHeight="1">
      <c r="A404" s="48"/>
      <c r="B404" s="56"/>
      <c r="C404" s="56"/>
      <c r="D404" s="57"/>
      <c r="E404" s="20"/>
      <c r="F404" s="58"/>
      <c r="G404" s="20"/>
      <c r="H404" s="60"/>
      <c r="I404" s="60"/>
      <c r="J404" s="61"/>
      <c r="K404" s="61"/>
      <c r="L404" s="59"/>
      <c r="M404" s="59"/>
      <c r="N404" s="59"/>
      <c r="O404" s="59"/>
      <c r="P404" s="20"/>
      <c r="Q404" s="20"/>
      <c r="R404" s="20"/>
      <c r="S404" s="20"/>
      <c r="T404" s="62"/>
      <c r="U404" s="62"/>
      <c r="V404" s="20"/>
      <c r="W404" s="20"/>
      <c r="X404" s="20"/>
      <c r="Y404" s="20"/>
      <c r="Z404" s="20"/>
      <c r="AA404" s="20"/>
    </row>
    <row r="405" spans="1:27" ht="15.75" customHeight="1">
      <c r="A405" s="48"/>
      <c r="B405" s="56"/>
      <c r="C405" s="56"/>
      <c r="D405" s="57"/>
      <c r="E405" s="20"/>
      <c r="F405" s="58"/>
      <c r="G405" s="20"/>
      <c r="H405" s="60"/>
      <c r="I405" s="60"/>
      <c r="J405" s="61"/>
      <c r="K405" s="61"/>
      <c r="L405" s="59"/>
      <c r="M405" s="59"/>
      <c r="N405" s="59"/>
      <c r="O405" s="59"/>
      <c r="P405" s="20"/>
      <c r="Q405" s="20"/>
      <c r="R405" s="20"/>
      <c r="S405" s="20"/>
      <c r="T405" s="62"/>
      <c r="U405" s="62"/>
      <c r="V405" s="20"/>
      <c r="W405" s="20"/>
      <c r="X405" s="20"/>
      <c r="Y405" s="20"/>
      <c r="Z405" s="20"/>
      <c r="AA405" s="20"/>
    </row>
    <row r="406" spans="1:27" ht="15.75" customHeight="1">
      <c r="A406" s="48"/>
      <c r="B406" s="56"/>
      <c r="C406" s="56"/>
      <c r="D406" s="57"/>
      <c r="E406" s="20"/>
      <c r="F406" s="58"/>
      <c r="G406" s="20"/>
      <c r="H406" s="60"/>
      <c r="I406" s="60"/>
      <c r="J406" s="61"/>
      <c r="K406" s="61"/>
      <c r="L406" s="59"/>
      <c r="M406" s="59"/>
      <c r="N406" s="59"/>
      <c r="O406" s="59"/>
      <c r="P406" s="20"/>
      <c r="Q406" s="20"/>
      <c r="R406" s="20"/>
      <c r="S406" s="20"/>
      <c r="T406" s="62"/>
      <c r="U406" s="62"/>
      <c r="V406" s="20"/>
      <c r="W406" s="20"/>
      <c r="X406" s="20"/>
      <c r="Y406" s="20"/>
      <c r="Z406" s="20"/>
      <c r="AA406" s="20"/>
    </row>
    <row r="407" spans="1:27" ht="15.75" customHeight="1">
      <c r="A407" s="48"/>
      <c r="B407" s="56"/>
      <c r="C407" s="56"/>
      <c r="D407" s="57"/>
      <c r="E407" s="20"/>
      <c r="F407" s="58"/>
      <c r="G407" s="20"/>
      <c r="H407" s="60"/>
      <c r="I407" s="60"/>
      <c r="J407" s="61"/>
      <c r="K407" s="61"/>
      <c r="L407" s="59"/>
      <c r="M407" s="59"/>
      <c r="N407" s="59"/>
      <c r="O407" s="59"/>
      <c r="P407" s="20"/>
      <c r="Q407" s="20"/>
      <c r="R407" s="20"/>
      <c r="S407" s="20"/>
      <c r="T407" s="62"/>
      <c r="U407" s="62"/>
      <c r="V407" s="20"/>
      <c r="W407" s="20"/>
      <c r="X407" s="20"/>
      <c r="Y407" s="20"/>
      <c r="Z407" s="20"/>
      <c r="AA407" s="20"/>
    </row>
    <row r="408" spans="1:27" ht="15.75" customHeight="1">
      <c r="A408" s="48"/>
      <c r="B408" s="56"/>
      <c r="C408" s="56"/>
      <c r="D408" s="57"/>
      <c r="E408" s="20"/>
      <c r="F408" s="58"/>
      <c r="G408" s="20"/>
      <c r="H408" s="60"/>
      <c r="I408" s="60"/>
      <c r="J408" s="61"/>
      <c r="K408" s="61"/>
      <c r="L408" s="59"/>
      <c r="M408" s="59"/>
      <c r="N408" s="59"/>
      <c r="O408" s="59"/>
      <c r="P408" s="20"/>
      <c r="Q408" s="20"/>
      <c r="R408" s="20"/>
      <c r="S408" s="20"/>
      <c r="T408" s="62"/>
      <c r="U408" s="62"/>
      <c r="V408" s="20"/>
      <c r="W408" s="20"/>
      <c r="X408" s="20"/>
      <c r="Y408" s="20"/>
      <c r="Z408" s="20"/>
      <c r="AA408" s="20"/>
    </row>
    <row r="409" spans="1:27" ht="15.75" customHeight="1">
      <c r="A409" s="48"/>
      <c r="B409" s="56"/>
      <c r="C409" s="56"/>
      <c r="D409" s="57"/>
      <c r="E409" s="20"/>
      <c r="F409" s="58"/>
      <c r="G409" s="20"/>
      <c r="H409" s="60"/>
      <c r="I409" s="60"/>
      <c r="J409" s="61"/>
      <c r="K409" s="61"/>
      <c r="L409" s="59"/>
      <c r="M409" s="59"/>
      <c r="N409" s="59"/>
      <c r="O409" s="59"/>
      <c r="P409" s="20"/>
      <c r="Q409" s="20"/>
      <c r="R409" s="20"/>
      <c r="S409" s="20"/>
      <c r="T409" s="62"/>
      <c r="U409" s="62"/>
      <c r="V409" s="20"/>
      <c r="W409" s="20"/>
      <c r="X409" s="20"/>
      <c r="Y409" s="20"/>
      <c r="Z409" s="20"/>
      <c r="AA409" s="20"/>
    </row>
    <row r="410" spans="1:27" ht="15.75" customHeight="1">
      <c r="A410" s="48"/>
      <c r="B410" s="56"/>
      <c r="C410" s="56"/>
      <c r="D410" s="57"/>
      <c r="E410" s="20"/>
      <c r="F410" s="58"/>
      <c r="G410" s="20"/>
      <c r="H410" s="60"/>
      <c r="I410" s="60"/>
      <c r="J410" s="61"/>
      <c r="K410" s="61"/>
      <c r="L410" s="59"/>
      <c r="M410" s="59"/>
      <c r="N410" s="59"/>
      <c r="O410" s="59"/>
      <c r="P410" s="20"/>
      <c r="Q410" s="20"/>
      <c r="R410" s="20"/>
      <c r="S410" s="20"/>
      <c r="T410" s="62"/>
      <c r="U410" s="62"/>
      <c r="V410" s="20"/>
      <c r="W410" s="20"/>
      <c r="X410" s="20"/>
      <c r="Y410" s="20"/>
      <c r="Z410" s="20"/>
      <c r="AA410" s="20"/>
    </row>
    <row r="411" spans="1:27" ht="15.75" customHeight="1">
      <c r="A411" s="48"/>
      <c r="B411" s="56"/>
      <c r="C411" s="56"/>
      <c r="D411" s="57"/>
      <c r="E411" s="20"/>
      <c r="F411" s="58"/>
      <c r="G411" s="20"/>
      <c r="H411" s="60"/>
      <c r="I411" s="60"/>
      <c r="J411" s="61"/>
      <c r="K411" s="61"/>
      <c r="L411" s="59"/>
      <c r="M411" s="59"/>
      <c r="N411" s="59"/>
      <c r="O411" s="59"/>
      <c r="P411" s="20"/>
      <c r="Q411" s="20"/>
      <c r="R411" s="20"/>
      <c r="S411" s="20"/>
      <c r="T411" s="62"/>
      <c r="U411" s="62"/>
      <c r="V411" s="20"/>
      <c r="W411" s="20"/>
      <c r="X411" s="20"/>
      <c r="Y411" s="20"/>
      <c r="Z411" s="20"/>
      <c r="AA411" s="20"/>
    </row>
    <row r="412" spans="1:27" ht="15.75" customHeight="1">
      <c r="A412" s="48"/>
      <c r="B412" s="56"/>
      <c r="C412" s="56"/>
      <c r="D412" s="57"/>
      <c r="E412" s="20"/>
      <c r="F412" s="58"/>
      <c r="G412" s="20"/>
      <c r="H412" s="60"/>
      <c r="I412" s="60"/>
      <c r="J412" s="61"/>
      <c r="K412" s="61"/>
      <c r="L412" s="59"/>
      <c r="M412" s="59"/>
      <c r="N412" s="59"/>
      <c r="O412" s="59"/>
      <c r="P412" s="20"/>
      <c r="Q412" s="20"/>
      <c r="R412" s="20"/>
      <c r="S412" s="20"/>
      <c r="T412" s="62"/>
      <c r="U412" s="62"/>
      <c r="V412" s="20"/>
      <c r="W412" s="20"/>
      <c r="X412" s="20"/>
      <c r="Y412" s="20"/>
      <c r="Z412" s="20"/>
      <c r="AA412" s="20"/>
    </row>
    <row r="413" spans="1:27" ht="15.75" customHeight="1">
      <c r="A413" s="48"/>
      <c r="B413" s="56"/>
      <c r="C413" s="56"/>
      <c r="D413" s="57"/>
      <c r="E413" s="20"/>
      <c r="F413" s="58"/>
      <c r="G413" s="20"/>
      <c r="H413" s="60"/>
      <c r="I413" s="60"/>
      <c r="J413" s="61"/>
      <c r="K413" s="61"/>
      <c r="L413" s="59"/>
      <c r="M413" s="59"/>
      <c r="N413" s="59"/>
      <c r="O413" s="59"/>
      <c r="P413" s="20"/>
      <c r="Q413" s="20"/>
      <c r="R413" s="20"/>
      <c r="S413" s="20"/>
      <c r="T413" s="62"/>
      <c r="U413" s="62"/>
      <c r="V413" s="20"/>
      <c r="W413" s="20"/>
      <c r="X413" s="20"/>
      <c r="Y413" s="20"/>
      <c r="Z413" s="20"/>
      <c r="AA413" s="20"/>
    </row>
    <row r="414" spans="1:27" ht="15.75" customHeight="1">
      <c r="A414" s="48"/>
      <c r="B414" s="56"/>
      <c r="C414" s="56"/>
      <c r="D414" s="57"/>
      <c r="E414" s="20"/>
      <c r="F414" s="58"/>
      <c r="G414" s="20"/>
      <c r="H414" s="60"/>
      <c r="I414" s="60"/>
      <c r="J414" s="61"/>
      <c r="K414" s="61"/>
      <c r="L414" s="59"/>
      <c r="M414" s="59"/>
      <c r="N414" s="59"/>
      <c r="O414" s="59"/>
      <c r="P414" s="20"/>
      <c r="Q414" s="20"/>
      <c r="R414" s="20"/>
      <c r="S414" s="20"/>
      <c r="T414" s="62"/>
      <c r="U414" s="62"/>
      <c r="V414" s="20"/>
      <c r="W414" s="20"/>
      <c r="X414" s="20"/>
      <c r="Y414" s="20"/>
      <c r="Z414" s="20"/>
      <c r="AA414" s="20"/>
    </row>
    <row r="415" spans="1:27" ht="15.75" customHeight="1">
      <c r="A415" s="48"/>
      <c r="B415" s="56"/>
      <c r="C415" s="56"/>
      <c r="D415" s="57"/>
      <c r="E415" s="20"/>
      <c r="F415" s="58"/>
      <c r="G415" s="20"/>
      <c r="H415" s="60"/>
      <c r="I415" s="60"/>
      <c r="J415" s="61"/>
      <c r="K415" s="61"/>
      <c r="L415" s="59"/>
      <c r="M415" s="59"/>
      <c r="N415" s="59"/>
      <c r="O415" s="59"/>
      <c r="P415" s="20"/>
      <c r="Q415" s="20"/>
      <c r="R415" s="20"/>
      <c r="S415" s="20"/>
      <c r="T415" s="62"/>
      <c r="U415" s="62"/>
      <c r="V415" s="20"/>
      <c r="W415" s="20"/>
      <c r="X415" s="20"/>
      <c r="Y415" s="20"/>
      <c r="Z415" s="20"/>
      <c r="AA415" s="20"/>
    </row>
    <row r="416" spans="1:27" ht="15.75" customHeight="1">
      <c r="A416" s="48"/>
      <c r="B416" s="56"/>
      <c r="C416" s="56"/>
      <c r="D416" s="57"/>
      <c r="E416" s="20"/>
      <c r="F416" s="58"/>
      <c r="G416" s="20"/>
      <c r="H416" s="60"/>
      <c r="I416" s="60"/>
      <c r="J416" s="61"/>
      <c r="K416" s="61"/>
      <c r="L416" s="59"/>
      <c r="M416" s="59"/>
      <c r="N416" s="59"/>
      <c r="O416" s="59"/>
      <c r="P416" s="20"/>
      <c r="Q416" s="20"/>
      <c r="R416" s="20"/>
      <c r="S416" s="20"/>
      <c r="T416" s="62"/>
      <c r="U416" s="62"/>
      <c r="V416" s="20"/>
      <c r="W416" s="20"/>
      <c r="X416" s="20"/>
      <c r="Y416" s="20"/>
      <c r="Z416" s="20"/>
      <c r="AA416" s="20"/>
    </row>
    <row r="417" spans="1:27" ht="15.75" customHeight="1">
      <c r="A417" s="48"/>
      <c r="B417" s="56"/>
      <c r="C417" s="56"/>
      <c r="D417" s="57"/>
      <c r="E417" s="20"/>
      <c r="F417" s="58"/>
      <c r="G417" s="20"/>
      <c r="H417" s="60"/>
      <c r="I417" s="60"/>
      <c r="J417" s="61"/>
      <c r="K417" s="61"/>
      <c r="L417" s="59"/>
      <c r="M417" s="59"/>
      <c r="N417" s="59"/>
      <c r="O417" s="59"/>
      <c r="P417" s="20"/>
      <c r="Q417" s="20"/>
      <c r="R417" s="20"/>
      <c r="S417" s="20"/>
      <c r="T417" s="62"/>
      <c r="U417" s="62"/>
      <c r="V417" s="20"/>
      <c r="W417" s="20"/>
      <c r="X417" s="20"/>
      <c r="Y417" s="20"/>
      <c r="Z417" s="20"/>
      <c r="AA417" s="20"/>
    </row>
    <row r="418" spans="1:27" ht="15.75" customHeight="1">
      <c r="A418" s="48"/>
      <c r="B418" s="56"/>
      <c r="C418" s="56"/>
      <c r="D418" s="57"/>
      <c r="E418" s="20"/>
      <c r="F418" s="58"/>
      <c r="G418" s="20"/>
      <c r="H418" s="60"/>
      <c r="I418" s="60"/>
      <c r="J418" s="61"/>
      <c r="K418" s="61"/>
      <c r="L418" s="59"/>
      <c r="M418" s="59"/>
      <c r="N418" s="59"/>
      <c r="O418" s="59"/>
      <c r="P418" s="20"/>
      <c r="Q418" s="20"/>
      <c r="R418" s="20"/>
      <c r="S418" s="20"/>
      <c r="T418" s="62"/>
      <c r="U418" s="62"/>
      <c r="V418" s="20"/>
      <c r="W418" s="20"/>
      <c r="X418" s="20"/>
      <c r="Y418" s="20"/>
      <c r="Z418" s="20"/>
      <c r="AA418" s="20"/>
    </row>
    <row r="419" spans="1:27" ht="15.75" customHeight="1">
      <c r="A419" s="48"/>
      <c r="B419" s="56"/>
      <c r="C419" s="56"/>
      <c r="D419" s="57"/>
      <c r="E419" s="20"/>
      <c r="F419" s="58"/>
      <c r="G419" s="20"/>
      <c r="H419" s="60"/>
      <c r="I419" s="60"/>
      <c r="J419" s="61"/>
      <c r="K419" s="61"/>
      <c r="L419" s="59"/>
      <c r="M419" s="59"/>
      <c r="N419" s="59"/>
      <c r="O419" s="59"/>
      <c r="P419" s="20"/>
      <c r="Q419" s="20"/>
      <c r="R419" s="20"/>
      <c r="S419" s="20"/>
      <c r="T419" s="62"/>
      <c r="U419" s="62"/>
      <c r="V419" s="20"/>
      <c r="W419" s="20"/>
      <c r="X419" s="20"/>
      <c r="Y419" s="20"/>
      <c r="Z419" s="20"/>
      <c r="AA419" s="20"/>
    </row>
    <row r="420" spans="1:27" ht="15.75" customHeight="1">
      <c r="A420" s="48"/>
      <c r="B420" s="56"/>
      <c r="C420" s="56"/>
      <c r="D420" s="57"/>
      <c r="E420" s="20"/>
      <c r="F420" s="58"/>
      <c r="G420" s="20"/>
      <c r="H420" s="60"/>
      <c r="I420" s="60"/>
      <c r="J420" s="61"/>
      <c r="K420" s="61"/>
      <c r="L420" s="59"/>
      <c r="M420" s="59"/>
      <c r="N420" s="59"/>
      <c r="O420" s="59"/>
      <c r="P420" s="20"/>
      <c r="Q420" s="20"/>
      <c r="R420" s="20"/>
      <c r="S420" s="20"/>
      <c r="T420" s="62"/>
      <c r="U420" s="62"/>
      <c r="V420" s="20"/>
      <c r="W420" s="20"/>
      <c r="X420" s="20"/>
      <c r="Y420" s="20"/>
      <c r="Z420" s="20"/>
      <c r="AA420" s="20"/>
    </row>
    <row r="421" spans="1:27" ht="15.75" customHeight="1">
      <c r="A421" s="48"/>
      <c r="B421" s="56"/>
      <c r="C421" s="56"/>
      <c r="D421" s="57"/>
      <c r="E421" s="20"/>
      <c r="F421" s="58"/>
      <c r="G421" s="20"/>
      <c r="H421" s="60"/>
      <c r="I421" s="60"/>
      <c r="J421" s="61"/>
      <c r="K421" s="61"/>
      <c r="L421" s="59"/>
      <c r="M421" s="59"/>
      <c r="N421" s="59"/>
      <c r="O421" s="59"/>
      <c r="P421" s="20"/>
      <c r="Q421" s="20"/>
      <c r="R421" s="20"/>
      <c r="S421" s="20"/>
      <c r="T421" s="62"/>
      <c r="U421" s="62"/>
      <c r="V421" s="20"/>
      <c r="W421" s="20"/>
      <c r="X421" s="20"/>
      <c r="Y421" s="20"/>
      <c r="Z421" s="20"/>
      <c r="AA421" s="20"/>
    </row>
    <row r="422" spans="1:27" ht="15.75" customHeight="1">
      <c r="A422" s="48"/>
      <c r="B422" s="56"/>
      <c r="C422" s="56"/>
      <c r="D422" s="57"/>
      <c r="E422" s="20"/>
      <c r="F422" s="58"/>
      <c r="G422" s="20"/>
      <c r="H422" s="60"/>
      <c r="I422" s="60"/>
      <c r="J422" s="61"/>
      <c r="K422" s="61"/>
      <c r="L422" s="59"/>
      <c r="M422" s="59"/>
      <c r="N422" s="59"/>
      <c r="O422" s="59"/>
      <c r="P422" s="20"/>
      <c r="Q422" s="20"/>
      <c r="R422" s="20"/>
      <c r="S422" s="20"/>
      <c r="T422" s="62"/>
      <c r="U422" s="62"/>
      <c r="V422" s="20"/>
      <c r="W422" s="20"/>
      <c r="X422" s="20"/>
      <c r="Y422" s="20"/>
      <c r="Z422" s="20"/>
      <c r="AA422" s="20"/>
    </row>
    <row r="423" spans="1:27" ht="15.75" customHeight="1">
      <c r="A423" s="48"/>
      <c r="B423" s="56"/>
      <c r="C423" s="56"/>
      <c r="D423" s="57"/>
      <c r="E423" s="20"/>
      <c r="F423" s="58"/>
      <c r="G423" s="20"/>
      <c r="H423" s="60"/>
      <c r="I423" s="60"/>
      <c r="J423" s="61"/>
      <c r="K423" s="61"/>
      <c r="L423" s="59"/>
      <c r="M423" s="59"/>
      <c r="N423" s="59"/>
      <c r="O423" s="59"/>
      <c r="P423" s="20"/>
      <c r="Q423" s="20"/>
      <c r="R423" s="20"/>
      <c r="S423" s="20"/>
      <c r="T423" s="62"/>
      <c r="U423" s="62"/>
      <c r="V423" s="20"/>
      <c r="W423" s="20"/>
      <c r="X423" s="20"/>
      <c r="Y423" s="20"/>
      <c r="Z423" s="20"/>
      <c r="AA423" s="20"/>
    </row>
    <row r="424" spans="1:27" ht="15.75" customHeight="1">
      <c r="A424" s="48"/>
      <c r="B424" s="56"/>
      <c r="C424" s="56"/>
      <c r="D424" s="57"/>
      <c r="E424" s="20"/>
      <c r="F424" s="58"/>
      <c r="G424" s="20"/>
      <c r="H424" s="60"/>
      <c r="I424" s="60"/>
      <c r="J424" s="61"/>
      <c r="K424" s="61"/>
      <c r="L424" s="59"/>
      <c r="M424" s="59"/>
      <c r="N424" s="59"/>
      <c r="O424" s="59"/>
      <c r="P424" s="20"/>
      <c r="Q424" s="20"/>
      <c r="R424" s="20"/>
      <c r="S424" s="20"/>
      <c r="T424" s="62"/>
      <c r="U424" s="62"/>
      <c r="V424" s="20"/>
      <c r="W424" s="20"/>
      <c r="X424" s="20"/>
      <c r="Y424" s="20"/>
      <c r="Z424" s="20"/>
      <c r="AA424" s="20"/>
    </row>
    <row r="425" spans="1:27" ht="15.75" customHeight="1">
      <c r="A425" s="48"/>
      <c r="B425" s="56"/>
      <c r="C425" s="56"/>
      <c r="D425" s="57"/>
      <c r="E425" s="20"/>
      <c r="F425" s="58"/>
      <c r="G425" s="20"/>
      <c r="H425" s="60"/>
      <c r="I425" s="60"/>
      <c r="J425" s="61"/>
      <c r="K425" s="61"/>
      <c r="L425" s="59"/>
      <c r="M425" s="59"/>
      <c r="N425" s="59"/>
      <c r="O425" s="59"/>
      <c r="P425" s="20"/>
      <c r="Q425" s="20"/>
      <c r="R425" s="20"/>
      <c r="S425" s="20"/>
      <c r="T425" s="62"/>
      <c r="U425" s="62"/>
      <c r="V425" s="20"/>
      <c r="W425" s="20"/>
      <c r="X425" s="20"/>
      <c r="Y425" s="20"/>
      <c r="Z425" s="20"/>
      <c r="AA425" s="20"/>
    </row>
    <row r="426" spans="1:27" ht="15.75" customHeight="1">
      <c r="A426" s="48"/>
      <c r="B426" s="56"/>
      <c r="C426" s="56"/>
      <c r="D426" s="57"/>
      <c r="E426" s="20"/>
      <c r="F426" s="58"/>
      <c r="G426" s="20"/>
      <c r="H426" s="60"/>
      <c r="I426" s="60"/>
      <c r="J426" s="61"/>
      <c r="K426" s="61"/>
      <c r="L426" s="59"/>
      <c r="M426" s="59"/>
      <c r="N426" s="59"/>
      <c r="O426" s="59"/>
      <c r="P426" s="20"/>
      <c r="Q426" s="20"/>
      <c r="R426" s="20"/>
      <c r="S426" s="20"/>
      <c r="T426" s="62"/>
      <c r="U426" s="62"/>
      <c r="V426" s="20"/>
      <c r="W426" s="20"/>
      <c r="X426" s="20"/>
      <c r="Y426" s="20"/>
      <c r="Z426" s="20"/>
      <c r="AA426" s="20"/>
    </row>
    <row r="427" spans="1:27" ht="15.75" customHeight="1">
      <c r="A427" s="48"/>
      <c r="B427" s="56"/>
      <c r="C427" s="56"/>
      <c r="D427" s="57"/>
      <c r="E427" s="20"/>
      <c r="F427" s="58"/>
      <c r="G427" s="20"/>
      <c r="H427" s="60"/>
      <c r="I427" s="60"/>
      <c r="J427" s="61"/>
      <c r="K427" s="61"/>
      <c r="L427" s="59"/>
      <c r="M427" s="59"/>
      <c r="N427" s="59"/>
      <c r="O427" s="59"/>
      <c r="P427" s="20"/>
      <c r="Q427" s="20"/>
      <c r="R427" s="20"/>
      <c r="S427" s="20"/>
      <c r="T427" s="62"/>
      <c r="U427" s="62"/>
      <c r="V427" s="20"/>
      <c r="W427" s="20"/>
      <c r="X427" s="20"/>
      <c r="Y427" s="20"/>
      <c r="Z427" s="20"/>
      <c r="AA427" s="20"/>
    </row>
    <row r="428" spans="1:27" ht="15.75" customHeight="1">
      <c r="A428" s="48"/>
      <c r="B428" s="56"/>
      <c r="C428" s="56"/>
      <c r="D428" s="57"/>
      <c r="E428" s="20"/>
      <c r="F428" s="58"/>
      <c r="G428" s="20"/>
      <c r="H428" s="60"/>
      <c r="I428" s="60"/>
      <c r="J428" s="61"/>
      <c r="K428" s="61"/>
      <c r="L428" s="59"/>
      <c r="M428" s="59"/>
      <c r="N428" s="59"/>
      <c r="O428" s="59"/>
      <c r="P428" s="20"/>
      <c r="Q428" s="20"/>
      <c r="R428" s="20"/>
      <c r="S428" s="20"/>
      <c r="T428" s="62"/>
      <c r="U428" s="62"/>
      <c r="V428" s="20"/>
      <c r="W428" s="20"/>
      <c r="X428" s="20"/>
      <c r="Y428" s="20"/>
      <c r="Z428" s="20"/>
      <c r="AA428" s="20"/>
    </row>
    <row r="429" spans="1:27" ht="15.75" customHeight="1">
      <c r="A429" s="48"/>
      <c r="B429" s="56"/>
      <c r="C429" s="56"/>
      <c r="D429" s="57"/>
      <c r="E429" s="20"/>
      <c r="F429" s="58"/>
      <c r="G429" s="20"/>
      <c r="H429" s="60"/>
      <c r="I429" s="60"/>
      <c r="J429" s="61"/>
      <c r="K429" s="61"/>
      <c r="L429" s="59"/>
      <c r="M429" s="59"/>
      <c r="N429" s="59"/>
      <c r="O429" s="59"/>
      <c r="P429" s="20"/>
      <c r="Q429" s="20"/>
      <c r="R429" s="20"/>
      <c r="S429" s="20"/>
      <c r="T429" s="62"/>
      <c r="U429" s="62"/>
      <c r="V429" s="20"/>
      <c r="W429" s="20"/>
      <c r="X429" s="20"/>
      <c r="Y429" s="20"/>
      <c r="Z429" s="20"/>
      <c r="AA429" s="20"/>
    </row>
    <row r="430" spans="1:27" ht="15.75" customHeight="1">
      <c r="A430" s="48"/>
      <c r="B430" s="56"/>
      <c r="C430" s="56"/>
      <c r="D430" s="57"/>
      <c r="E430" s="20"/>
      <c r="F430" s="58"/>
      <c r="G430" s="20"/>
      <c r="H430" s="60"/>
      <c r="I430" s="60"/>
      <c r="J430" s="61"/>
      <c r="K430" s="61"/>
      <c r="L430" s="59"/>
      <c r="M430" s="59"/>
      <c r="N430" s="59"/>
      <c r="O430" s="59"/>
      <c r="P430" s="20"/>
      <c r="Q430" s="20"/>
      <c r="R430" s="20"/>
      <c r="S430" s="20"/>
      <c r="T430" s="62"/>
      <c r="U430" s="62"/>
      <c r="V430" s="20"/>
      <c r="W430" s="20"/>
      <c r="X430" s="20"/>
      <c r="Y430" s="20"/>
      <c r="Z430" s="20"/>
      <c r="AA430" s="20"/>
    </row>
    <row r="431" spans="1:27" ht="15.75" customHeight="1">
      <c r="A431" s="48"/>
      <c r="B431" s="56"/>
      <c r="C431" s="56"/>
      <c r="D431" s="57"/>
      <c r="E431" s="20"/>
      <c r="F431" s="58"/>
      <c r="G431" s="20"/>
      <c r="H431" s="60"/>
      <c r="I431" s="60"/>
      <c r="J431" s="61"/>
      <c r="K431" s="61"/>
      <c r="L431" s="59"/>
      <c r="M431" s="59"/>
      <c r="N431" s="59"/>
      <c r="O431" s="59"/>
      <c r="P431" s="20"/>
      <c r="Q431" s="20"/>
      <c r="R431" s="20"/>
      <c r="S431" s="20"/>
      <c r="T431" s="62"/>
      <c r="U431" s="62"/>
      <c r="V431" s="20"/>
      <c r="W431" s="20"/>
      <c r="X431" s="20"/>
      <c r="Y431" s="20"/>
      <c r="Z431" s="20"/>
      <c r="AA431" s="20"/>
    </row>
    <row r="432" spans="1:27" ht="15.75" customHeight="1">
      <c r="A432" s="48"/>
      <c r="B432" s="56"/>
      <c r="C432" s="56"/>
      <c r="D432" s="57"/>
      <c r="E432" s="20"/>
      <c r="F432" s="58"/>
      <c r="G432" s="20"/>
      <c r="H432" s="60"/>
      <c r="I432" s="60"/>
      <c r="J432" s="61"/>
      <c r="K432" s="61"/>
      <c r="L432" s="59"/>
      <c r="M432" s="59"/>
      <c r="N432" s="59"/>
      <c r="O432" s="59"/>
      <c r="P432" s="20"/>
      <c r="Q432" s="20"/>
      <c r="R432" s="20"/>
      <c r="S432" s="20"/>
      <c r="T432" s="62"/>
      <c r="U432" s="62"/>
      <c r="V432" s="20"/>
      <c r="W432" s="20"/>
      <c r="X432" s="20"/>
      <c r="Y432" s="20"/>
      <c r="Z432" s="20"/>
      <c r="AA432" s="20"/>
    </row>
    <row r="433" spans="1:27" ht="15.75" customHeight="1">
      <c r="A433" s="48"/>
      <c r="B433" s="56"/>
      <c r="C433" s="56"/>
      <c r="D433" s="57"/>
      <c r="E433" s="20"/>
      <c r="F433" s="58"/>
      <c r="G433" s="20"/>
      <c r="H433" s="60"/>
      <c r="I433" s="60"/>
      <c r="J433" s="61"/>
      <c r="K433" s="61"/>
      <c r="L433" s="59"/>
      <c r="M433" s="59"/>
      <c r="N433" s="59"/>
      <c r="O433" s="59"/>
      <c r="P433" s="20"/>
      <c r="Q433" s="20"/>
      <c r="R433" s="20"/>
      <c r="S433" s="20"/>
      <c r="T433" s="62"/>
      <c r="U433" s="62"/>
      <c r="V433" s="20"/>
      <c r="W433" s="20"/>
      <c r="X433" s="20"/>
      <c r="Y433" s="20"/>
      <c r="Z433" s="20"/>
      <c r="AA433" s="20"/>
    </row>
    <row r="434" spans="1:27" ht="15.75" customHeight="1">
      <c r="A434" s="48"/>
      <c r="B434" s="56"/>
      <c r="C434" s="56"/>
      <c r="D434" s="57"/>
      <c r="E434" s="20"/>
      <c r="F434" s="58"/>
      <c r="G434" s="20"/>
      <c r="H434" s="60"/>
      <c r="I434" s="60"/>
      <c r="J434" s="61"/>
      <c r="K434" s="61"/>
      <c r="L434" s="59"/>
      <c r="M434" s="59"/>
      <c r="N434" s="59"/>
      <c r="O434" s="59"/>
      <c r="P434" s="20"/>
      <c r="Q434" s="20"/>
      <c r="R434" s="20"/>
      <c r="S434" s="20"/>
      <c r="T434" s="62"/>
      <c r="U434" s="62"/>
      <c r="V434" s="20"/>
      <c r="W434" s="20"/>
      <c r="X434" s="20"/>
      <c r="Y434" s="20"/>
      <c r="Z434" s="20"/>
      <c r="AA434" s="20"/>
    </row>
    <row r="435" spans="1:27" ht="15.75" customHeight="1">
      <c r="A435" s="48"/>
      <c r="B435" s="56"/>
      <c r="C435" s="56"/>
      <c r="D435" s="57"/>
      <c r="E435" s="20"/>
      <c r="F435" s="58"/>
      <c r="G435" s="20"/>
      <c r="H435" s="60"/>
      <c r="I435" s="60"/>
      <c r="J435" s="61"/>
      <c r="K435" s="61"/>
      <c r="L435" s="59"/>
      <c r="M435" s="59"/>
      <c r="N435" s="59"/>
      <c r="O435" s="59"/>
      <c r="P435" s="20"/>
      <c r="Q435" s="20"/>
      <c r="R435" s="20"/>
      <c r="S435" s="20"/>
      <c r="T435" s="62"/>
      <c r="U435" s="62"/>
      <c r="V435" s="20"/>
      <c r="W435" s="20"/>
      <c r="X435" s="20"/>
      <c r="Y435" s="20"/>
      <c r="Z435" s="20"/>
      <c r="AA435" s="20"/>
    </row>
    <row r="436" spans="1:27" ht="15.75" customHeight="1">
      <c r="A436" s="48"/>
      <c r="B436" s="56"/>
      <c r="C436" s="56"/>
      <c r="D436" s="57"/>
      <c r="E436" s="20"/>
      <c r="F436" s="58"/>
      <c r="G436" s="20"/>
      <c r="H436" s="60"/>
      <c r="I436" s="60"/>
      <c r="J436" s="61"/>
      <c r="K436" s="61"/>
      <c r="L436" s="59"/>
      <c r="M436" s="59"/>
      <c r="N436" s="59"/>
      <c r="O436" s="59"/>
      <c r="P436" s="20"/>
      <c r="Q436" s="20"/>
      <c r="R436" s="20"/>
      <c r="S436" s="20"/>
      <c r="T436" s="62"/>
      <c r="U436" s="62"/>
      <c r="V436" s="20"/>
      <c r="W436" s="20"/>
      <c r="X436" s="20"/>
      <c r="Y436" s="20"/>
      <c r="Z436" s="20"/>
      <c r="AA436" s="20"/>
    </row>
    <row r="437" spans="1:27" ht="15.75" customHeight="1">
      <c r="A437" s="48"/>
      <c r="B437" s="56"/>
      <c r="C437" s="56"/>
      <c r="D437" s="57"/>
      <c r="E437" s="20"/>
      <c r="F437" s="58"/>
      <c r="G437" s="20"/>
      <c r="H437" s="60"/>
      <c r="I437" s="60"/>
      <c r="J437" s="61"/>
      <c r="K437" s="61"/>
      <c r="L437" s="59"/>
      <c r="M437" s="59"/>
      <c r="N437" s="59"/>
      <c r="O437" s="59"/>
      <c r="P437" s="20"/>
      <c r="Q437" s="20"/>
      <c r="R437" s="20"/>
      <c r="S437" s="20"/>
      <c r="T437" s="62"/>
      <c r="U437" s="62"/>
      <c r="V437" s="20"/>
      <c r="W437" s="20"/>
      <c r="X437" s="20"/>
      <c r="Y437" s="20"/>
      <c r="Z437" s="20"/>
      <c r="AA437" s="20"/>
    </row>
    <row r="438" spans="1:27" ht="15.75" customHeight="1">
      <c r="A438" s="48"/>
      <c r="B438" s="56"/>
      <c r="C438" s="56"/>
      <c r="D438" s="57"/>
      <c r="E438" s="20"/>
      <c r="F438" s="58"/>
      <c r="G438" s="20"/>
      <c r="H438" s="60"/>
      <c r="I438" s="60"/>
      <c r="J438" s="61"/>
      <c r="K438" s="61"/>
      <c r="L438" s="59"/>
      <c r="M438" s="59"/>
      <c r="N438" s="59"/>
      <c r="O438" s="59"/>
      <c r="P438" s="20"/>
      <c r="Q438" s="20"/>
      <c r="R438" s="20"/>
      <c r="S438" s="20"/>
      <c r="T438" s="62"/>
      <c r="U438" s="62"/>
      <c r="V438" s="20"/>
      <c r="W438" s="20"/>
      <c r="X438" s="20"/>
      <c r="Y438" s="20"/>
      <c r="Z438" s="20"/>
      <c r="AA438" s="20"/>
    </row>
    <row r="439" spans="1:27" ht="15.75" customHeight="1">
      <c r="A439" s="48"/>
      <c r="B439" s="56"/>
      <c r="C439" s="56"/>
      <c r="D439" s="57"/>
      <c r="E439" s="20"/>
      <c r="F439" s="58"/>
      <c r="G439" s="20"/>
      <c r="H439" s="60"/>
      <c r="I439" s="60"/>
      <c r="J439" s="61"/>
      <c r="K439" s="61"/>
      <c r="L439" s="59"/>
      <c r="M439" s="59"/>
      <c r="N439" s="59"/>
      <c r="O439" s="59"/>
      <c r="P439" s="20"/>
      <c r="Q439" s="20"/>
      <c r="R439" s="20"/>
      <c r="S439" s="20"/>
      <c r="T439" s="62"/>
      <c r="U439" s="62"/>
      <c r="V439" s="20"/>
      <c r="W439" s="20"/>
      <c r="X439" s="20"/>
      <c r="Y439" s="20"/>
      <c r="Z439" s="20"/>
      <c r="AA439" s="20"/>
    </row>
    <row r="440" spans="1:27" ht="15.75" customHeight="1">
      <c r="A440" s="48"/>
      <c r="B440" s="56"/>
      <c r="C440" s="56"/>
      <c r="D440" s="57"/>
      <c r="E440" s="20"/>
      <c r="F440" s="58"/>
      <c r="G440" s="20"/>
      <c r="H440" s="60"/>
      <c r="I440" s="60"/>
      <c r="J440" s="61"/>
      <c r="K440" s="61"/>
      <c r="L440" s="59"/>
      <c r="M440" s="59"/>
      <c r="N440" s="59"/>
      <c r="O440" s="59"/>
      <c r="P440" s="20"/>
      <c r="Q440" s="20"/>
      <c r="R440" s="20"/>
      <c r="S440" s="20"/>
      <c r="T440" s="62"/>
      <c r="U440" s="62"/>
      <c r="V440" s="20"/>
      <c r="W440" s="20"/>
      <c r="X440" s="20"/>
      <c r="Y440" s="20"/>
      <c r="Z440" s="20"/>
      <c r="AA440" s="20"/>
    </row>
    <row r="441" spans="1:27" ht="15.75" customHeight="1">
      <c r="A441" s="48"/>
      <c r="B441" s="56"/>
      <c r="C441" s="56"/>
      <c r="D441" s="57"/>
      <c r="E441" s="20"/>
      <c r="F441" s="58"/>
      <c r="G441" s="20"/>
      <c r="H441" s="60"/>
      <c r="I441" s="60"/>
      <c r="J441" s="61"/>
      <c r="K441" s="61"/>
      <c r="L441" s="59"/>
      <c r="M441" s="59"/>
      <c r="N441" s="59"/>
      <c r="O441" s="59"/>
      <c r="P441" s="20"/>
      <c r="Q441" s="20"/>
      <c r="R441" s="20"/>
      <c r="S441" s="20"/>
      <c r="T441" s="62"/>
      <c r="U441" s="62"/>
      <c r="V441" s="20"/>
      <c r="W441" s="20"/>
      <c r="X441" s="20"/>
      <c r="Y441" s="20"/>
      <c r="Z441" s="20"/>
      <c r="AA441" s="20"/>
    </row>
    <row r="442" spans="1:27" ht="15.75" customHeight="1">
      <c r="A442" s="48"/>
      <c r="B442" s="56"/>
      <c r="C442" s="56"/>
      <c r="D442" s="57"/>
      <c r="E442" s="20"/>
      <c r="F442" s="58"/>
      <c r="G442" s="20"/>
      <c r="H442" s="60"/>
      <c r="I442" s="60"/>
      <c r="J442" s="61"/>
      <c r="K442" s="61"/>
      <c r="L442" s="59"/>
      <c r="M442" s="59"/>
      <c r="N442" s="59"/>
      <c r="O442" s="59"/>
      <c r="P442" s="20"/>
      <c r="Q442" s="20"/>
      <c r="R442" s="20"/>
      <c r="S442" s="20"/>
      <c r="T442" s="62"/>
      <c r="U442" s="62"/>
      <c r="V442" s="20"/>
      <c r="W442" s="20"/>
      <c r="X442" s="20"/>
      <c r="Y442" s="20"/>
      <c r="Z442" s="20"/>
      <c r="AA442" s="20"/>
    </row>
    <row r="443" spans="1:27" ht="15.75" customHeight="1">
      <c r="A443" s="48"/>
      <c r="B443" s="56"/>
      <c r="C443" s="56"/>
      <c r="D443" s="57"/>
      <c r="E443" s="20"/>
      <c r="F443" s="58"/>
      <c r="G443" s="20"/>
      <c r="H443" s="60"/>
      <c r="I443" s="60"/>
      <c r="J443" s="61"/>
      <c r="K443" s="61"/>
      <c r="L443" s="59"/>
      <c r="M443" s="59"/>
      <c r="N443" s="59"/>
      <c r="O443" s="59"/>
      <c r="P443" s="20"/>
      <c r="Q443" s="20"/>
      <c r="R443" s="20"/>
      <c r="S443" s="20"/>
      <c r="T443" s="62"/>
      <c r="U443" s="62"/>
      <c r="V443" s="20"/>
      <c r="W443" s="20"/>
      <c r="X443" s="20"/>
      <c r="Y443" s="20"/>
      <c r="Z443" s="20"/>
      <c r="AA443" s="20"/>
    </row>
    <row r="444" spans="1:27" ht="15.75" customHeight="1">
      <c r="A444" s="48"/>
      <c r="B444" s="56"/>
      <c r="C444" s="56"/>
      <c r="D444" s="57"/>
      <c r="E444" s="20"/>
      <c r="F444" s="58"/>
      <c r="G444" s="20"/>
      <c r="H444" s="60"/>
      <c r="I444" s="60"/>
      <c r="J444" s="61"/>
      <c r="K444" s="61"/>
      <c r="L444" s="59"/>
      <c r="M444" s="59"/>
      <c r="N444" s="59"/>
      <c r="O444" s="59"/>
      <c r="P444" s="20"/>
      <c r="Q444" s="20"/>
      <c r="R444" s="20"/>
      <c r="S444" s="20"/>
      <c r="T444" s="62"/>
      <c r="U444" s="62"/>
      <c r="V444" s="20"/>
      <c r="W444" s="20"/>
      <c r="X444" s="20"/>
      <c r="Y444" s="20"/>
      <c r="Z444" s="20"/>
      <c r="AA444" s="20"/>
    </row>
    <row r="445" spans="1:27" ht="15.75" customHeight="1">
      <c r="A445" s="48"/>
      <c r="B445" s="56"/>
      <c r="C445" s="56"/>
      <c r="D445" s="57"/>
      <c r="E445" s="20"/>
      <c r="F445" s="58"/>
      <c r="G445" s="20"/>
      <c r="H445" s="60"/>
      <c r="I445" s="60"/>
      <c r="J445" s="61"/>
      <c r="K445" s="61"/>
      <c r="L445" s="59"/>
      <c r="M445" s="59"/>
      <c r="N445" s="59"/>
      <c r="O445" s="59"/>
      <c r="P445" s="20"/>
      <c r="Q445" s="20"/>
      <c r="R445" s="20"/>
      <c r="S445" s="20"/>
      <c r="T445" s="62"/>
      <c r="U445" s="62"/>
      <c r="V445" s="20"/>
      <c r="W445" s="20"/>
      <c r="X445" s="20"/>
      <c r="Y445" s="20"/>
      <c r="Z445" s="20"/>
      <c r="AA445" s="20"/>
    </row>
    <row r="446" spans="1:27" ht="15.75" customHeight="1">
      <c r="A446" s="48"/>
      <c r="B446" s="56"/>
      <c r="C446" s="56"/>
      <c r="D446" s="57"/>
      <c r="E446" s="20"/>
      <c r="F446" s="58"/>
      <c r="G446" s="20"/>
      <c r="H446" s="60"/>
      <c r="I446" s="60"/>
      <c r="J446" s="61"/>
      <c r="K446" s="61"/>
      <c r="L446" s="59"/>
      <c r="M446" s="59"/>
      <c r="N446" s="59"/>
      <c r="O446" s="59"/>
      <c r="P446" s="20"/>
      <c r="Q446" s="20"/>
      <c r="R446" s="20"/>
      <c r="S446" s="20"/>
      <c r="T446" s="62"/>
      <c r="U446" s="62"/>
      <c r="V446" s="20"/>
      <c r="W446" s="20"/>
      <c r="X446" s="20"/>
      <c r="Y446" s="20"/>
      <c r="Z446" s="20"/>
      <c r="AA446" s="20"/>
    </row>
    <row r="447" spans="1:27" ht="15.75" customHeight="1">
      <c r="A447" s="48"/>
      <c r="B447" s="56"/>
      <c r="C447" s="56"/>
      <c r="D447" s="57"/>
      <c r="E447" s="20"/>
      <c r="F447" s="58"/>
      <c r="G447" s="20"/>
      <c r="H447" s="60"/>
      <c r="I447" s="60"/>
      <c r="J447" s="61"/>
      <c r="K447" s="61"/>
      <c r="L447" s="59"/>
      <c r="M447" s="59"/>
      <c r="N447" s="59"/>
      <c r="O447" s="59"/>
      <c r="P447" s="20"/>
      <c r="Q447" s="20"/>
      <c r="R447" s="20"/>
      <c r="S447" s="20"/>
      <c r="T447" s="62"/>
      <c r="U447" s="62"/>
      <c r="V447" s="20"/>
      <c r="W447" s="20"/>
      <c r="X447" s="20"/>
      <c r="Y447" s="20"/>
      <c r="Z447" s="20"/>
      <c r="AA447" s="20"/>
    </row>
    <row r="448" spans="1:27" ht="15.75" customHeight="1">
      <c r="A448" s="48"/>
      <c r="B448" s="56"/>
      <c r="C448" s="56"/>
      <c r="D448" s="57"/>
      <c r="E448" s="20"/>
      <c r="F448" s="58"/>
      <c r="G448" s="20"/>
      <c r="H448" s="60"/>
      <c r="I448" s="60"/>
      <c r="J448" s="61"/>
      <c r="K448" s="61"/>
      <c r="L448" s="59"/>
      <c r="M448" s="59"/>
      <c r="N448" s="59"/>
      <c r="O448" s="59"/>
      <c r="P448" s="20"/>
      <c r="Q448" s="20"/>
      <c r="R448" s="20"/>
      <c r="S448" s="20"/>
      <c r="T448" s="62"/>
      <c r="U448" s="62"/>
      <c r="V448" s="20"/>
      <c r="W448" s="20"/>
      <c r="X448" s="20"/>
      <c r="Y448" s="20"/>
      <c r="Z448" s="20"/>
      <c r="AA448" s="20"/>
    </row>
    <row r="449" spans="1:27" ht="15.75" customHeight="1">
      <c r="A449" s="48"/>
      <c r="B449" s="56"/>
      <c r="C449" s="56"/>
      <c r="D449" s="57"/>
      <c r="E449" s="20"/>
      <c r="F449" s="58"/>
      <c r="G449" s="20"/>
      <c r="H449" s="60"/>
      <c r="I449" s="60"/>
      <c r="J449" s="61"/>
      <c r="K449" s="61"/>
      <c r="L449" s="59"/>
      <c r="M449" s="59"/>
      <c r="N449" s="59"/>
      <c r="O449" s="59"/>
      <c r="P449" s="20"/>
      <c r="Q449" s="20"/>
      <c r="R449" s="20"/>
      <c r="S449" s="20"/>
      <c r="T449" s="62"/>
      <c r="U449" s="62"/>
      <c r="V449" s="20"/>
      <c r="W449" s="20"/>
      <c r="X449" s="20"/>
      <c r="Y449" s="20"/>
      <c r="Z449" s="20"/>
      <c r="AA449" s="20"/>
    </row>
    <row r="450" spans="1:27" ht="15.75" customHeight="1">
      <c r="A450" s="48"/>
      <c r="B450" s="56"/>
      <c r="C450" s="56"/>
      <c r="D450" s="57"/>
      <c r="E450" s="20"/>
      <c r="F450" s="58"/>
      <c r="G450" s="20"/>
      <c r="H450" s="60"/>
      <c r="I450" s="60"/>
      <c r="J450" s="61"/>
      <c r="K450" s="61"/>
      <c r="L450" s="59"/>
      <c r="M450" s="59"/>
      <c r="N450" s="59"/>
      <c r="O450" s="59"/>
      <c r="P450" s="20"/>
      <c r="Q450" s="20"/>
      <c r="R450" s="20"/>
      <c r="S450" s="20"/>
      <c r="T450" s="62"/>
      <c r="U450" s="62"/>
      <c r="V450" s="20"/>
      <c r="W450" s="20"/>
      <c r="X450" s="20"/>
      <c r="Y450" s="20"/>
      <c r="Z450" s="20"/>
      <c r="AA450" s="20"/>
    </row>
    <row r="451" spans="1:27" ht="15.75" customHeight="1">
      <c r="A451" s="48"/>
      <c r="B451" s="56"/>
      <c r="C451" s="56"/>
      <c r="D451" s="57"/>
      <c r="E451" s="20"/>
      <c r="F451" s="58"/>
      <c r="G451" s="20"/>
      <c r="H451" s="60"/>
      <c r="I451" s="60"/>
      <c r="J451" s="61"/>
      <c r="K451" s="61"/>
      <c r="L451" s="59"/>
      <c r="M451" s="59"/>
      <c r="N451" s="59"/>
      <c r="O451" s="59"/>
      <c r="P451" s="20"/>
      <c r="Q451" s="20"/>
      <c r="R451" s="20"/>
      <c r="S451" s="20"/>
      <c r="T451" s="62"/>
      <c r="U451" s="62"/>
      <c r="V451" s="20"/>
      <c r="W451" s="20"/>
      <c r="X451" s="20"/>
      <c r="Y451" s="20"/>
      <c r="Z451" s="20"/>
      <c r="AA451" s="20"/>
    </row>
    <row r="452" spans="1:27" ht="15.75" customHeight="1">
      <c r="A452" s="48"/>
      <c r="B452" s="56"/>
      <c r="C452" s="56"/>
      <c r="D452" s="57"/>
      <c r="E452" s="20"/>
      <c r="F452" s="58"/>
      <c r="G452" s="20"/>
      <c r="H452" s="60"/>
      <c r="I452" s="60"/>
      <c r="J452" s="61"/>
      <c r="K452" s="61"/>
      <c r="L452" s="59"/>
      <c r="M452" s="59"/>
      <c r="N452" s="59"/>
      <c r="O452" s="59"/>
      <c r="P452" s="20"/>
      <c r="Q452" s="20"/>
      <c r="R452" s="20"/>
      <c r="S452" s="20"/>
      <c r="T452" s="62"/>
      <c r="U452" s="62"/>
      <c r="V452" s="20"/>
      <c r="W452" s="20"/>
      <c r="X452" s="20"/>
      <c r="Y452" s="20"/>
      <c r="Z452" s="20"/>
      <c r="AA452" s="20"/>
    </row>
    <row r="453" spans="1:27" ht="15.75" customHeight="1">
      <c r="A453" s="48"/>
      <c r="B453" s="56"/>
      <c r="C453" s="56"/>
      <c r="D453" s="57"/>
      <c r="E453" s="20"/>
      <c r="F453" s="58"/>
      <c r="G453" s="20"/>
      <c r="H453" s="60"/>
      <c r="I453" s="60"/>
      <c r="J453" s="61"/>
      <c r="K453" s="61"/>
      <c r="L453" s="59"/>
      <c r="M453" s="59"/>
      <c r="N453" s="59"/>
      <c r="O453" s="59"/>
      <c r="P453" s="20"/>
      <c r="Q453" s="20"/>
      <c r="R453" s="20"/>
      <c r="S453" s="20"/>
      <c r="T453" s="62"/>
      <c r="U453" s="62"/>
      <c r="V453" s="20"/>
      <c r="W453" s="20"/>
      <c r="X453" s="20"/>
      <c r="Y453" s="20"/>
      <c r="Z453" s="20"/>
      <c r="AA453" s="20"/>
    </row>
    <row r="454" spans="1:27" ht="15.75" customHeight="1">
      <c r="A454" s="48"/>
      <c r="B454" s="56"/>
      <c r="C454" s="56"/>
      <c r="D454" s="57"/>
      <c r="E454" s="20"/>
      <c r="F454" s="58"/>
      <c r="G454" s="20"/>
      <c r="H454" s="60"/>
      <c r="I454" s="60"/>
      <c r="J454" s="61"/>
      <c r="K454" s="61"/>
      <c r="L454" s="59"/>
      <c r="M454" s="59"/>
      <c r="N454" s="59"/>
      <c r="O454" s="59"/>
      <c r="P454" s="20"/>
      <c r="Q454" s="20"/>
      <c r="R454" s="20"/>
      <c r="S454" s="20"/>
      <c r="T454" s="62"/>
      <c r="U454" s="62"/>
      <c r="V454" s="20"/>
      <c r="W454" s="20"/>
      <c r="X454" s="20"/>
      <c r="Y454" s="20"/>
      <c r="Z454" s="20"/>
      <c r="AA454" s="20"/>
    </row>
    <row r="455" spans="1:27" ht="15.75" customHeight="1">
      <c r="A455" s="48"/>
      <c r="B455" s="56"/>
      <c r="C455" s="56"/>
      <c r="D455" s="57"/>
      <c r="E455" s="20"/>
      <c r="F455" s="58"/>
      <c r="G455" s="20"/>
      <c r="H455" s="60"/>
      <c r="I455" s="60"/>
      <c r="J455" s="61"/>
      <c r="K455" s="61"/>
      <c r="L455" s="59"/>
      <c r="M455" s="59"/>
      <c r="N455" s="59"/>
      <c r="O455" s="59"/>
      <c r="P455" s="20"/>
      <c r="Q455" s="20"/>
      <c r="R455" s="20"/>
      <c r="S455" s="20"/>
      <c r="T455" s="62"/>
      <c r="U455" s="62"/>
      <c r="V455" s="20"/>
      <c r="W455" s="20"/>
      <c r="X455" s="20"/>
      <c r="Y455" s="20"/>
      <c r="Z455" s="20"/>
      <c r="AA455" s="20"/>
    </row>
    <row r="456" spans="1:27" ht="15.75" customHeight="1">
      <c r="A456" s="48"/>
      <c r="B456" s="56"/>
      <c r="C456" s="56"/>
      <c r="D456" s="57"/>
      <c r="E456" s="20"/>
      <c r="F456" s="58"/>
      <c r="G456" s="20"/>
      <c r="H456" s="60"/>
      <c r="I456" s="60"/>
      <c r="J456" s="61"/>
      <c r="K456" s="61"/>
      <c r="L456" s="59"/>
      <c r="M456" s="59"/>
      <c r="N456" s="59"/>
      <c r="O456" s="59"/>
      <c r="P456" s="20"/>
      <c r="Q456" s="20"/>
      <c r="R456" s="20"/>
      <c r="S456" s="20"/>
      <c r="T456" s="62"/>
      <c r="U456" s="62"/>
      <c r="V456" s="20"/>
      <c r="W456" s="20"/>
      <c r="X456" s="20"/>
      <c r="Y456" s="20"/>
      <c r="Z456" s="20"/>
      <c r="AA456" s="20"/>
    </row>
    <row r="457" spans="1:27" ht="15.75" customHeight="1">
      <c r="A457" s="48"/>
      <c r="B457" s="56"/>
      <c r="C457" s="56"/>
      <c r="D457" s="57"/>
      <c r="E457" s="20"/>
      <c r="F457" s="58"/>
      <c r="G457" s="20"/>
      <c r="H457" s="60"/>
      <c r="I457" s="60"/>
      <c r="J457" s="61"/>
      <c r="K457" s="61"/>
      <c r="L457" s="59"/>
      <c r="M457" s="59"/>
      <c r="N457" s="59"/>
      <c r="O457" s="59"/>
      <c r="P457" s="20"/>
      <c r="Q457" s="20"/>
      <c r="R457" s="20"/>
      <c r="S457" s="20"/>
      <c r="T457" s="62"/>
      <c r="U457" s="62"/>
      <c r="V457" s="20"/>
      <c r="W457" s="20"/>
      <c r="X457" s="20"/>
      <c r="Y457" s="20"/>
      <c r="Z457" s="20"/>
      <c r="AA457" s="20"/>
    </row>
    <row r="458" spans="1:27" ht="15.75" customHeight="1">
      <c r="A458" s="48"/>
      <c r="B458" s="56"/>
      <c r="C458" s="56"/>
      <c r="D458" s="57"/>
      <c r="E458" s="20"/>
      <c r="F458" s="58"/>
      <c r="G458" s="20"/>
      <c r="H458" s="60"/>
      <c r="I458" s="60"/>
      <c r="J458" s="61"/>
      <c r="K458" s="61"/>
      <c r="L458" s="59"/>
      <c r="M458" s="59"/>
      <c r="N458" s="59"/>
      <c r="O458" s="59"/>
      <c r="P458" s="20"/>
      <c r="Q458" s="20"/>
      <c r="R458" s="20"/>
      <c r="S458" s="20"/>
      <c r="T458" s="62"/>
      <c r="U458" s="62"/>
      <c r="V458" s="20"/>
      <c r="W458" s="20"/>
      <c r="X458" s="20"/>
      <c r="Y458" s="20"/>
      <c r="Z458" s="20"/>
      <c r="AA458" s="20"/>
    </row>
    <row r="459" spans="1:27" ht="15.75" customHeight="1">
      <c r="A459" s="48"/>
      <c r="B459" s="56"/>
      <c r="C459" s="56"/>
      <c r="D459" s="57"/>
      <c r="E459" s="20"/>
      <c r="F459" s="58"/>
      <c r="G459" s="20"/>
      <c r="H459" s="60"/>
      <c r="I459" s="60"/>
      <c r="J459" s="61"/>
      <c r="K459" s="61"/>
      <c r="L459" s="59"/>
      <c r="M459" s="59"/>
      <c r="N459" s="59"/>
      <c r="O459" s="59"/>
      <c r="P459" s="20"/>
      <c r="Q459" s="20"/>
      <c r="R459" s="20"/>
      <c r="S459" s="20"/>
      <c r="T459" s="62"/>
      <c r="U459" s="62"/>
      <c r="V459" s="20"/>
      <c r="W459" s="20"/>
      <c r="X459" s="20"/>
      <c r="Y459" s="20"/>
      <c r="Z459" s="20"/>
      <c r="AA459" s="20"/>
    </row>
    <row r="460" spans="1:27" ht="15.75" customHeight="1">
      <c r="A460" s="48"/>
      <c r="B460" s="56"/>
      <c r="C460" s="56"/>
      <c r="D460" s="57"/>
      <c r="E460" s="20"/>
      <c r="F460" s="58"/>
      <c r="G460" s="20"/>
      <c r="H460" s="60"/>
      <c r="I460" s="60"/>
      <c r="J460" s="61"/>
      <c r="K460" s="61"/>
      <c r="L460" s="59"/>
      <c r="M460" s="59"/>
      <c r="N460" s="59"/>
      <c r="O460" s="59"/>
      <c r="P460" s="20"/>
      <c r="Q460" s="20"/>
      <c r="R460" s="20"/>
      <c r="S460" s="20"/>
      <c r="T460" s="62"/>
      <c r="U460" s="62"/>
      <c r="V460" s="20"/>
      <c r="W460" s="20"/>
      <c r="X460" s="20"/>
      <c r="Y460" s="20"/>
      <c r="Z460" s="20"/>
      <c r="AA460" s="20"/>
    </row>
    <row r="461" spans="1:27" ht="15.75" customHeight="1">
      <c r="A461" s="48"/>
      <c r="B461" s="56"/>
      <c r="C461" s="56"/>
      <c r="D461" s="57"/>
      <c r="E461" s="20"/>
      <c r="F461" s="58"/>
      <c r="G461" s="20"/>
      <c r="H461" s="60"/>
      <c r="I461" s="60"/>
      <c r="J461" s="61"/>
      <c r="K461" s="61"/>
      <c r="L461" s="59"/>
      <c r="M461" s="59"/>
      <c r="N461" s="59"/>
      <c r="O461" s="59"/>
      <c r="P461" s="20"/>
      <c r="Q461" s="20"/>
      <c r="R461" s="20"/>
      <c r="S461" s="20"/>
      <c r="T461" s="62"/>
      <c r="U461" s="62"/>
      <c r="V461" s="20"/>
      <c r="W461" s="20"/>
      <c r="X461" s="20"/>
      <c r="Y461" s="20"/>
      <c r="Z461" s="20"/>
      <c r="AA461" s="20"/>
    </row>
    <row r="462" spans="1:27" ht="15.75" customHeight="1">
      <c r="A462" s="48"/>
      <c r="B462" s="56"/>
      <c r="C462" s="56"/>
      <c r="D462" s="57"/>
      <c r="E462" s="20"/>
      <c r="F462" s="58"/>
      <c r="G462" s="20"/>
      <c r="H462" s="60"/>
      <c r="I462" s="60"/>
      <c r="J462" s="61"/>
      <c r="K462" s="61"/>
      <c r="L462" s="59"/>
      <c r="M462" s="59"/>
      <c r="N462" s="59"/>
      <c r="O462" s="59"/>
      <c r="P462" s="20"/>
      <c r="Q462" s="20"/>
      <c r="R462" s="20"/>
      <c r="S462" s="20"/>
      <c r="T462" s="62"/>
      <c r="U462" s="62"/>
      <c r="V462" s="20"/>
      <c r="W462" s="20"/>
      <c r="X462" s="20"/>
      <c r="Y462" s="20"/>
      <c r="Z462" s="20"/>
      <c r="AA462" s="20"/>
    </row>
    <row r="463" spans="1:27" ht="15.75" customHeight="1">
      <c r="A463" s="48"/>
      <c r="B463" s="56"/>
      <c r="C463" s="56"/>
      <c r="D463" s="57"/>
      <c r="E463" s="20"/>
      <c r="F463" s="58"/>
      <c r="G463" s="20"/>
      <c r="H463" s="60"/>
      <c r="I463" s="60"/>
      <c r="J463" s="61"/>
      <c r="K463" s="61"/>
      <c r="L463" s="59"/>
      <c r="M463" s="59"/>
      <c r="N463" s="59"/>
      <c r="O463" s="59"/>
      <c r="P463" s="20"/>
      <c r="Q463" s="20"/>
      <c r="R463" s="20"/>
      <c r="S463" s="20"/>
      <c r="T463" s="62"/>
      <c r="U463" s="62"/>
      <c r="V463" s="20"/>
      <c r="W463" s="20"/>
      <c r="X463" s="20"/>
      <c r="Y463" s="20"/>
      <c r="Z463" s="20"/>
      <c r="AA463" s="20"/>
    </row>
    <row r="464" spans="1:27" ht="15.75" customHeight="1">
      <c r="A464" s="48"/>
      <c r="B464" s="56"/>
      <c r="C464" s="56"/>
      <c r="D464" s="57"/>
      <c r="E464" s="20"/>
      <c r="F464" s="58"/>
      <c r="G464" s="20"/>
      <c r="H464" s="60"/>
      <c r="I464" s="60"/>
      <c r="J464" s="61"/>
      <c r="K464" s="61"/>
      <c r="L464" s="59"/>
      <c r="M464" s="59"/>
      <c r="N464" s="59"/>
      <c r="O464" s="59"/>
      <c r="P464" s="20"/>
      <c r="Q464" s="20"/>
      <c r="R464" s="20"/>
      <c r="S464" s="20"/>
      <c r="T464" s="62"/>
      <c r="U464" s="62"/>
      <c r="V464" s="20"/>
      <c r="W464" s="20"/>
      <c r="X464" s="20"/>
      <c r="Y464" s="20"/>
      <c r="Z464" s="20"/>
      <c r="AA464" s="20"/>
    </row>
    <row r="465" spans="1:27" ht="15.75" customHeight="1">
      <c r="A465" s="48"/>
      <c r="B465" s="56"/>
      <c r="C465" s="56"/>
      <c r="D465" s="57"/>
      <c r="E465" s="20"/>
      <c r="F465" s="58"/>
      <c r="G465" s="20"/>
      <c r="H465" s="60"/>
      <c r="I465" s="60"/>
      <c r="J465" s="61"/>
      <c r="K465" s="61"/>
      <c r="L465" s="59"/>
      <c r="M465" s="59"/>
      <c r="N465" s="59"/>
      <c r="O465" s="59"/>
      <c r="P465" s="20"/>
      <c r="Q465" s="20"/>
      <c r="R465" s="20"/>
      <c r="S465" s="20"/>
      <c r="T465" s="62"/>
      <c r="U465" s="62"/>
      <c r="V465" s="20"/>
      <c r="W465" s="20"/>
      <c r="X465" s="20"/>
      <c r="Y465" s="20"/>
      <c r="Z465" s="20"/>
      <c r="AA465" s="20"/>
    </row>
    <row r="466" spans="1:27" ht="15.75" customHeight="1">
      <c r="A466" s="48"/>
      <c r="B466" s="56"/>
      <c r="C466" s="56"/>
      <c r="D466" s="57"/>
      <c r="E466" s="20"/>
      <c r="F466" s="58"/>
      <c r="G466" s="20"/>
      <c r="H466" s="60"/>
      <c r="I466" s="60"/>
      <c r="J466" s="61"/>
      <c r="K466" s="61"/>
      <c r="L466" s="59"/>
      <c r="M466" s="59"/>
      <c r="N466" s="59"/>
      <c r="O466" s="59"/>
      <c r="P466" s="20"/>
      <c r="Q466" s="20"/>
      <c r="R466" s="20"/>
      <c r="S466" s="20"/>
      <c r="T466" s="62"/>
      <c r="U466" s="62"/>
      <c r="V466" s="20"/>
      <c r="W466" s="20"/>
      <c r="X466" s="20"/>
      <c r="Y466" s="20"/>
      <c r="Z466" s="20"/>
      <c r="AA466" s="20"/>
    </row>
    <row r="467" spans="1:27" ht="15.75" customHeight="1">
      <c r="A467" s="48"/>
      <c r="B467" s="56"/>
      <c r="C467" s="56"/>
      <c r="D467" s="57"/>
      <c r="E467" s="20"/>
      <c r="F467" s="58"/>
      <c r="G467" s="20"/>
      <c r="H467" s="60"/>
      <c r="I467" s="60"/>
      <c r="J467" s="61"/>
      <c r="K467" s="61"/>
      <c r="L467" s="59"/>
      <c r="M467" s="59"/>
      <c r="N467" s="59"/>
      <c r="O467" s="59"/>
      <c r="P467" s="20"/>
      <c r="Q467" s="20"/>
      <c r="R467" s="20"/>
      <c r="S467" s="20"/>
      <c r="T467" s="62"/>
      <c r="U467" s="62"/>
      <c r="V467" s="20"/>
      <c r="W467" s="20"/>
      <c r="X467" s="20"/>
      <c r="Y467" s="20"/>
      <c r="Z467" s="20"/>
      <c r="AA467" s="20"/>
    </row>
    <row r="468" spans="1:27" ht="15.75" customHeight="1">
      <c r="A468" s="48"/>
      <c r="B468" s="56"/>
      <c r="C468" s="56"/>
      <c r="D468" s="57"/>
      <c r="E468" s="20"/>
      <c r="F468" s="58"/>
      <c r="G468" s="20"/>
      <c r="H468" s="60"/>
      <c r="I468" s="60"/>
      <c r="J468" s="61"/>
      <c r="K468" s="61"/>
      <c r="L468" s="59"/>
      <c r="M468" s="59"/>
      <c r="N468" s="59"/>
      <c r="O468" s="59"/>
      <c r="P468" s="20"/>
      <c r="Q468" s="20"/>
      <c r="R468" s="20"/>
      <c r="S468" s="20"/>
      <c r="T468" s="62"/>
      <c r="U468" s="62"/>
      <c r="V468" s="20"/>
      <c r="W468" s="20"/>
      <c r="X468" s="20"/>
      <c r="Y468" s="20"/>
      <c r="Z468" s="20"/>
      <c r="AA468" s="20"/>
    </row>
    <row r="469" spans="1:27" ht="15.75" customHeight="1">
      <c r="A469" s="48"/>
      <c r="B469" s="56"/>
      <c r="C469" s="56"/>
      <c r="D469" s="57"/>
      <c r="E469" s="20"/>
      <c r="F469" s="58"/>
      <c r="G469" s="20"/>
      <c r="H469" s="60"/>
      <c r="I469" s="60"/>
      <c r="J469" s="61"/>
      <c r="K469" s="61"/>
      <c r="L469" s="59"/>
      <c r="M469" s="59"/>
      <c r="N469" s="59"/>
      <c r="O469" s="59"/>
      <c r="P469" s="20"/>
      <c r="Q469" s="20"/>
      <c r="R469" s="20"/>
      <c r="S469" s="20"/>
      <c r="T469" s="62"/>
      <c r="U469" s="62"/>
      <c r="V469" s="20"/>
      <c r="W469" s="20"/>
      <c r="X469" s="20"/>
      <c r="Y469" s="20"/>
      <c r="Z469" s="20"/>
      <c r="AA469" s="20"/>
    </row>
    <row r="470" spans="1:27" ht="15.75" customHeight="1">
      <c r="A470" s="48"/>
      <c r="B470" s="56"/>
      <c r="C470" s="56"/>
      <c r="D470" s="57"/>
      <c r="E470" s="20"/>
      <c r="F470" s="58"/>
      <c r="G470" s="20"/>
      <c r="H470" s="60"/>
      <c r="I470" s="60"/>
      <c r="J470" s="61"/>
      <c r="K470" s="61"/>
      <c r="L470" s="59"/>
      <c r="M470" s="59"/>
      <c r="N470" s="59"/>
      <c r="O470" s="59"/>
      <c r="P470" s="20"/>
      <c r="Q470" s="20"/>
      <c r="R470" s="20"/>
      <c r="S470" s="20"/>
      <c r="T470" s="62"/>
      <c r="U470" s="62"/>
      <c r="V470" s="20"/>
      <c r="W470" s="20"/>
      <c r="X470" s="20"/>
      <c r="Y470" s="20"/>
      <c r="Z470" s="20"/>
      <c r="AA470" s="20"/>
    </row>
    <row r="471" spans="1:27" ht="15.75" customHeight="1">
      <c r="A471" s="48"/>
      <c r="B471" s="56"/>
      <c r="C471" s="56"/>
      <c r="D471" s="57"/>
      <c r="E471" s="20"/>
      <c r="F471" s="58"/>
      <c r="G471" s="20"/>
      <c r="H471" s="60"/>
      <c r="I471" s="60"/>
      <c r="J471" s="61"/>
      <c r="K471" s="61"/>
      <c r="L471" s="59"/>
      <c r="M471" s="59"/>
      <c r="N471" s="59"/>
      <c r="O471" s="59"/>
      <c r="P471" s="20"/>
      <c r="Q471" s="20"/>
      <c r="R471" s="20"/>
      <c r="S471" s="20"/>
      <c r="T471" s="62"/>
      <c r="U471" s="62"/>
      <c r="V471" s="20"/>
      <c r="W471" s="20"/>
      <c r="X471" s="20"/>
      <c r="Y471" s="20"/>
      <c r="Z471" s="20"/>
      <c r="AA471" s="20"/>
    </row>
    <row r="472" spans="1:27" ht="15.75" customHeight="1">
      <c r="A472" s="48"/>
      <c r="B472" s="56"/>
      <c r="C472" s="56"/>
      <c r="D472" s="57"/>
      <c r="E472" s="20"/>
      <c r="F472" s="58"/>
      <c r="G472" s="20"/>
      <c r="H472" s="60"/>
      <c r="I472" s="60"/>
      <c r="J472" s="61"/>
      <c r="K472" s="61"/>
      <c r="L472" s="59"/>
      <c r="M472" s="59"/>
      <c r="N472" s="59"/>
      <c r="O472" s="59"/>
      <c r="P472" s="20"/>
      <c r="Q472" s="20"/>
      <c r="R472" s="20"/>
      <c r="S472" s="20"/>
      <c r="T472" s="62"/>
      <c r="U472" s="62"/>
      <c r="V472" s="20"/>
      <c r="W472" s="20"/>
      <c r="X472" s="20"/>
      <c r="Y472" s="20"/>
      <c r="Z472" s="20"/>
      <c r="AA472" s="20"/>
    </row>
    <row r="473" spans="1:27" ht="15.75" customHeight="1">
      <c r="A473" s="48"/>
      <c r="B473" s="56"/>
      <c r="C473" s="56"/>
      <c r="D473" s="57"/>
      <c r="E473" s="20"/>
      <c r="F473" s="58"/>
      <c r="G473" s="20"/>
      <c r="H473" s="60"/>
      <c r="I473" s="60"/>
      <c r="J473" s="61"/>
      <c r="K473" s="61"/>
      <c r="L473" s="59"/>
      <c r="M473" s="59"/>
      <c r="N473" s="59"/>
      <c r="O473" s="59"/>
      <c r="P473" s="20"/>
      <c r="Q473" s="20"/>
      <c r="R473" s="20"/>
      <c r="S473" s="20"/>
      <c r="T473" s="62"/>
      <c r="U473" s="62"/>
      <c r="V473" s="20"/>
      <c r="W473" s="20"/>
      <c r="X473" s="20"/>
      <c r="Y473" s="20"/>
      <c r="Z473" s="20"/>
      <c r="AA473" s="20"/>
    </row>
    <row r="474" spans="1:27" ht="15.75" customHeight="1">
      <c r="A474" s="48"/>
      <c r="B474" s="56"/>
      <c r="C474" s="56"/>
      <c r="D474" s="57"/>
      <c r="E474" s="20"/>
      <c r="F474" s="58"/>
      <c r="G474" s="20"/>
      <c r="H474" s="60"/>
      <c r="I474" s="60"/>
      <c r="J474" s="61"/>
      <c r="K474" s="61"/>
      <c r="L474" s="59"/>
      <c r="M474" s="59"/>
      <c r="N474" s="59"/>
      <c r="O474" s="59"/>
      <c r="P474" s="20"/>
      <c r="Q474" s="20"/>
      <c r="R474" s="20"/>
      <c r="S474" s="20"/>
      <c r="T474" s="62"/>
      <c r="U474" s="62"/>
      <c r="V474" s="20"/>
      <c r="W474" s="20"/>
      <c r="X474" s="20"/>
      <c r="Y474" s="20"/>
      <c r="Z474" s="20"/>
      <c r="AA474" s="20"/>
    </row>
    <row r="475" spans="1:27" ht="15.75" customHeight="1">
      <c r="A475" s="48"/>
      <c r="B475" s="56"/>
      <c r="C475" s="56"/>
      <c r="D475" s="57"/>
      <c r="E475" s="20"/>
      <c r="F475" s="58"/>
      <c r="G475" s="20"/>
      <c r="H475" s="60"/>
      <c r="I475" s="60"/>
      <c r="J475" s="61"/>
      <c r="K475" s="61"/>
      <c r="L475" s="59"/>
      <c r="M475" s="59"/>
      <c r="N475" s="59"/>
      <c r="O475" s="59"/>
      <c r="P475" s="20"/>
      <c r="Q475" s="20"/>
      <c r="R475" s="20"/>
      <c r="S475" s="20"/>
      <c r="T475" s="62"/>
      <c r="U475" s="62"/>
      <c r="V475" s="20"/>
      <c r="W475" s="20"/>
      <c r="X475" s="20"/>
      <c r="Y475" s="20"/>
      <c r="Z475" s="20"/>
      <c r="AA475" s="20"/>
    </row>
    <row r="476" spans="1:27" ht="15.75" customHeight="1">
      <c r="A476" s="48"/>
      <c r="B476" s="56"/>
      <c r="C476" s="56"/>
      <c r="D476" s="57"/>
      <c r="E476" s="20"/>
      <c r="F476" s="58"/>
      <c r="G476" s="20"/>
      <c r="H476" s="60"/>
      <c r="I476" s="60"/>
      <c r="J476" s="61"/>
      <c r="K476" s="61"/>
      <c r="L476" s="59"/>
      <c r="M476" s="59"/>
      <c r="N476" s="59"/>
      <c r="O476" s="59"/>
      <c r="P476" s="20"/>
      <c r="Q476" s="20"/>
      <c r="R476" s="20"/>
      <c r="S476" s="20"/>
      <c r="T476" s="62"/>
      <c r="U476" s="62"/>
      <c r="V476" s="20"/>
      <c r="W476" s="20"/>
      <c r="X476" s="20"/>
      <c r="Y476" s="20"/>
      <c r="Z476" s="20"/>
      <c r="AA476" s="20"/>
    </row>
    <row r="477" spans="1:27" ht="15.75" customHeight="1">
      <c r="A477" s="48"/>
      <c r="B477" s="56"/>
      <c r="C477" s="56"/>
      <c r="D477" s="57"/>
      <c r="E477" s="20"/>
      <c r="F477" s="58"/>
      <c r="G477" s="20"/>
      <c r="H477" s="60"/>
      <c r="I477" s="60"/>
      <c r="J477" s="61"/>
      <c r="K477" s="61"/>
      <c r="L477" s="59"/>
      <c r="M477" s="59"/>
      <c r="N477" s="59"/>
      <c r="O477" s="59"/>
      <c r="P477" s="20"/>
      <c r="Q477" s="20"/>
      <c r="R477" s="20"/>
      <c r="S477" s="20"/>
      <c r="T477" s="62"/>
      <c r="U477" s="62"/>
      <c r="V477" s="20"/>
      <c r="W477" s="20"/>
      <c r="X477" s="20"/>
      <c r="Y477" s="20"/>
      <c r="Z477" s="20"/>
      <c r="AA477" s="20"/>
    </row>
    <row r="478" spans="1:27" ht="15.75" customHeight="1">
      <c r="A478" s="48"/>
      <c r="B478" s="56"/>
      <c r="C478" s="56"/>
      <c r="D478" s="57"/>
      <c r="E478" s="20"/>
      <c r="F478" s="58"/>
      <c r="G478" s="20"/>
      <c r="H478" s="60"/>
      <c r="I478" s="60"/>
      <c r="J478" s="61"/>
      <c r="K478" s="61"/>
      <c r="L478" s="59"/>
      <c r="M478" s="59"/>
      <c r="N478" s="59"/>
      <c r="O478" s="59"/>
      <c r="P478" s="20"/>
      <c r="Q478" s="20"/>
      <c r="R478" s="20"/>
      <c r="S478" s="20"/>
      <c r="T478" s="62"/>
      <c r="U478" s="62"/>
      <c r="V478" s="20"/>
      <c r="W478" s="20"/>
      <c r="X478" s="20"/>
      <c r="Y478" s="20"/>
      <c r="Z478" s="20"/>
      <c r="AA478" s="20"/>
    </row>
    <row r="479" spans="1:27" ht="15.75" customHeight="1">
      <c r="A479" s="48"/>
      <c r="B479" s="56"/>
      <c r="C479" s="56"/>
      <c r="D479" s="57"/>
      <c r="E479" s="20"/>
      <c r="F479" s="58"/>
      <c r="G479" s="20"/>
      <c r="H479" s="60"/>
      <c r="I479" s="60"/>
      <c r="J479" s="61"/>
      <c r="K479" s="61"/>
      <c r="L479" s="59"/>
      <c r="M479" s="59"/>
      <c r="N479" s="59"/>
      <c r="O479" s="59"/>
      <c r="P479" s="20"/>
      <c r="Q479" s="20"/>
      <c r="R479" s="20"/>
      <c r="S479" s="20"/>
      <c r="T479" s="62"/>
      <c r="U479" s="62"/>
      <c r="V479" s="20"/>
      <c r="W479" s="20"/>
      <c r="X479" s="20"/>
      <c r="Y479" s="20"/>
      <c r="Z479" s="20"/>
      <c r="AA479" s="20"/>
    </row>
    <row r="480" spans="1:27" ht="15.75" customHeight="1">
      <c r="A480" s="48"/>
      <c r="B480" s="56"/>
      <c r="C480" s="56"/>
      <c r="D480" s="57"/>
      <c r="E480" s="20"/>
      <c r="F480" s="58"/>
      <c r="G480" s="20"/>
      <c r="H480" s="60"/>
      <c r="I480" s="60"/>
      <c r="J480" s="61"/>
      <c r="K480" s="61"/>
      <c r="L480" s="59"/>
      <c r="M480" s="59"/>
      <c r="N480" s="59"/>
      <c r="O480" s="59"/>
      <c r="P480" s="20"/>
      <c r="Q480" s="20"/>
      <c r="R480" s="20"/>
      <c r="S480" s="20"/>
      <c r="T480" s="62"/>
      <c r="U480" s="62"/>
      <c r="V480" s="20"/>
      <c r="W480" s="20"/>
      <c r="X480" s="20"/>
      <c r="Y480" s="20"/>
      <c r="Z480" s="20"/>
      <c r="AA480" s="20"/>
    </row>
    <row r="481" spans="1:27" ht="15.75" customHeight="1">
      <c r="A481" s="48"/>
      <c r="B481" s="56"/>
      <c r="C481" s="56"/>
      <c r="D481" s="57"/>
      <c r="E481" s="20"/>
      <c r="F481" s="58"/>
      <c r="G481" s="20"/>
      <c r="H481" s="60"/>
      <c r="I481" s="60"/>
      <c r="J481" s="61"/>
      <c r="K481" s="61"/>
      <c r="L481" s="59"/>
      <c r="M481" s="59"/>
      <c r="N481" s="59"/>
      <c r="O481" s="59"/>
      <c r="P481" s="20"/>
      <c r="Q481" s="20"/>
      <c r="R481" s="20"/>
      <c r="S481" s="20"/>
      <c r="T481" s="62"/>
      <c r="U481" s="62"/>
      <c r="V481" s="20"/>
      <c r="W481" s="20"/>
      <c r="X481" s="20"/>
      <c r="Y481" s="20"/>
      <c r="Z481" s="20"/>
      <c r="AA481" s="20"/>
    </row>
    <row r="482" spans="1:27" ht="15.75" customHeight="1">
      <c r="A482" s="48"/>
      <c r="B482" s="56"/>
      <c r="C482" s="56"/>
      <c r="D482" s="57"/>
      <c r="E482" s="20"/>
      <c r="F482" s="58"/>
      <c r="G482" s="20"/>
      <c r="H482" s="60"/>
      <c r="I482" s="60"/>
      <c r="J482" s="61"/>
      <c r="K482" s="61"/>
      <c r="L482" s="59"/>
      <c r="M482" s="59"/>
      <c r="N482" s="59"/>
      <c r="O482" s="59"/>
      <c r="P482" s="20"/>
      <c r="Q482" s="20"/>
      <c r="R482" s="20"/>
      <c r="S482" s="20"/>
      <c r="T482" s="62"/>
      <c r="U482" s="62"/>
      <c r="V482" s="20"/>
      <c r="W482" s="20"/>
      <c r="X482" s="20"/>
      <c r="Y482" s="20"/>
      <c r="Z482" s="20"/>
      <c r="AA482" s="20"/>
    </row>
    <row r="483" spans="1:27" ht="15.75" customHeight="1">
      <c r="A483" s="48"/>
      <c r="B483" s="56"/>
      <c r="C483" s="56"/>
      <c r="D483" s="57"/>
      <c r="E483" s="20"/>
      <c r="F483" s="58"/>
      <c r="G483" s="20"/>
      <c r="H483" s="60"/>
      <c r="I483" s="60"/>
      <c r="J483" s="61"/>
      <c r="K483" s="61"/>
      <c r="L483" s="59"/>
      <c r="M483" s="59"/>
      <c r="N483" s="59"/>
      <c r="O483" s="59"/>
      <c r="P483" s="20"/>
      <c r="Q483" s="20"/>
      <c r="R483" s="20"/>
      <c r="S483" s="20"/>
      <c r="T483" s="62"/>
      <c r="U483" s="62"/>
      <c r="V483" s="20"/>
      <c r="W483" s="20"/>
      <c r="X483" s="20"/>
      <c r="Y483" s="20"/>
      <c r="Z483" s="20"/>
      <c r="AA483" s="20"/>
    </row>
    <row r="484" spans="1:27" ht="15.75" customHeight="1">
      <c r="A484" s="48"/>
      <c r="B484" s="56"/>
      <c r="C484" s="56"/>
      <c r="D484" s="57"/>
      <c r="E484" s="20"/>
      <c r="F484" s="58"/>
      <c r="G484" s="20"/>
      <c r="H484" s="60"/>
      <c r="I484" s="60"/>
      <c r="J484" s="61"/>
      <c r="K484" s="61"/>
      <c r="L484" s="59"/>
      <c r="M484" s="59"/>
      <c r="N484" s="59"/>
      <c r="O484" s="59"/>
      <c r="P484" s="20"/>
      <c r="Q484" s="20"/>
      <c r="R484" s="20"/>
      <c r="S484" s="20"/>
      <c r="T484" s="62"/>
      <c r="U484" s="62"/>
      <c r="V484" s="20"/>
      <c r="W484" s="20"/>
      <c r="X484" s="20"/>
      <c r="Y484" s="20"/>
      <c r="Z484" s="20"/>
      <c r="AA484" s="20"/>
    </row>
    <row r="485" spans="1:27" ht="15.75" customHeight="1">
      <c r="A485" s="48"/>
      <c r="B485" s="56"/>
      <c r="C485" s="56"/>
      <c r="D485" s="57"/>
      <c r="E485" s="20"/>
      <c r="F485" s="58"/>
      <c r="G485" s="20"/>
      <c r="H485" s="60"/>
      <c r="I485" s="60"/>
      <c r="J485" s="61"/>
      <c r="K485" s="61"/>
      <c r="L485" s="59"/>
      <c r="M485" s="59"/>
      <c r="N485" s="59"/>
      <c r="O485" s="59"/>
      <c r="P485" s="20"/>
      <c r="Q485" s="20"/>
      <c r="R485" s="20"/>
      <c r="S485" s="20"/>
      <c r="T485" s="62"/>
      <c r="U485" s="62"/>
      <c r="V485" s="20"/>
      <c r="W485" s="20"/>
      <c r="X485" s="20"/>
      <c r="Y485" s="20"/>
      <c r="Z485" s="20"/>
      <c r="AA485" s="20"/>
    </row>
    <row r="486" spans="1:27" ht="15.75" customHeight="1">
      <c r="A486" s="48"/>
      <c r="B486" s="56"/>
      <c r="C486" s="56"/>
      <c r="D486" s="57"/>
      <c r="E486" s="20"/>
      <c r="F486" s="58"/>
      <c r="G486" s="20"/>
      <c r="H486" s="60"/>
      <c r="I486" s="60"/>
      <c r="J486" s="61"/>
      <c r="K486" s="61"/>
      <c r="L486" s="59"/>
      <c r="M486" s="59"/>
      <c r="N486" s="59"/>
      <c r="O486" s="59"/>
      <c r="P486" s="20"/>
      <c r="Q486" s="20"/>
      <c r="R486" s="20"/>
      <c r="S486" s="20"/>
      <c r="T486" s="62"/>
      <c r="U486" s="62"/>
      <c r="V486" s="20"/>
      <c r="W486" s="20"/>
      <c r="X486" s="20"/>
      <c r="Y486" s="20"/>
      <c r="Z486" s="20"/>
      <c r="AA486" s="20"/>
    </row>
    <row r="487" spans="1:27" ht="15.75" customHeight="1">
      <c r="A487" s="48"/>
      <c r="B487" s="56"/>
      <c r="C487" s="56"/>
      <c r="D487" s="57"/>
      <c r="E487" s="20"/>
      <c r="F487" s="58"/>
      <c r="G487" s="20"/>
      <c r="H487" s="60"/>
      <c r="I487" s="60"/>
      <c r="J487" s="61"/>
      <c r="K487" s="61"/>
      <c r="L487" s="59"/>
      <c r="M487" s="59"/>
      <c r="N487" s="59"/>
      <c r="O487" s="59"/>
      <c r="P487" s="20"/>
      <c r="Q487" s="20"/>
      <c r="R487" s="20"/>
      <c r="S487" s="20"/>
      <c r="T487" s="62"/>
      <c r="U487" s="62"/>
      <c r="V487" s="20"/>
      <c r="W487" s="20"/>
      <c r="X487" s="20"/>
      <c r="Y487" s="20"/>
      <c r="Z487" s="20"/>
      <c r="AA487" s="20"/>
    </row>
    <row r="488" spans="1:27" ht="15.75" customHeight="1">
      <c r="A488" s="48"/>
      <c r="B488" s="56"/>
      <c r="C488" s="56"/>
      <c r="D488" s="57"/>
      <c r="E488" s="20"/>
      <c r="F488" s="58"/>
      <c r="G488" s="20"/>
      <c r="H488" s="60"/>
      <c r="I488" s="60"/>
      <c r="J488" s="61"/>
      <c r="K488" s="61"/>
      <c r="L488" s="59"/>
      <c r="M488" s="59"/>
      <c r="N488" s="59"/>
      <c r="O488" s="59"/>
      <c r="P488" s="20"/>
      <c r="Q488" s="20"/>
      <c r="R488" s="20"/>
      <c r="S488" s="20"/>
      <c r="T488" s="62"/>
      <c r="U488" s="62"/>
      <c r="V488" s="20"/>
      <c r="W488" s="20"/>
      <c r="X488" s="20"/>
      <c r="Y488" s="20"/>
      <c r="Z488" s="20"/>
      <c r="AA488" s="20"/>
    </row>
    <row r="489" spans="1:27" ht="15.75" customHeight="1">
      <c r="A489" s="48"/>
      <c r="B489" s="56"/>
      <c r="C489" s="56"/>
      <c r="D489" s="57"/>
      <c r="E489" s="20"/>
      <c r="F489" s="58"/>
      <c r="G489" s="20"/>
      <c r="H489" s="60"/>
      <c r="I489" s="60"/>
      <c r="J489" s="61"/>
      <c r="K489" s="61"/>
      <c r="L489" s="59"/>
      <c r="M489" s="59"/>
      <c r="N489" s="59"/>
      <c r="O489" s="59"/>
      <c r="P489" s="20"/>
      <c r="Q489" s="20"/>
      <c r="R489" s="20"/>
      <c r="S489" s="20"/>
      <c r="T489" s="62"/>
      <c r="U489" s="62"/>
      <c r="V489" s="20"/>
      <c r="W489" s="20"/>
      <c r="X489" s="20"/>
      <c r="Y489" s="20"/>
      <c r="Z489" s="20"/>
      <c r="AA489" s="20"/>
    </row>
    <row r="490" spans="1:27" ht="15.75" customHeight="1">
      <c r="A490" s="48"/>
      <c r="B490" s="56"/>
      <c r="C490" s="56"/>
      <c r="D490" s="57"/>
      <c r="E490" s="20"/>
      <c r="F490" s="58"/>
      <c r="G490" s="20"/>
      <c r="H490" s="60"/>
      <c r="I490" s="60"/>
      <c r="J490" s="61"/>
      <c r="K490" s="61"/>
      <c r="L490" s="59"/>
      <c r="M490" s="59"/>
      <c r="N490" s="59"/>
      <c r="O490" s="59"/>
      <c r="P490" s="20"/>
      <c r="Q490" s="20"/>
      <c r="R490" s="20"/>
      <c r="S490" s="20"/>
      <c r="T490" s="62"/>
      <c r="U490" s="62"/>
      <c r="V490" s="20"/>
      <c r="W490" s="20"/>
      <c r="X490" s="20"/>
      <c r="Y490" s="20"/>
      <c r="Z490" s="20"/>
      <c r="AA490" s="20"/>
    </row>
    <row r="491" spans="1:27" ht="15.75" customHeight="1">
      <c r="A491" s="48"/>
      <c r="B491" s="56"/>
      <c r="C491" s="56"/>
      <c r="D491" s="57"/>
      <c r="E491" s="20"/>
      <c r="F491" s="58"/>
      <c r="G491" s="20"/>
      <c r="H491" s="60"/>
      <c r="I491" s="60"/>
      <c r="J491" s="61"/>
      <c r="K491" s="61"/>
      <c r="L491" s="59"/>
      <c r="M491" s="59"/>
      <c r="N491" s="59"/>
      <c r="O491" s="59"/>
      <c r="P491" s="20"/>
      <c r="Q491" s="20"/>
      <c r="R491" s="20"/>
      <c r="S491" s="20"/>
      <c r="T491" s="62"/>
      <c r="U491" s="62"/>
      <c r="V491" s="20"/>
      <c r="W491" s="20"/>
      <c r="X491" s="20"/>
      <c r="Y491" s="20"/>
      <c r="Z491" s="20"/>
      <c r="AA491" s="20"/>
    </row>
    <row r="492" spans="1:27" ht="15.75" customHeight="1">
      <c r="A492" s="48"/>
      <c r="B492" s="56"/>
      <c r="C492" s="56"/>
      <c r="D492" s="57"/>
      <c r="E492" s="20"/>
      <c r="F492" s="58"/>
      <c r="G492" s="20"/>
      <c r="H492" s="60"/>
      <c r="I492" s="60"/>
      <c r="J492" s="61"/>
      <c r="K492" s="61"/>
      <c r="L492" s="59"/>
      <c r="M492" s="59"/>
      <c r="N492" s="59"/>
      <c r="O492" s="59"/>
      <c r="P492" s="20"/>
      <c r="Q492" s="20"/>
      <c r="R492" s="20"/>
      <c r="S492" s="20"/>
      <c r="T492" s="62"/>
      <c r="U492" s="62"/>
      <c r="V492" s="20"/>
      <c r="W492" s="20"/>
      <c r="X492" s="20"/>
      <c r="Y492" s="20"/>
      <c r="Z492" s="20"/>
      <c r="AA492" s="20"/>
    </row>
    <row r="493" spans="1:27" ht="15.75" customHeight="1">
      <c r="A493" s="48"/>
      <c r="B493" s="56"/>
      <c r="C493" s="56"/>
      <c r="D493" s="57"/>
      <c r="E493" s="20"/>
      <c r="F493" s="58"/>
      <c r="G493" s="20"/>
      <c r="H493" s="60"/>
      <c r="I493" s="60"/>
      <c r="J493" s="61"/>
      <c r="K493" s="61"/>
      <c r="L493" s="59"/>
      <c r="M493" s="59"/>
      <c r="N493" s="59"/>
      <c r="O493" s="59"/>
      <c r="P493" s="20"/>
      <c r="Q493" s="20"/>
      <c r="R493" s="20"/>
      <c r="S493" s="20"/>
      <c r="T493" s="62"/>
      <c r="U493" s="62"/>
      <c r="V493" s="20"/>
      <c r="W493" s="20"/>
      <c r="X493" s="20"/>
      <c r="Y493" s="20"/>
      <c r="Z493" s="20"/>
      <c r="AA493" s="20"/>
    </row>
    <row r="494" spans="1:27" ht="15.75" customHeight="1">
      <c r="A494" s="48"/>
      <c r="B494" s="56"/>
      <c r="C494" s="56"/>
      <c r="D494" s="57"/>
      <c r="E494" s="20"/>
      <c r="F494" s="58"/>
      <c r="G494" s="20"/>
      <c r="H494" s="60"/>
      <c r="I494" s="60"/>
      <c r="J494" s="61"/>
      <c r="K494" s="61"/>
      <c r="L494" s="59"/>
      <c r="M494" s="59"/>
      <c r="N494" s="59"/>
      <c r="O494" s="59"/>
      <c r="P494" s="20"/>
      <c r="Q494" s="20"/>
      <c r="R494" s="20"/>
      <c r="S494" s="20"/>
      <c r="T494" s="62"/>
      <c r="U494" s="62"/>
      <c r="V494" s="20"/>
      <c r="W494" s="20"/>
      <c r="X494" s="20"/>
      <c r="Y494" s="20"/>
      <c r="Z494" s="20"/>
      <c r="AA494" s="20"/>
    </row>
    <row r="495" spans="1:27" ht="15.75" customHeight="1">
      <c r="A495" s="48"/>
      <c r="B495" s="56"/>
      <c r="C495" s="56"/>
      <c r="D495" s="57"/>
      <c r="E495" s="20"/>
      <c r="F495" s="58"/>
      <c r="G495" s="20"/>
      <c r="H495" s="60"/>
      <c r="I495" s="60"/>
      <c r="J495" s="61"/>
      <c r="K495" s="61"/>
      <c r="L495" s="59"/>
      <c r="M495" s="59"/>
      <c r="N495" s="59"/>
      <c r="O495" s="59"/>
      <c r="P495" s="20"/>
      <c r="Q495" s="20"/>
      <c r="R495" s="20"/>
      <c r="S495" s="20"/>
      <c r="T495" s="62"/>
      <c r="U495" s="62"/>
      <c r="V495" s="20"/>
      <c r="W495" s="20"/>
      <c r="X495" s="20"/>
      <c r="Y495" s="20"/>
      <c r="Z495" s="20"/>
      <c r="AA495" s="20"/>
    </row>
    <row r="496" spans="1:27" ht="15.75" customHeight="1">
      <c r="A496" s="48"/>
      <c r="B496" s="56"/>
      <c r="C496" s="56"/>
      <c r="D496" s="57"/>
      <c r="E496" s="20"/>
      <c r="F496" s="58"/>
      <c r="G496" s="20"/>
      <c r="H496" s="60"/>
      <c r="I496" s="60"/>
      <c r="J496" s="61"/>
      <c r="K496" s="61"/>
      <c r="L496" s="59"/>
      <c r="M496" s="59"/>
      <c r="N496" s="59"/>
      <c r="O496" s="59"/>
      <c r="P496" s="20"/>
      <c r="Q496" s="20"/>
      <c r="R496" s="20"/>
      <c r="S496" s="20"/>
      <c r="T496" s="62"/>
      <c r="U496" s="62"/>
      <c r="V496" s="20"/>
      <c r="W496" s="20"/>
      <c r="X496" s="20"/>
      <c r="Y496" s="20"/>
      <c r="Z496" s="20"/>
      <c r="AA496" s="20"/>
    </row>
    <row r="497" spans="1:27" ht="15.75" customHeight="1">
      <c r="A497" s="48"/>
      <c r="B497" s="56"/>
      <c r="C497" s="56"/>
      <c r="D497" s="57"/>
      <c r="E497" s="20"/>
      <c r="F497" s="58"/>
      <c r="G497" s="20"/>
      <c r="H497" s="60"/>
      <c r="I497" s="60"/>
      <c r="J497" s="61"/>
      <c r="K497" s="61"/>
      <c r="L497" s="59"/>
      <c r="M497" s="59"/>
      <c r="N497" s="59"/>
      <c r="O497" s="59"/>
      <c r="P497" s="20"/>
      <c r="Q497" s="20"/>
      <c r="R497" s="20"/>
      <c r="S497" s="20"/>
      <c r="T497" s="62"/>
      <c r="U497" s="62"/>
      <c r="V497" s="20"/>
      <c r="W497" s="20"/>
      <c r="X497" s="20"/>
      <c r="Y497" s="20"/>
      <c r="Z497" s="20"/>
      <c r="AA497" s="20"/>
    </row>
    <row r="498" spans="1:27" ht="15.75" customHeight="1">
      <c r="A498" s="48"/>
      <c r="B498" s="56"/>
      <c r="C498" s="56"/>
      <c r="D498" s="57"/>
      <c r="E498" s="20"/>
      <c r="F498" s="58"/>
      <c r="G498" s="20"/>
      <c r="H498" s="60"/>
      <c r="I498" s="60"/>
      <c r="J498" s="61"/>
      <c r="K498" s="61"/>
      <c r="L498" s="59"/>
      <c r="M498" s="59"/>
      <c r="N498" s="59"/>
      <c r="O498" s="59"/>
      <c r="P498" s="20"/>
      <c r="Q498" s="20"/>
      <c r="R498" s="20"/>
      <c r="S498" s="20"/>
      <c r="T498" s="62"/>
      <c r="U498" s="62"/>
      <c r="V498" s="20"/>
      <c r="W498" s="20"/>
      <c r="X498" s="20"/>
      <c r="Y498" s="20"/>
      <c r="Z498" s="20"/>
      <c r="AA498" s="20"/>
    </row>
    <row r="499" spans="1:27" ht="15.75" customHeight="1">
      <c r="A499" s="48"/>
      <c r="B499" s="56"/>
      <c r="C499" s="56"/>
      <c r="D499" s="57"/>
      <c r="E499" s="20"/>
      <c r="F499" s="58"/>
      <c r="G499" s="20"/>
      <c r="H499" s="60"/>
      <c r="I499" s="60"/>
      <c r="J499" s="61"/>
      <c r="K499" s="61"/>
      <c r="L499" s="59"/>
      <c r="M499" s="59"/>
      <c r="N499" s="59"/>
      <c r="O499" s="59"/>
      <c r="P499" s="20"/>
      <c r="Q499" s="20"/>
      <c r="R499" s="20"/>
      <c r="S499" s="20"/>
      <c r="T499" s="62"/>
      <c r="U499" s="62"/>
      <c r="V499" s="20"/>
      <c r="W499" s="20"/>
      <c r="X499" s="20"/>
      <c r="Y499" s="20"/>
      <c r="Z499" s="20"/>
      <c r="AA499" s="20"/>
    </row>
    <row r="500" spans="1:27" ht="15.75" customHeight="1">
      <c r="A500" s="48"/>
      <c r="B500" s="56"/>
      <c r="C500" s="56"/>
      <c r="D500" s="57"/>
      <c r="E500" s="20"/>
      <c r="F500" s="58"/>
      <c r="G500" s="20"/>
      <c r="H500" s="60"/>
      <c r="I500" s="60"/>
      <c r="J500" s="61"/>
      <c r="K500" s="61"/>
      <c r="L500" s="59"/>
      <c r="M500" s="59"/>
      <c r="N500" s="59"/>
      <c r="O500" s="59"/>
      <c r="P500" s="20"/>
      <c r="Q500" s="20"/>
      <c r="R500" s="20"/>
      <c r="S500" s="20"/>
      <c r="T500" s="62"/>
      <c r="U500" s="62"/>
      <c r="V500" s="20"/>
      <c r="W500" s="20"/>
      <c r="X500" s="20"/>
      <c r="Y500" s="20"/>
      <c r="Z500" s="20"/>
      <c r="AA500" s="20"/>
    </row>
    <row r="501" spans="1:27" ht="15.75" customHeight="1">
      <c r="A501" s="48"/>
      <c r="B501" s="56"/>
      <c r="C501" s="56"/>
      <c r="D501" s="57"/>
      <c r="E501" s="20"/>
      <c r="F501" s="58"/>
      <c r="G501" s="20"/>
      <c r="H501" s="60"/>
      <c r="I501" s="60"/>
      <c r="J501" s="61"/>
      <c r="K501" s="61"/>
      <c r="L501" s="59"/>
      <c r="M501" s="59"/>
      <c r="N501" s="59"/>
      <c r="O501" s="59"/>
      <c r="P501" s="20"/>
      <c r="Q501" s="20"/>
      <c r="R501" s="20"/>
      <c r="S501" s="20"/>
      <c r="T501" s="62"/>
      <c r="U501" s="62"/>
      <c r="V501" s="20"/>
      <c r="W501" s="20"/>
      <c r="X501" s="20"/>
      <c r="Y501" s="20"/>
      <c r="Z501" s="20"/>
      <c r="AA501" s="20"/>
    </row>
    <row r="502" spans="1:27" ht="15.75" customHeight="1">
      <c r="A502" s="48"/>
      <c r="B502" s="56"/>
      <c r="C502" s="56"/>
      <c r="D502" s="57"/>
      <c r="E502" s="20"/>
      <c r="F502" s="58"/>
      <c r="G502" s="20"/>
      <c r="H502" s="60"/>
      <c r="I502" s="60"/>
      <c r="J502" s="61"/>
      <c r="K502" s="61"/>
      <c r="L502" s="59"/>
      <c r="M502" s="59"/>
      <c r="N502" s="59"/>
      <c r="O502" s="59"/>
      <c r="P502" s="20"/>
      <c r="Q502" s="20"/>
      <c r="R502" s="20"/>
      <c r="S502" s="20"/>
      <c r="T502" s="62"/>
      <c r="U502" s="62"/>
      <c r="V502" s="20"/>
      <c r="W502" s="20"/>
      <c r="X502" s="20"/>
      <c r="Y502" s="20"/>
      <c r="Z502" s="20"/>
      <c r="AA502" s="20"/>
    </row>
    <row r="503" spans="1:27" ht="15.75" customHeight="1">
      <c r="A503" s="48"/>
      <c r="B503" s="56"/>
      <c r="C503" s="56"/>
      <c r="D503" s="57"/>
      <c r="E503" s="20"/>
      <c r="F503" s="58"/>
      <c r="G503" s="20"/>
      <c r="H503" s="60"/>
      <c r="I503" s="60"/>
      <c r="J503" s="61"/>
      <c r="K503" s="61"/>
      <c r="L503" s="59"/>
      <c r="M503" s="59"/>
      <c r="N503" s="59"/>
      <c r="O503" s="59"/>
      <c r="P503" s="20"/>
      <c r="Q503" s="20"/>
      <c r="R503" s="20"/>
      <c r="S503" s="20"/>
      <c r="T503" s="62"/>
      <c r="U503" s="62"/>
      <c r="V503" s="20"/>
      <c r="W503" s="20"/>
      <c r="X503" s="20"/>
      <c r="Y503" s="20"/>
      <c r="Z503" s="20"/>
      <c r="AA503" s="20"/>
    </row>
    <row r="504" spans="1:27" ht="15.75" customHeight="1">
      <c r="A504" s="48"/>
      <c r="B504" s="56"/>
      <c r="C504" s="56"/>
      <c r="D504" s="57"/>
      <c r="E504" s="20"/>
      <c r="F504" s="58"/>
      <c r="G504" s="20"/>
      <c r="H504" s="60"/>
      <c r="I504" s="60"/>
      <c r="J504" s="61"/>
      <c r="K504" s="61"/>
      <c r="L504" s="59"/>
      <c r="M504" s="59"/>
      <c r="N504" s="59"/>
      <c r="O504" s="59"/>
      <c r="P504" s="20"/>
      <c r="Q504" s="20"/>
      <c r="R504" s="20"/>
      <c r="S504" s="20"/>
      <c r="T504" s="62"/>
      <c r="U504" s="62"/>
      <c r="V504" s="20"/>
      <c r="W504" s="20"/>
      <c r="X504" s="20"/>
      <c r="Y504" s="20"/>
      <c r="Z504" s="20"/>
      <c r="AA504" s="20"/>
    </row>
    <row r="505" spans="1:27" ht="15.75" customHeight="1">
      <c r="A505" s="48"/>
      <c r="B505" s="56"/>
      <c r="C505" s="56"/>
      <c r="D505" s="57"/>
      <c r="E505" s="20"/>
      <c r="F505" s="58"/>
      <c r="G505" s="20"/>
      <c r="H505" s="60"/>
      <c r="I505" s="60"/>
      <c r="J505" s="61"/>
      <c r="K505" s="61"/>
      <c r="L505" s="59"/>
      <c r="M505" s="59"/>
      <c r="N505" s="59"/>
      <c r="O505" s="59"/>
      <c r="P505" s="20"/>
      <c r="Q505" s="20"/>
      <c r="R505" s="20"/>
      <c r="S505" s="20"/>
      <c r="T505" s="62"/>
      <c r="U505" s="62"/>
      <c r="V505" s="20"/>
      <c r="W505" s="20"/>
      <c r="X505" s="20"/>
      <c r="Y505" s="20"/>
      <c r="Z505" s="20"/>
      <c r="AA505" s="20"/>
    </row>
    <row r="506" spans="1:27" ht="15.75" customHeight="1">
      <c r="A506" s="48"/>
      <c r="B506" s="56"/>
      <c r="C506" s="56"/>
      <c r="D506" s="57"/>
      <c r="E506" s="20"/>
      <c r="F506" s="58"/>
      <c r="G506" s="20"/>
      <c r="H506" s="60"/>
      <c r="I506" s="60"/>
      <c r="J506" s="61"/>
      <c r="K506" s="61"/>
      <c r="L506" s="59"/>
      <c r="M506" s="59"/>
      <c r="N506" s="59"/>
      <c r="O506" s="59"/>
      <c r="P506" s="20"/>
      <c r="Q506" s="20"/>
      <c r="R506" s="20"/>
      <c r="S506" s="20"/>
      <c r="T506" s="62"/>
      <c r="U506" s="62"/>
      <c r="V506" s="20"/>
      <c r="W506" s="20"/>
      <c r="X506" s="20"/>
      <c r="Y506" s="20"/>
      <c r="Z506" s="20"/>
      <c r="AA506" s="20"/>
    </row>
    <row r="507" spans="1:27" ht="15.75" customHeight="1">
      <c r="A507" s="48"/>
      <c r="B507" s="56"/>
      <c r="C507" s="56"/>
      <c r="D507" s="57"/>
      <c r="E507" s="20"/>
      <c r="F507" s="58"/>
      <c r="G507" s="20"/>
      <c r="H507" s="60"/>
      <c r="I507" s="60"/>
      <c r="J507" s="61"/>
      <c r="K507" s="61"/>
      <c r="L507" s="59"/>
      <c r="M507" s="59"/>
      <c r="N507" s="59"/>
      <c r="O507" s="59"/>
      <c r="P507" s="20"/>
      <c r="Q507" s="20"/>
      <c r="R507" s="20"/>
      <c r="S507" s="20"/>
      <c r="T507" s="62"/>
      <c r="U507" s="62"/>
      <c r="V507" s="20"/>
      <c r="W507" s="20"/>
      <c r="X507" s="20"/>
      <c r="Y507" s="20"/>
      <c r="Z507" s="20"/>
      <c r="AA507" s="20"/>
    </row>
    <row r="508" spans="1:27" ht="15.75" customHeight="1">
      <c r="A508" s="48"/>
      <c r="B508" s="56"/>
      <c r="C508" s="56"/>
      <c r="D508" s="57"/>
      <c r="E508" s="20"/>
      <c r="F508" s="58"/>
      <c r="G508" s="20"/>
      <c r="H508" s="60"/>
      <c r="I508" s="60"/>
      <c r="J508" s="61"/>
      <c r="K508" s="61"/>
      <c r="L508" s="59"/>
      <c r="M508" s="59"/>
      <c r="N508" s="59"/>
      <c r="O508" s="59"/>
      <c r="P508" s="20"/>
      <c r="Q508" s="20"/>
      <c r="R508" s="20"/>
      <c r="S508" s="20"/>
      <c r="T508" s="62"/>
      <c r="U508" s="62"/>
      <c r="V508" s="20"/>
      <c r="W508" s="20"/>
      <c r="X508" s="20"/>
      <c r="Y508" s="20"/>
      <c r="Z508" s="20"/>
      <c r="AA508" s="20"/>
    </row>
    <row r="509" spans="1:27" ht="15.75" customHeight="1">
      <c r="A509" s="48"/>
      <c r="B509" s="56"/>
      <c r="C509" s="56"/>
      <c r="D509" s="57"/>
      <c r="E509" s="20"/>
      <c r="F509" s="58"/>
      <c r="G509" s="20"/>
      <c r="H509" s="60"/>
      <c r="I509" s="60"/>
      <c r="J509" s="61"/>
      <c r="K509" s="61"/>
      <c r="L509" s="59"/>
      <c r="M509" s="59"/>
      <c r="N509" s="59"/>
      <c r="O509" s="59"/>
      <c r="P509" s="20"/>
      <c r="Q509" s="20"/>
      <c r="R509" s="20"/>
      <c r="S509" s="20"/>
      <c r="T509" s="62"/>
      <c r="U509" s="62"/>
      <c r="V509" s="20"/>
      <c r="W509" s="20"/>
      <c r="X509" s="20"/>
      <c r="Y509" s="20"/>
      <c r="Z509" s="20"/>
      <c r="AA509" s="20"/>
    </row>
    <row r="510" spans="1:27" ht="15.75" customHeight="1">
      <c r="A510" s="48"/>
      <c r="B510" s="56"/>
      <c r="C510" s="56"/>
      <c r="D510" s="57"/>
      <c r="E510" s="20"/>
      <c r="F510" s="58"/>
      <c r="G510" s="20"/>
      <c r="H510" s="60"/>
      <c r="I510" s="60"/>
      <c r="J510" s="61"/>
      <c r="K510" s="61"/>
      <c r="L510" s="59"/>
      <c r="M510" s="59"/>
      <c r="N510" s="59"/>
      <c r="O510" s="59"/>
      <c r="P510" s="20"/>
      <c r="Q510" s="20"/>
      <c r="R510" s="20"/>
      <c r="S510" s="20"/>
      <c r="T510" s="62"/>
      <c r="U510" s="62"/>
      <c r="V510" s="20"/>
      <c r="W510" s="20"/>
      <c r="X510" s="20"/>
      <c r="Y510" s="20"/>
      <c r="Z510" s="20"/>
      <c r="AA510" s="20"/>
    </row>
    <row r="511" spans="1:27" ht="15.75" customHeight="1">
      <c r="A511" s="48"/>
      <c r="B511" s="56"/>
      <c r="C511" s="56"/>
      <c r="D511" s="57"/>
      <c r="E511" s="20"/>
      <c r="F511" s="58"/>
      <c r="G511" s="20"/>
      <c r="H511" s="60"/>
      <c r="I511" s="60"/>
      <c r="J511" s="61"/>
      <c r="K511" s="61"/>
      <c r="L511" s="59"/>
      <c r="M511" s="59"/>
      <c r="N511" s="59"/>
      <c r="O511" s="59"/>
      <c r="P511" s="20"/>
      <c r="Q511" s="20"/>
      <c r="R511" s="20"/>
      <c r="S511" s="20"/>
      <c r="T511" s="62"/>
      <c r="U511" s="62"/>
      <c r="V511" s="20"/>
      <c r="W511" s="20"/>
      <c r="X511" s="20"/>
      <c r="Y511" s="20"/>
      <c r="Z511" s="20"/>
      <c r="AA511" s="20"/>
    </row>
    <row r="512" spans="1:27" ht="15.75" customHeight="1">
      <c r="A512" s="48"/>
      <c r="B512" s="56"/>
      <c r="C512" s="56"/>
      <c r="D512" s="57"/>
      <c r="E512" s="20"/>
      <c r="F512" s="58"/>
      <c r="G512" s="20"/>
      <c r="H512" s="60"/>
      <c r="I512" s="60"/>
      <c r="J512" s="61"/>
      <c r="K512" s="61"/>
      <c r="L512" s="59"/>
      <c r="M512" s="59"/>
      <c r="N512" s="59"/>
      <c r="O512" s="59"/>
      <c r="P512" s="20"/>
      <c r="Q512" s="20"/>
      <c r="R512" s="20"/>
      <c r="S512" s="20"/>
      <c r="T512" s="62"/>
      <c r="U512" s="62"/>
      <c r="V512" s="20"/>
      <c r="W512" s="20"/>
      <c r="X512" s="20"/>
      <c r="Y512" s="20"/>
      <c r="Z512" s="20"/>
      <c r="AA512" s="20"/>
    </row>
    <row r="513" spans="1:27" ht="15.75" customHeight="1">
      <c r="A513" s="48"/>
      <c r="B513" s="56"/>
      <c r="C513" s="56"/>
      <c r="D513" s="57"/>
      <c r="E513" s="20"/>
      <c r="F513" s="58"/>
      <c r="G513" s="20"/>
      <c r="H513" s="60"/>
      <c r="I513" s="60"/>
      <c r="J513" s="61"/>
      <c r="K513" s="61"/>
      <c r="L513" s="59"/>
      <c r="M513" s="59"/>
      <c r="N513" s="59"/>
      <c r="O513" s="59"/>
      <c r="P513" s="20"/>
      <c r="Q513" s="20"/>
      <c r="R513" s="20"/>
      <c r="S513" s="20"/>
      <c r="T513" s="62"/>
      <c r="U513" s="62"/>
      <c r="V513" s="20"/>
      <c r="W513" s="20"/>
      <c r="X513" s="20"/>
      <c r="Y513" s="20"/>
      <c r="Z513" s="20"/>
      <c r="AA513" s="20"/>
    </row>
    <row r="514" spans="1:27" ht="15.75" customHeight="1">
      <c r="A514" s="48"/>
      <c r="B514" s="56"/>
      <c r="C514" s="56"/>
      <c r="D514" s="57"/>
      <c r="E514" s="20"/>
      <c r="F514" s="58"/>
      <c r="G514" s="20"/>
      <c r="H514" s="60"/>
      <c r="I514" s="60"/>
      <c r="J514" s="61"/>
      <c r="K514" s="61"/>
      <c r="L514" s="59"/>
      <c r="M514" s="59"/>
      <c r="N514" s="59"/>
      <c r="O514" s="59"/>
      <c r="P514" s="20"/>
      <c r="Q514" s="20"/>
      <c r="R514" s="20"/>
      <c r="S514" s="20"/>
      <c r="T514" s="62"/>
      <c r="U514" s="62"/>
      <c r="V514" s="20"/>
      <c r="W514" s="20"/>
      <c r="X514" s="20"/>
      <c r="Y514" s="20"/>
      <c r="Z514" s="20"/>
      <c r="AA514" s="20"/>
    </row>
    <row r="515" spans="1:27" ht="15.75" customHeight="1">
      <c r="A515" s="48"/>
      <c r="B515" s="56"/>
      <c r="C515" s="56"/>
      <c r="D515" s="57"/>
      <c r="E515" s="20"/>
      <c r="F515" s="58"/>
      <c r="G515" s="20"/>
      <c r="H515" s="60"/>
      <c r="I515" s="60"/>
      <c r="J515" s="61"/>
      <c r="K515" s="61"/>
      <c r="L515" s="59"/>
      <c r="M515" s="59"/>
      <c r="N515" s="59"/>
      <c r="O515" s="59"/>
      <c r="P515" s="20"/>
      <c r="Q515" s="20"/>
      <c r="R515" s="20"/>
      <c r="S515" s="20"/>
      <c r="T515" s="62"/>
      <c r="U515" s="62"/>
      <c r="V515" s="20"/>
      <c r="W515" s="20"/>
      <c r="X515" s="20"/>
      <c r="Y515" s="20"/>
      <c r="Z515" s="20"/>
      <c r="AA515" s="20"/>
    </row>
    <row r="516" spans="1:27" ht="15.75" customHeight="1">
      <c r="A516" s="48"/>
      <c r="B516" s="56"/>
      <c r="C516" s="56"/>
      <c r="D516" s="57"/>
      <c r="E516" s="20"/>
      <c r="F516" s="58"/>
      <c r="G516" s="20"/>
      <c r="H516" s="60"/>
      <c r="I516" s="60"/>
      <c r="J516" s="61"/>
      <c r="K516" s="61"/>
      <c r="L516" s="59"/>
      <c r="M516" s="59"/>
      <c r="N516" s="59"/>
      <c r="O516" s="59"/>
      <c r="P516" s="20"/>
      <c r="Q516" s="20"/>
      <c r="R516" s="20"/>
      <c r="S516" s="20"/>
      <c r="T516" s="62"/>
      <c r="U516" s="62"/>
      <c r="V516" s="20"/>
      <c r="W516" s="20"/>
      <c r="X516" s="20"/>
      <c r="Y516" s="20"/>
      <c r="Z516" s="20"/>
      <c r="AA516" s="20"/>
    </row>
    <row r="517" spans="1:27" ht="15.75" customHeight="1">
      <c r="A517" s="48"/>
      <c r="B517" s="56"/>
      <c r="C517" s="56"/>
      <c r="D517" s="57"/>
      <c r="E517" s="20"/>
      <c r="F517" s="58"/>
      <c r="G517" s="20"/>
      <c r="H517" s="60"/>
      <c r="I517" s="60"/>
      <c r="J517" s="61"/>
      <c r="K517" s="61"/>
      <c r="L517" s="59"/>
      <c r="M517" s="59"/>
      <c r="N517" s="59"/>
      <c r="O517" s="59"/>
      <c r="P517" s="20"/>
      <c r="Q517" s="20"/>
      <c r="R517" s="20"/>
      <c r="S517" s="20"/>
      <c r="T517" s="62"/>
      <c r="U517" s="62"/>
      <c r="V517" s="20"/>
      <c r="W517" s="20"/>
      <c r="X517" s="20"/>
      <c r="Y517" s="20"/>
      <c r="Z517" s="20"/>
      <c r="AA517" s="20"/>
    </row>
    <row r="518" spans="1:27" ht="15.75" customHeight="1">
      <c r="A518" s="48"/>
      <c r="B518" s="56"/>
      <c r="C518" s="56"/>
      <c r="D518" s="57"/>
      <c r="E518" s="20"/>
      <c r="F518" s="58"/>
      <c r="G518" s="20"/>
      <c r="H518" s="60"/>
      <c r="I518" s="60"/>
      <c r="J518" s="61"/>
      <c r="K518" s="61"/>
      <c r="L518" s="59"/>
      <c r="M518" s="59"/>
      <c r="N518" s="59"/>
      <c r="O518" s="59"/>
      <c r="P518" s="20"/>
      <c r="Q518" s="20"/>
      <c r="R518" s="20"/>
      <c r="S518" s="20"/>
      <c r="T518" s="62"/>
      <c r="U518" s="62"/>
      <c r="V518" s="20"/>
      <c r="W518" s="20"/>
      <c r="X518" s="20"/>
      <c r="Y518" s="20"/>
      <c r="Z518" s="20"/>
      <c r="AA518" s="20"/>
    </row>
    <row r="519" spans="1:27" ht="15.75" customHeight="1">
      <c r="A519" s="48"/>
      <c r="B519" s="56"/>
      <c r="C519" s="56"/>
      <c r="D519" s="57"/>
      <c r="E519" s="20"/>
      <c r="F519" s="58"/>
      <c r="G519" s="20"/>
      <c r="H519" s="60"/>
      <c r="I519" s="60"/>
      <c r="J519" s="61"/>
      <c r="K519" s="61"/>
      <c r="L519" s="59"/>
      <c r="M519" s="59"/>
      <c r="N519" s="59"/>
      <c r="O519" s="59"/>
      <c r="P519" s="20"/>
      <c r="Q519" s="20"/>
      <c r="R519" s="20"/>
      <c r="S519" s="20"/>
      <c r="T519" s="62"/>
      <c r="U519" s="62"/>
      <c r="V519" s="20"/>
      <c r="W519" s="20"/>
      <c r="X519" s="20"/>
      <c r="Y519" s="20"/>
      <c r="Z519" s="20"/>
      <c r="AA519" s="20"/>
    </row>
    <row r="520" spans="1:27" ht="15.75" customHeight="1">
      <c r="A520" s="48"/>
      <c r="B520" s="56"/>
      <c r="C520" s="56"/>
      <c r="D520" s="57"/>
      <c r="E520" s="20"/>
      <c r="F520" s="58"/>
      <c r="G520" s="20"/>
      <c r="H520" s="60"/>
      <c r="I520" s="60"/>
      <c r="J520" s="61"/>
      <c r="K520" s="61"/>
      <c r="L520" s="59"/>
      <c r="M520" s="59"/>
      <c r="N520" s="59"/>
      <c r="O520" s="59"/>
      <c r="P520" s="20"/>
      <c r="Q520" s="20"/>
      <c r="R520" s="20"/>
      <c r="S520" s="20"/>
      <c r="T520" s="62"/>
      <c r="U520" s="62"/>
      <c r="V520" s="20"/>
      <c r="W520" s="20"/>
      <c r="X520" s="20"/>
      <c r="Y520" s="20"/>
      <c r="Z520" s="20"/>
      <c r="AA520" s="20"/>
    </row>
    <row r="521" spans="1:27" ht="15.75" customHeight="1">
      <c r="A521" s="48"/>
      <c r="B521" s="56"/>
      <c r="C521" s="56"/>
      <c r="D521" s="57"/>
      <c r="E521" s="20"/>
      <c r="F521" s="58"/>
      <c r="G521" s="20"/>
      <c r="H521" s="60"/>
      <c r="I521" s="60"/>
      <c r="J521" s="61"/>
      <c r="K521" s="61"/>
      <c r="L521" s="59"/>
      <c r="M521" s="59"/>
      <c r="N521" s="59"/>
      <c r="O521" s="59"/>
      <c r="P521" s="20"/>
      <c r="Q521" s="20"/>
      <c r="R521" s="20"/>
      <c r="S521" s="20"/>
      <c r="T521" s="62"/>
      <c r="U521" s="62"/>
      <c r="V521" s="20"/>
      <c r="W521" s="20"/>
      <c r="X521" s="20"/>
      <c r="Y521" s="20"/>
      <c r="Z521" s="20"/>
      <c r="AA521" s="20"/>
    </row>
    <row r="522" spans="1:27" ht="15.75" customHeight="1">
      <c r="A522" s="48"/>
      <c r="B522" s="56"/>
      <c r="C522" s="56"/>
      <c r="D522" s="57"/>
      <c r="E522" s="20"/>
      <c r="F522" s="58"/>
      <c r="G522" s="20"/>
      <c r="H522" s="60"/>
      <c r="I522" s="60"/>
      <c r="J522" s="61"/>
      <c r="K522" s="61"/>
      <c r="L522" s="59"/>
      <c r="M522" s="59"/>
      <c r="N522" s="59"/>
      <c r="O522" s="59"/>
      <c r="P522" s="20"/>
      <c r="Q522" s="20"/>
      <c r="R522" s="20"/>
      <c r="S522" s="20"/>
      <c r="T522" s="62"/>
      <c r="U522" s="62"/>
      <c r="V522" s="20"/>
      <c r="W522" s="20"/>
      <c r="X522" s="20"/>
      <c r="Y522" s="20"/>
      <c r="Z522" s="20"/>
      <c r="AA522" s="20"/>
    </row>
    <row r="523" spans="1:27" ht="15.75" customHeight="1">
      <c r="A523" s="48"/>
      <c r="B523" s="56"/>
      <c r="C523" s="56"/>
      <c r="D523" s="57"/>
      <c r="E523" s="20"/>
      <c r="F523" s="58"/>
      <c r="G523" s="20"/>
      <c r="H523" s="60"/>
      <c r="I523" s="60"/>
      <c r="J523" s="61"/>
      <c r="K523" s="61"/>
      <c r="L523" s="59"/>
      <c r="M523" s="59"/>
      <c r="N523" s="59"/>
      <c r="O523" s="59"/>
      <c r="P523" s="20"/>
      <c r="Q523" s="20"/>
      <c r="R523" s="20"/>
      <c r="S523" s="20"/>
      <c r="T523" s="62"/>
      <c r="U523" s="62"/>
      <c r="V523" s="20"/>
      <c r="W523" s="20"/>
      <c r="X523" s="20"/>
      <c r="Y523" s="20"/>
      <c r="Z523" s="20"/>
      <c r="AA523" s="20"/>
    </row>
    <row r="524" spans="1:27" ht="15.75" customHeight="1">
      <c r="A524" s="48"/>
      <c r="B524" s="56"/>
      <c r="C524" s="56"/>
      <c r="D524" s="57"/>
      <c r="E524" s="20"/>
      <c r="F524" s="58"/>
      <c r="G524" s="20"/>
      <c r="H524" s="60"/>
      <c r="I524" s="60"/>
      <c r="J524" s="61"/>
      <c r="K524" s="61"/>
      <c r="L524" s="59"/>
      <c r="M524" s="59"/>
      <c r="N524" s="59"/>
      <c r="O524" s="59"/>
      <c r="P524" s="20"/>
      <c r="Q524" s="20"/>
      <c r="R524" s="20"/>
      <c r="S524" s="20"/>
      <c r="T524" s="62"/>
      <c r="U524" s="62"/>
      <c r="V524" s="20"/>
      <c r="W524" s="20"/>
      <c r="X524" s="20"/>
      <c r="Y524" s="20"/>
      <c r="Z524" s="20"/>
      <c r="AA524" s="20"/>
    </row>
    <row r="525" spans="1:27" ht="15.75" customHeight="1">
      <c r="A525" s="48"/>
      <c r="B525" s="56"/>
      <c r="C525" s="56"/>
      <c r="D525" s="57"/>
      <c r="E525" s="20"/>
      <c r="F525" s="58"/>
      <c r="G525" s="20"/>
      <c r="H525" s="60"/>
      <c r="I525" s="60"/>
      <c r="J525" s="61"/>
      <c r="K525" s="61"/>
      <c r="L525" s="59"/>
      <c r="M525" s="59"/>
      <c r="N525" s="59"/>
      <c r="O525" s="59"/>
      <c r="P525" s="20"/>
      <c r="Q525" s="20"/>
      <c r="R525" s="20"/>
      <c r="S525" s="20"/>
      <c r="T525" s="62"/>
      <c r="U525" s="62"/>
      <c r="V525" s="20"/>
      <c r="W525" s="20"/>
      <c r="X525" s="20"/>
      <c r="Y525" s="20"/>
      <c r="Z525" s="20"/>
      <c r="AA525" s="20"/>
    </row>
    <row r="526" spans="1:27" ht="15.75" customHeight="1">
      <c r="A526" s="48"/>
      <c r="B526" s="56"/>
      <c r="C526" s="56"/>
      <c r="D526" s="57"/>
      <c r="E526" s="20"/>
      <c r="F526" s="58"/>
      <c r="G526" s="20"/>
      <c r="H526" s="60"/>
      <c r="I526" s="60"/>
      <c r="J526" s="61"/>
      <c r="K526" s="61"/>
      <c r="L526" s="59"/>
      <c r="M526" s="59"/>
      <c r="N526" s="59"/>
      <c r="O526" s="59"/>
      <c r="P526" s="20"/>
      <c r="Q526" s="20"/>
      <c r="R526" s="20"/>
      <c r="S526" s="20"/>
      <c r="T526" s="62"/>
      <c r="U526" s="62"/>
      <c r="V526" s="20"/>
      <c r="W526" s="20"/>
      <c r="X526" s="20"/>
      <c r="Y526" s="20"/>
      <c r="Z526" s="20"/>
      <c r="AA526" s="20"/>
    </row>
    <row r="527" spans="1:27" ht="15.75" customHeight="1">
      <c r="A527" s="48"/>
      <c r="B527" s="56"/>
      <c r="C527" s="56"/>
      <c r="D527" s="57"/>
      <c r="E527" s="20"/>
      <c r="F527" s="58"/>
      <c r="G527" s="20"/>
      <c r="H527" s="60"/>
      <c r="I527" s="60"/>
      <c r="J527" s="61"/>
      <c r="K527" s="61"/>
      <c r="L527" s="59"/>
      <c r="M527" s="59"/>
      <c r="N527" s="59"/>
      <c r="O527" s="59"/>
      <c r="P527" s="20"/>
      <c r="Q527" s="20"/>
      <c r="R527" s="20"/>
      <c r="S527" s="20"/>
      <c r="T527" s="62"/>
      <c r="U527" s="62"/>
      <c r="V527" s="20"/>
      <c r="W527" s="20"/>
      <c r="X527" s="20"/>
      <c r="Y527" s="20"/>
      <c r="Z527" s="20"/>
      <c r="AA527" s="20"/>
    </row>
    <row r="528" spans="1:27" ht="15.75" customHeight="1">
      <c r="A528" s="48"/>
      <c r="B528" s="56"/>
      <c r="C528" s="56"/>
      <c r="D528" s="57"/>
      <c r="E528" s="20"/>
      <c r="F528" s="58"/>
      <c r="G528" s="20"/>
      <c r="H528" s="60"/>
      <c r="I528" s="60"/>
      <c r="J528" s="61"/>
      <c r="K528" s="61"/>
      <c r="L528" s="59"/>
      <c r="M528" s="59"/>
      <c r="N528" s="59"/>
      <c r="O528" s="59"/>
      <c r="P528" s="20"/>
      <c r="Q528" s="20"/>
      <c r="R528" s="20"/>
      <c r="S528" s="20"/>
      <c r="T528" s="62"/>
      <c r="U528" s="62"/>
      <c r="V528" s="20"/>
      <c r="W528" s="20"/>
      <c r="X528" s="20"/>
      <c r="Y528" s="20"/>
      <c r="Z528" s="20"/>
      <c r="AA528" s="20"/>
    </row>
    <row r="529" spans="1:27" ht="15.75" customHeight="1">
      <c r="A529" s="48"/>
      <c r="B529" s="56"/>
      <c r="C529" s="56"/>
      <c r="D529" s="57"/>
      <c r="E529" s="20"/>
      <c r="F529" s="58"/>
      <c r="G529" s="20"/>
      <c r="H529" s="60"/>
      <c r="I529" s="60"/>
      <c r="J529" s="61"/>
      <c r="K529" s="61"/>
      <c r="L529" s="59"/>
      <c r="M529" s="59"/>
      <c r="N529" s="59"/>
      <c r="O529" s="59"/>
      <c r="P529" s="20"/>
      <c r="Q529" s="20"/>
      <c r="R529" s="20"/>
      <c r="S529" s="20"/>
      <c r="T529" s="62"/>
      <c r="U529" s="62"/>
      <c r="V529" s="20"/>
      <c r="W529" s="20"/>
      <c r="X529" s="20"/>
      <c r="Y529" s="20"/>
      <c r="Z529" s="20"/>
      <c r="AA529" s="20"/>
    </row>
    <row r="530" spans="1:27" ht="15.75" customHeight="1">
      <c r="A530" s="48"/>
      <c r="B530" s="56"/>
      <c r="C530" s="56"/>
      <c r="D530" s="57"/>
      <c r="E530" s="20"/>
      <c r="F530" s="58"/>
      <c r="G530" s="20"/>
      <c r="H530" s="60"/>
      <c r="I530" s="60"/>
      <c r="J530" s="61"/>
      <c r="K530" s="61"/>
      <c r="L530" s="59"/>
      <c r="M530" s="59"/>
      <c r="N530" s="59"/>
      <c r="O530" s="59"/>
      <c r="P530" s="20"/>
      <c r="Q530" s="20"/>
      <c r="R530" s="20"/>
      <c r="S530" s="20"/>
      <c r="T530" s="62"/>
      <c r="U530" s="62"/>
      <c r="V530" s="20"/>
      <c r="W530" s="20"/>
      <c r="X530" s="20"/>
      <c r="Y530" s="20"/>
      <c r="Z530" s="20"/>
      <c r="AA530" s="20"/>
    </row>
    <row r="531" spans="1:27" ht="15.75" customHeight="1">
      <c r="A531" s="48"/>
      <c r="B531" s="56"/>
      <c r="C531" s="56"/>
      <c r="D531" s="57"/>
      <c r="E531" s="20"/>
      <c r="F531" s="58"/>
      <c r="G531" s="20"/>
      <c r="H531" s="60"/>
      <c r="I531" s="60"/>
      <c r="J531" s="61"/>
      <c r="K531" s="61"/>
      <c r="L531" s="59"/>
      <c r="M531" s="59"/>
      <c r="N531" s="59"/>
      <c r="O531" s="59"/>
      <c r="P531" s="20"/>
      <c r="Q531" s="20"/>
      <c r="R531" s="20"/>
      <c r="S531" s="20"/>
      <c r="T531" s="62"/>
      <c r="U531" s="62"/>
      <c r="V531" s="20"/>
      <c r="W531" s="20"/>
      <c r="X531" s="20"/>
      <c r="Y531" s="20"/>
      <c r="Z531" s="20"/>
      <c r="AA531" s="20"/>
    </row>
    <row r="532" spans="1:27" ht="15.75" customHeight="1">
      <c r="A532" s="48"/>
      <c r="B532" s="56"/>
      <c r="C532" s="56"/>
      <c r="D532" s="57"/>
      <c r="E532" s="20"/>
      <c r="F532" s="58"/>
      <c r="G532" s="20"/>
      <c r="H532" s="60"/>
      <c r="I532" s="60"/>
      <c r="J532" s="61"/>
      <c r="K532" s="61"/>
      <c r="L532" s="59"/>
      <c r="M532" s="59"/>
      <c r="N532" s="59"/>
      <c r="O532" s="59"/>
      <c r="P532" s="20"/>
      <c r="Q532" s="20"/>
      <c r="R532" s="20"/>
      <c r="S532" s="20"/>
      <c r="T532" s="62"/>
      <c r="U532" s="62"/>
      <c r="V532" s="20"/>
      <c r="W532" s="20"/>
      <c r="X532" s="20"/>
      <c r="Y532" s="20"/>
      <c r="Z532" s="20"/>
      <c r="AA532" s="20"/>
    </row>
    <row r="533" spans="1:27" ht="15.75" customHeight="1">
      <c r="A533" s="48"/>
      <c r="B533" s="56"/>
      <c r="C533" s="56"/>
      <c r="D533" s="57"/>
      <c r="E533" s="20"/>
      <c r="F533" s="58"/>
      <c r="G533" s="20"/>
      <c r="H533" s="60"/>
      <c r="I533" s="60"/>
      <c r="J533" s="61"/>
      <c r="K533" s="61"/>
      <c r="L533" s="59"/>
      <c r="M533" s="59"/>
      <c r="N533" s="59"/>
      <c r="O533" s="59"/>
      <c r="P533" s="20"/>
      <c r="Q533" s="20"/>
      <c r="R533" s="20"/>
      <c r="S533" s="20"/>
      <c r="T533" s="62"/>
      <c r="U533" s="62"/>
      <c r="V533" s="20"/>
      <c r="W533" s="20"/>
      <c r="X533" s="20"/>
      <c r="Y533" s="20"/>
      <c r="Z533" s="20"/>
      <c r="AA533" s="20"/>
    </row>
    <row r="534" spans="1:27" ht="15.75" customHeight="1">
      <c r="A534" s="48"/>
      <c r="B534" s="56"/>
      <c r="C534" s="56"/>
      <c r="D534" s="57"/>
      <c r="E534" s="20"/>
      <c r="F534" s="58"/>
      <c r="G534" s="20"/>
      <c r="H534" s="60"/>
      <c r="I534" s="60"/>
      <c r="J534" s="61"/>
      <c r="K534" s="61"/>
      <c r="L534" s="59"/>
      <c r="M534" s="59"/>
      <c r="N534" s="59"/>
      <c r="O534" s="59"/>
      <c r="P534" s="20"/>
      <c r="Q534" s="20"/>
      <c r="R534" s="20"/>
      <c r="S534" s="20"/>
      <c r="T534" s="62"/>
      <c r="U534" s="62"/>
      <c r="V534" s="20"/>
      <c r="W534" s="20"/>
      <c r="X534" s="20"/>
      <c r="Y534" s="20"/>
      <c r="Z534" s="20"/>
      <c r="AA534" s="20"/>
    </row>
    <row r="535" spans="1:27" ht="15.75" customHeight="1">
      <c r="A535" s="48"/>
      <c r="B535" s="56"/>
      <c r="C535" s="56"/>
      <c r="D535" s="57"/>
      <c r="E535" s="20"/>
      <c r="F535" s="58"/>
      <c r="G535" s="20"/>
      <c r="H535" s="60"/>
      <c r="I535" s="60"/>
      <c r="J535" s="61"/>
      <c r="K535" s="61"/>
      <c r="L535" s="59"/>
      <c r="M535" s="59"/>
      <c r="N535" s="59"/>
      <c r="O535" s="59"/>
      <c r="P535" s="20"/>
      <c r="Q535" s="20"/>
      <c r="R535" s="20"/>
      <c r="S535" s="20"/>
      <c r="T535" s="62"/>
      <c r="U535" s="62"/>
      <c r="V535" s="20"/>
      <c r="W535" s="20"/>
      <c r="X535" s="20"/>
      <c r="Y535" s="20"/>
      <c r="Z535" s="20"/>
      <c r="AA535" s="20"/>
    </row>
    <row r="536" spans="1:27" ht="15.75" customHeight="1">
      <c r="A536" s="48"/>
      <c r="B536" s="56"/>
      <c r="C536" s="56"/>
      <c r="D536" s="57"/>
      <c r="E536" s="20"/>
      <c r="F536" s="58"/>
      <c r="G536" s="20"/>
      <c r="H536" s="60"/>
      <c r="I536" s="60"/>
      <c r="J536" s="61"/>
      <c r="K536" s="61"/>
      <c r="L536" s="59"/>
      <c r="M536" s="59"/>
      <c r="N536" s="59"/>
      <c r="O536" s="59"/>
      <c r="P536" s="20"/>
      <c r="Q536" s="20"/>
      <c r="R536" s="20"/>
      <c r="S536" s="20"/>
      <c r="T536" s="62"/>
      <c r="U536" s="62"/>
      <c r="V536" s="20"/>
      <c r="W536" s="20"/>
      <c r="X536" s="20"/>
      <c r="Y536" s="20"/>
      <c r="Z536" s="20"/>
      <c r="AA536" s="20"/>
    </row>
    <row r="537" spans="1:27" ht="15.75" customHeight="1">
      <c r="A537" s="48"/>
      <c r="B537" s="56"/>
      <c r="C537" s="56"/>
      <c r="D537" s="57"/>
      <c r="E537" s="20"/>
      <c r="F537" s="58"/>
      <c r="G537" s="20"/>
      <c r="H537" s="60"/>
      <c r="I537" s="60"/>
      <c r="J537" s="61"/>
      <c r="K537" s="61"/>
      <c r="L537" s="59"/>
      <c r="M537" s="59"/>
      <c r="N537" s="59"/>
      <c r="O537" s="59"/>
      <c r="P537" s="20"/>
      <c r="Q537" s="20"/>
      <c r="R537" s="20"/>
      <c r="S537" s="20"/>
      <c r="T537" s="62"/>
      <c r="U537" s="62"/>
      <c r="V537" s="20"/>
      <c r="W537" s="20"/>
      <c r="X537" s="20"/>
      <c r="Y537" s="20"/>
      <c r="Z537" s="20"/>
      <c r="AA537" s="20"/>
    </row>
    <row r="538" spans="1:27" ht="15.75" customHeight="1">
      <c r="A538" s="48"/>
      <c r="B538" s="56"/>
      <c r="C538" s="56"/>
      <c r="D538" s="57"/>
      <c r="E538" s="20"/>
      <c r="F538" s="58"/>
      <c r="G538" s="20"/>
      <c r="H538" s="60"/>
      <c r="I538" s="60"/>
      <c r="J538" s="61"/>
      <c r="K538" s="61"/>
      <c r="L538" s="59"/>
      <c r="M538" s="59"/>
      <c r="N538" s="59"/>
      <c r="O538" s="59"/>
      <c r="P538" s="20"/>
      <c r="Q538" s="20"/>
      <c r="R538" s="20"/>
      <c r="S538" s="20"/>
      <c r="T538" s="62"/>
      <c r="U538" s="62"/>
      <c r="V538" s="20"/>
      <c r="W538" s="20"/>
      <c r="X538" s="20"/>
      <c r="Y538" s="20"/>
      <c r="Z538" s="20"/>
      <c r="AA538" s="20"/>
    </row>
    <row r="539" spans="1:27" ht="15.75" customHeight="1">
      <c r="A539" s="48"/>
      <c r="B539" s="56"/>
      <c r="C539" s="56"/>
      <c r="D539" s="57"/>
      <c r="E539" s="20"/>
      <c r="F539" s="58"/>
      <c r="G539" s="20"/>
      <c r="H539" s="60"/>
      <c r="I539" s="60"/>
      <c r="J539" s="61"/>
      <c r="K539" s="61"/>
      <c r="L539" s="59"/>
      <c r="M539" s="59"/>
      <c r="N539" s="59"/>
      <c r="O539" s="59"/>
      <c r="P539" s="20"/>
      <c r="Q539" s="20"/>
      <c r="R539" s="20"/>
      <c r="S539" s="20"/>
      <c r="T539" s="62"/>
      <c r="U539" s="62"/>
      <c r="V539" s="20"/>
      <c r="W539" s="20"/>
      <c r="X539" s="20"/>
      <c r="Y539" s="20"/>
      <c r="Z539" s="20"/>
      <c r="AA539" s="20"/>
    </row>
    <row r="540" spans="1:27" ht="15.75" customHeight="1">
      <c r="A540" s="48"/>
      <c r="B540" s="56"/>
      <c r="C540" s="56"/>
      <c r="D540" s="57"/>
      <c r="E540" s="20"/>
      <c r="F540" s="58"/>
      <c r="G540" s="20"/>
      <c r="H540" s="60"/>
      <c r="I540" s="60"/>
      <c r="J540" s="61"/>
      <c r="K540" s="61"/>
      <c r="L540" s="59"/>
      <c r="M540" s="59"/>
      <c r="N540" s="59"/>
      <c r="O540" s="59"/>
      <c r="P540" s="20"/>
      <c r="Q540" s="20"/>
      <c r="R540" s="20"/>
      <c r="S540" s="20"/>
      <c r="T540" s="62"/>
      <c r="U540" s="62"/>
      <c r="V540" s="20"/>
      <c r="W540" s="20"/>
      <c r="X540" s="20"/>
      <c r="Y540" s="20"/>
      <c r="Z540" s="20"/>
      <c r="AA540" s="20"/>
    </row>
    <row r="541" spans="1:27" ht="15.75" customHeight="1">
      <c r="A541" s="48"/>
      <c r="B541" s="56"/>
      <c r="C541" s="56"/>
      <c r="D541" s="57"/>
      <c r="E541" s="20"/>
      <c r="F541" s="58"/>
      <c r="G541" s="20"/>
      <c r="H541" s="60"/>
      <c r="I541" s="60"/>
      <c r="J541" s="61"/>
      <c r="K541" s="61"/>
      <c r="L541" s="59"/>
      <c r="M541" s="59"/>
      <c r="N541" s="59"/>
      <c r="O541" s="59"/>
      <c r="P541" s="20"/>
      <c r="Q541" s="20"/>
      <c r="R541" s="20"/>
      <c r="S541" s="20"/>
      <c r="T541" s="62"/>
      <c r="U541" s="62"/>
      <c r="V541" s="20"/>
      <c r="W541" s="20"/>
      <c r="X541" s="20"/>
      <c r="Y541" s="20"/>
      <c r="Z541" s="20"/>
      <c r="AA541" s="20"/>
    </row>
    <row r="542" spans="1:27" ht="15.75" customHeight="1">
      <c r="A542" s="48"/>
      <c r="B542" s="56"/>
      <c r="C542" s="56"/>
      <c r="D542" s="57"/>
      <c r="E542" s="20"/>
      <c r="F542" s="58"/>
      <c r="G542" s="20"/>
      <c r="H542" s="60"/>
      <c r="I542" s="60"/>
      <c r="J542" s="61"/>
      <c r="K542" s="61"/>
      <c r="L542" s="59"/>
      <c r="M542" s="59"/>
      <c r="N542" s="59"/>
      <c r="O542" s="59"/>
      <c r="P542" s="20"/>
      <c r="Q542" s="20"/>
      <c r="R542" s="20"/>
      <c r="S542" s="20"/>
      <c r="T542" s="62"/>
      <c r="U542" s="62"/>
      <c r="V542" s="20"/>
      <c r="W542" s="20"/>
      <c r="X542" s="20"/>
      <c r="Y542" s="20"/>
      <c r="Z542" s="20"/>
      <c r="AA542" s="20"/>
    </row>
    <row r="543" spans="1:27" ht="15.75" customHeight="1">
      <c r="A543" s="48"/>
      <c r="B543" s="56"/>
      <c r="C543" s="56"/>
      <c r="D543" s="57"/>
      <c r="E543" s="20"/>
      <c r="F543" s="58"/>
      <c r="G543" s="20"/>
      <c r="H543" s="60"/>
      <c r="I543" s="60"/>
      <c r="J543" s="61"/>
      <c r="K543" s="61"/>
      <c r="L543" s="59"/>
      <c r="M543" s="59"/>
      <c r="N543" s="59"/>
      <c r="O543" s="59"/>
      <c r="P543" s="20"/>
      <c r="Q543" s="20"/>
      <c r="R543" s="20"/>
      <c r="S543" s="20"/>
      <c r="T543" s="62"/>
      <c r="U543" s="62"/>
      <c r="V543" s="20"/>
      <c r="W543" s="20"/>
      <c r="X543" s="20"/>
      <c r="Y543" s="20"/>
      <c r="Z543" s="20"/>
      <c r="AA543" s="20"/>
    </row>
    <row r="544" spans="1:27" ht="15.75" customHeight="1">
      <c r="A544" s="48"/>
      <c r="B544" s="56"/>
      <c r="C544" s="56"/>
      <c r="D544" s="57"/>
      <c r="E544" s="20"/>
      <c r="F544" s="58"/>
      <c r="G544" s="20"/>
      <c r="H544" s="60"/>
      <c r="I544" s="60"/>
      <c r="J544" s="61"/>
      <c r="K544" s="61"/>
      <c r="L544" s="59"/>
      <c r="M544" s="59"/>
      <c r="N544" s="59"/>
      <c r="O544" s="59"/>
      <c r="P544" s="20"/>
      <c r="Q544" s="20"/>
      <c r="R544" s="20"/>
      <c r="S544" s="20"/>
      <c r="T544" s="62"/>
      <c r="U544" s="62"/>
      <c r="V544" s="20"/>
      <c r="W544" s="20"/>
      <c r="X544" s="20"/>
      <c r="Y544" s="20"/>
      <c r="Z544" s="20"/>
      <c r="AA544" s="20"/>
    </row>
    <row r="545" spans="1:27" ht="15.75" customHeight="1">
      <c r="A545" s="48"/>
      <c r="B545" s="56"/>
      <c r="C545" s="56"/>
      <c r="D545" s="57"/>
      <c r="E545" s="20"/>
      <c r="F545" s="58"/>
      <c r="G545" s="20"/>
      <c r="H545" s="60"/>
      <c r="I545" s="60"/>
      <c r="J545" s="61"/>
      <c r="K545" s="61"/>
      <c r="L545" s="59"/>
      <c r="M545" s="59"/>
      <c r="N545" s="59"/>
      <c r="O545" s="59"/>
      <c r="P545" s="20"/>
      <c r="Q545" s="20"/>
      <c r="R545" s="20"/>
      <c r="S545" s="20"/>
      <c r="T545" s="62"/>
      <c r="U545" s="62"/>
      <c r="V545" s="20"/>
      <c r="W545" s="20"/>
      <c r="X545" s="20"/>
      <c r="Y545" s="20"/>
      <c r="Z545" s="20"/>
      <c r="AA545" s="20"/>
    </row>
    <row r="546" spans="1:27" ht="15.75" customHeight="1">
      <c r="A546" s="48"/>
      <c r="B546" s="56"/>
      <c r="C546" s="56"/>
      <c r="D546" s="57"/>
      <c r="E546" s="20"/>
      <c r="F546" s="58"/>
      <c r="G546" s="20"/>
      <c r="H546" s="60"/>
      <c r="I546" s="60"/>
      <c r="J546" s="61"/>
      <c r="K546" s="61"/>
      <c r="L546" s="59"/>
      <c r="M546" s="59"/>
      <c r="N546" s="59"/>
      <c r="O546" s="59"/>
      <c r="P546" s="20"/>
      <c r="Q546" s="20"/>
      <c r="R546" s="20"/>
      <c r="S546" s="20"/>
      <c r="T546" s="62"/>
      <c r="U546" s="62"/>
      <c r="V546" s="20"/>
      <c r="W546" s="20"/>
      <c r="X546" s="20"/>
      <c r="Y546" s="20"/>
      <c r="Z546" s="20"/>
      <c r="AA546" s="20"/>
    </row>
    <row r="547" spans="1:27" ht="15.75" customHeight="1">
      <c r="A547" s="48"/>
      <c r="B547" s="56"/>
      <c r="C547" s="56"/>
      <c r="D547" s="57"/>
      <c r="E547" s="20"/>
      <c r="F547" s="58"/>
      <c r="G547" s="20"/>
      <c r="H547" s="60"/>
      <c r="I547" s="60"/>
      <c r="J547" s="61"/>
      <c r="K547" s="61"/>
      <c r="L547" s="59"/>
      <c r="M547" s="59"/>
      <c r="N547" s="59"/>
      <c r="O547" s="59"/>
      <c r="P547" s="20"/>
      <c r="Q547" s="20"/>
      <c r="R547" s="20"/>
      <c r="S547" s="20"/>
      <c r="T547" s="62"/>
      <c r="U547" s="62"/>
      <c r="V547" s="20"/>
      <c r="W547" s="20"/>
      <c r="X547" s="20"/>
      <c r="Y547" s="20"/>
      <c r="Z547" s="20"/>
      <c r="AA547" s="20"/>
    </row>
    <row r="548" spans="1:27" ht="15.75" customHeight="1">
      <c r="A548" s="48"/>
      <c r="B548" s="56"/>
      <c r="C548" s="56"/>
      <c r="D548" s="57"/>
      <c r="E548" s="20"/>
      <c r="F548" s="58"/>
      <c r="G548" s="20"/>
      <c r="H548" s="60"/>
      <c r="I548" s="60"/>
      <c r="J548" s="61"/>
      <c r="K548" s="61"/>
      <c r="L548" s="59"/>
      <c r="M548" s="59"/>
      <c r="N548" s="59"/>
      <c r="O548" s="59"/>
      <c r="P548" s="20"/>
      <c r="Q548" s="20"/>
      <c r="R548" s="20"/>
      <c r="S548" s="20"/>
      <c r="T548" s="62"/>
      <c r="U548" s="62"/>
      <c r="V548" s="20"/>
      <c r="W548" s="20"/>
      <c r="X548" s="20"/>
      <c r="Y548" s="20"/>
      <c r="Z548" s="20"/>
      <c r="AA548" s="20"/>
    </row>
    <row r="549" spans="1:27" ht="15.75" customHeight="1">
      <c r="A549" s="48"/>
      <c r="B549" s="56"/>
      <c r="C549" s="56"/>
      <c r="D549" s="57"/>
      <c r="E549" s="20"/>
      <c r="F549" s="58"/>
      <c r="G549" s="20"/>
      <c r="H549" s="60"/>
      <c r="I549" s="60"/>
      <c r="J549" s="61"/>
      <c r="K549" s="61"/>
      <c r="L549" s="59"/>
      <c r="M549" s="59"/>
      <c r="N549" s="59"/>
      <c r="O549" s="59"/>
      <c r="P549" s="20"/>
      <c r="Q549" s="20"/>
      <c r="R549" s="20"/>
      <c r="S549" s="20"/>
      <c r="T549" s="62"/>
      <c r="U549" s="62"/>
      <c r="V549" s="20"/>
      <c r="W549" s="20"/>
      <c r="X549" s="20"/>
      <c r="Y549" s="20"/>
      <c r="Z549" s="20"/>
      <c r="AA549" s="20"/>
    </row>
    <row r="550" spans="1:27" ht="15.75" customHeight="1">
      <c r="A550" s="48"/>
      <c r="B550" s="56"/>
      <c r="C550" s="56"/>
      <c r="D550" s="57"/>
      <c r="E550" s="20"/>
      <c r="F550" s="58"/>
      <c r="G550" s="20"/>
      <c r="H550" s="60"/>
      <c r="I550" s="60"/>
      <c r="J550" s="61"/>
      <c r="K550" s="61"/>
      <c r="L550" s="59"/>
      <c r="M550" s="59"/>
      <c r="N550" s="59"/>
      <c r="O550" s="59"/>
      <c r="P550" s="20"/>
      <c r="Q550" s="20"/>
      <c r="R550" s="20"/>
      <c r="S550" s="20"/>
      <c r="T550" s="62"/>
      <c r="U550" s="62"/>
      <c r="V550" s="20"/>
      <c r="W550" s="20"/>
      <c r="X550" s="20"/>
      <c r="Y550" s="20"/>
      <c r="Z550" s="20"/>
      <c r="AA550" s="20"/>
    </row>
    <row r="551" spans="1:27" ht="15.75" customHeight="1">
      <c r="A551" s="48"/>
      <c r="B551" s="56"/>
      <c r="C551" s="56"/>
      <c r="D551" s="57"/>
      <c r="E551" s="20"/>
      <c r="F551" s="58"/>
      <c r="G551" s="20"/>
      <c r="H551" s="60"/>
      <c r="I551" s="60"/>
      <c r="J551" s="61"/>
      <c r="K551" s="61"/>
      <c r="L551" s="59"/>
      <c r="M551" s="59"/>
      <c r="N551" s="59"/>
      <c r="O551" s="59"/>
      <c r="P551" s="20"/>
      <c r="Q551" s="20"/>
      <c r="R551" s="20"/>
      <c r="S551" s="20"/>
      <c r="T551" s="62"/>
      <c r="U551" s="62"/>
      <c r="V551" s="20"/>
      <c r="W551" s="20"/>
      <c r="X551" s="20"/>
      <c r="Y551" s="20"/>
      <c r="Z551" s="20"/>
      <c r="AA551" s="20"/>
    </row>
    <row r="552" spans="1:27" ht="15.75" customHeight="1">
      <c r="A552" s="48"/>
      <c r="B552" s="56"/>
      <c r="C552" s="56"/>
      <c r="D552" s="57"/>
      <c r="E552" s="20"/>
      <c r="F552" s="58"/>
      <c r="G552" s="20"/>
      <c r="H552" s="60"/>
      <c r="I552" s="60"/>
      <c r="J552" s="61"/>
      <c r="K552" s="61"/>
      <c r="L552" s="59"/>
      <c r="M552" s="59"/>
      <c r="N552" s="59"/>
      <c r="O552" s="59"/>
      <c r="P552" s="20"/>
      <c r="Q552" s="20"/>
      <c r="R552" s="20"/>
      <c r="S552" s="20"/>
      <c r="T552" s="62"/>
      <c r="U552" s="62"/>
      <c r="V552" s="20"/>
      <c r="W552" s="20"/>
      <c r="X552" s="20"/>
      <c r="Y552" s="20"/>
      <c r="Z552" s="20"/>
      <c r="AA552" s="20"/>
    </row>
    <row r="553" spans="1:27" ht="15.75" customHeight="1">
      <c r="A553" s="48"/>
      <c r="B553" s="56"/>
      <c r="C553" s="56"/>
      <c r="D553" s="57"/>
      <c r="E553" s="20"/>
      <c r="F553" s="58"/>
      <c r="G553" s="20"/>
      <c r="H553" s="60"/>
      <c r="I553" s="60"/>
      <c r="J553" s="61"/>
      <c r="K553" s="61"/>
      <c r="L553" s="59"/>
      <c r="M553" s="59"/>
      <c r="N553" s="59"/>
      <c r="O553" s="59"/>
      <c r="P553" s="20"/>
      <c r="Q553" s="20"/>
      <c r="R553" s="20"/>
      <c r="S553" s="20"/>
      <c r="T553" s="62"/>
      <c r="U553" s="62"/>
      <c r="V553" s="20"/>
      <c r="W553" s="20"/>
      <c r="X553" s="20"/>
      <c r="Y553" s="20"/>
      <c r="Z553" s="20"/>
      <c r="AA553" s="20"/>
    </row>
    <row r="554" spans="1:27" ht="15.75" customHeight="1">
      <c r="A554" s="48"/>
      <c r="B554" s="56"/>
      <c r="C554" s="56"/>
      <c r="D554" s="57"/>
      <c r="E554" s="20"/>
      <c r="F554" s="58"/>
      <c r="G554" s="20"/>
      <c r="H554" s="60"/>
      <c r="I554" s="60"/>
      <c r="J554" s="61"/>
      <c r="K554" s="61"/>
      <c r="L554" s="59"/>
      <c r="M554" s="59"/>
      <c r="N554" s="59"/>
      <c r="O554" s="59"/>
      <c r="P554" s="20"/>
      <c r="Q554" s="20"/>
      <c r="R554" s="20"/>
      <c r="S554" s="20"/>
      <c r="T554" s="62"/>
      <c r="U554" s="62"/>
      <c r="V554" s="20"/>
      <c r="W554" s="20"/>
      <c r="X554" s="20"/>
      <c r="Y554" s="20"/>
      <c r="Z554" s="20"/>
      <c r="AA554" s="20"/>
    </row>
    <row r="555" spans="1:27" ht="15.75" customHeight="1">
      <c r="A555" s="48"/>
      <c r="B555" s="56"/>
      <c r="C555" s="56"/>
      <c r="D555" s="57"/>
      <c r="E555" s="20"/>
      <c r="F555" s="58"/>
      <c r="G555" s="20"/>
      <c r="H555" s="60"/>
      <c r="I555" s="60"/>
      <c r="J555" s="61"/>
      <c r="K555" s="61"/>
      <c r="L555" s="59"/>
      <c r="M555" s="59"/>
      <c r="N555" s="59"/>
      <c r="O555" s="59"/>
      <c r="P555" s="20"/>
      <c r="Q555" s="20"/>
      <c r="R555" s="20"/>
      <c r="S555" s="20"/>
      <c r="T555" s="62"/>
      <c r="U555" s="62"/>
      <c r="V555" s="20"/>
      <c r="W555" s="20"/>
      <c r="X555" s="20"/>
      <c r="Y555" s="20"/>
      <c r="Z555" s="20"/>
      <c r="AA555" s="20"/>
    </row>
    <row r="556" spans="1:27" ht="15.75" customHeight="1">
      <c r="A556" s="48"/>
      <c r="B556" s="56"/>
      <c r="C556" s="56"/>
      <c r="D556" s="57"/>
      <c r="E556" s="20"/>
      <c r="F556" s="58"/>
      <c r="G556" s="20"/>
      <c r="H556" s="60"/>
      <c r="I556" s="60"/>
      <c r="J556" s="61"/>
      <c r="K556" s="61"/>
      <c r="L556" s="59"/>
      <c r="M556" s="59"/>
      <c r="N556" s="59"/>
      <c r="O556" s="59"/>
      <c r="P556" s="20"/>
      <c r="Q556" s="20"/>
      <c r="R556" s="20"/>
      <c r="S556" s="20"/>
      <c r="T556" s="62"/>
      <c r="U556" s="62"/>
      <c r="V556" s="20"/>
      <c r="W556" s="20"/>
      <c r="X556" s="20"/>
      <c r="Y556" s="20"/>
      <c r="Z556" s="20"/>
      <c r="AA556" s="20"/>
    </row>
    <row r="557" spans="1:27" ht="15.75" customHeight="1">
      <c r="A557" s="48"/>
      <c r="B557" s="56"/>
      <c r="C557" s="56"/>
      <c r="D557" s="57"/>
      <c r="E557" s="20"/>
      <c r="F557" s="58"/>
      <c r="G557" s="20"/>
      <c r="H557" s="60"/>
      <c r="I557" s="60"/>
      <c r="J557" s="61"/>
      <c r="K557" s="61"/>
      <c r="L557" s="59"/>
      <c r="M557" s="59"/>
      <c r="N557" s="59"/>
      <c r="O557" s="59"/>
      <c r="P557" s="20"/>
      <c r="Q557" s="20"/>
      <c r="R557" s="20"/>
      <c r="S557" s="20"/>
      <c r="T557" s="62"/>
      <c r="U557" s="62"/>
      <c r="V557" s="20"/>
      <c r="W557" s="20"/>
      <c r="X557" s="20"/>
      <c r="Y557" s="20"/>
      <c r="Z557" s="20"/>
      <c r="AA557" s="20"/>
    </row>
    <row r="558" spans="1:27" ht="15.75" customHeight="1">
      <c r="A558" s="48"/>
      <c r="B558" s="56"/>
      <c r="C558" s="56"/>
      <c r="D558" s="57"/>
      <c r="E558" s="20"/>
      <c r="F558" s="58"/>
      <c r="G558" s="20"/>
      <c r="H558" s="60"/>
      <c r="I558" s="60"/>
      <c r="J558" s="61"/>
      <c r="K558" s="61"/>
      <c r="L558" s="59"/>
      <c r="M558" s="59"/>
      <c r="N558" s="59"/>
      <c r="O558" s="59"/>
      <c r="P558" s="20"/>
      <c r="Q558" s="20"/>
      <c r="R558" s="20"/>
      <c r="S558" s="20"/>
      <c r="T558" s="62"/>
      <c r="U558" s="62"/>
      <c r="V558" s="20"/>
      <c r="W558" s="20"/>
      <c r="X558" s="20"/>
      <c r="Y558" s="20"/>
      <c r="Z558" s="20"/>
      <c r="AA558" s="20"/>
    </row>
    <row r="559" spans="1:27" ht="15.75" customHeight="1">
      <c r="A559" s="48"/>
      <c r="B559" s="56"/>
      <c r="C559" s="56"/>
      <c r="D559" s="57"/>
      <c r="E559" s="20"/>
      <c r="F559" s="58"/>
      <c r="G559" s="20"/>
      <c r="H559" s="60"/>
      <c r="I559" s="60"/>
      <c r="J559" s="61"/>
      <c r="K559" s="61"/>
      <c r="L559" s="59"/>
      <c r="M559" s="59"/>
      <c r="N559" s="59"/>
      <c r="O559" s="59"/>
      <c r="P559" s="20"/>
      <c r="Q559" s="20"/>
      <c r="R559" s="20"/>
      <c r="S559" s="20"/>
      <c r="T559" s="62"/>
      <c r="U559" s="62"/>
      <c r="V559" s="20"/>
      <c r="W559" s="20"/>
      <c r="X559" s="20"/>
      <c r="Y559" s="20"/>
      <c r="Z559" s="20"/>
      <c r="AA559" s="20"/>
    </row>
    <row r="560" spans="1:27" ht="15.75" customHeight="1">
      <c r="A560" s="48"/>
      <c r="B560" s="56"/>
      <c r="C560" s="56"/>
      <c r="D560" s="57"/>
      <c r="E560" s="20"/>
      <c r="F560" s="58"/>
      <c r="G560" s="20"/>
      <c r="H560" s="60"/>
      <c r="I560" s="60"/>
      <c r="J560" s="61"/>
      <c r="K560" s="61"/>
      <c r="L560" s="59"/>
      <c r="M560" s="59"/>
      <c r="N560" s="59"/>
      <c r="O560" s="59"/>
      <c r="P560" s="20"/>
      <c r="Q560" s="20"/>
      <c r="R560" s="20"/>
      <c r="S560" s="20"/>
      <c r="T560" s="62"/>
      <c r="U560" s="62"/>
      <c r="V560" s="20"/>
      <c r="W560" s="20"/>
      <c r="X560" s="20"/>
      <c r="Y560" s="20"/>
      <c r="Z560" s="20"/>
      <c r="AA560" s="20"/>
    </row>
    <row r="561" spans="1:27" ht="15.75" customHeight="1">
      <c r="A561" s="48"/>
      <c r="B561" s="56"/>
      <c r="C561" s="56"/>
      <c r="D561" s="57"/>
      <c r="E561" s="20"/>
      <c r="F561" s="58"/>
      <c r="G561" s="20"/>
      <c r="H561" s="60"/>
      <c r="I561" s="60"/>
      <c r="J561" s="61"/>
      <c r="K561" s="61"/>
      <c r="L561" s="59"/>
      <c r="M561" s="59"/>
      <c r="N561" s="59"/>
      <c r="O561" s="59"/>
      <c r="P561" s="20"/>
      <c r="Q561" s="20"/>
      <c r="R561" s="20"/>
      <c r="S561" s="20"/>
      <c r="T561" s="62"/>
      <c r="U561" s="62"/>
      <c r="V561" s="20"/>
      <c r="W561" s="20"/>
      <c r="X561" s="20"/>
      <c r="Y561" s="20"/>
      <c r="Z561" s="20"/>
      <c r="AA561" s="20"/>
    </row>
    <row r="562" spans="1:27" ht="15.75" customHeight="1">
      <c r="A562" s="48"/>
      <c r="B562" s="56"/>
      <c r="C562" s="56"/>
      <c r="D562" s="57"/>
      <c r="E562" s="20"/>
      <c r="F562" s="58"/>
      <c r="G562" s="20"/>
      <c r="H562" s="60"/>
      <c r="I562" s="60"/>
      <c r="J562" s="61"/>
      <c r="K562" s="61"/>
      <c r="L562" s="59"/>
      <c r="M562" s="59"/>
      <c r="N562" s="59"/>
      <c r="O562" s="59"/>
      <c r="P562" s="20"/>
      <c r="Q562" s="20"/>
      <c r="R562" s="20"/>
      <c r="S562" s="20"/>
      <c r="T562" s="62"/>
      <c r="U562" s="62"/>
      <c r="V562" s="20"/>
      <c r="W562" s="20"/>
      <c r="X562" s="20"/>
      <c r="Y562" s="20"/>
      <c r="Z562" s="20"/>
      <c r="AA562" s="20"/>
    </row>
    <row r="563" spans="1:27" ht="15.75" customHeight="1">
      <c r="A563" s="48"/>
      <c r="B563" s="56"/>
      <c r="C563" s="56"/>
      <c r="D563" s="57"/>
      <c r="E563" s="20"/>
      <c r="F563" s="58"/>
      <c r="G563" s="20"/>
      <c r="H563" s="60"/>
      <c r="I563" s="60"/>
      <c r="J563" s="61"/>
      <c r="K563" s="61"/>
      <c r="L563" s="59"/>
      <c r="M563" s="59"/>
      <c r="N563" s="59"/>
      <c r="O563" s="59"/>
      <c r="P563" s="20"/>
      <c r="Q563" s="20"/>
      <c r="R563" s="20"/>
      <c r="S563" s="20"/>
      <c r="T563" s="62"/>
      <c r="U563" s="62"/>
      <c r="V563" s="20"/>
      <c r="W563" s="20"/>
      <c r="X563" s="20"/>
      <c r="Y563" s="20"/>
      <c r="Z563" s="20"/>
      <c r="AA563" s="20"/>
    </row>
    <row r="564" spans="1:27" ht="15.75" customHeight="1">
      <c r="A564" s="48"/>
      <c r="B564" s="56"/>
      <c r="C564" s="56"/>
      <c r="D564" s="57"/>
      <c r="E564" s="20"/>
      <c r="F564" s="58"/>
      <c r="G564" s="20"/>
      <c r="H564" s="60"/>
      <c r="I564" s="60"/>
      <c r="J564" s="61"/>
      <c r="K564" s="61"/>
      <c r="L564" s="59"/>
      <c r="M564" s="59"/>
      <c r="N564" s="59"/>
      <c r="O564" s="59"/>
      <c r="P564" s="20"/>
      <c r="Q564" s="20"/>
      <c r="R564" s="20"/>
      <c r="S564" s="20"/>
      <c r="T564" s="62"/>
      <c r="U564" s="62"/>
      <c r="V564" s="20"/>
      <c r="W564" s="20"/>
      <c r="X564" s="20"/>
      <c r="Y564" s="20"/>
      <c r="Z564" s="20"/>
      <c r="AA564" s="20"/>
    </row>
    <row r="565" spans="1:27" ht="15.75" customHeight="1">
      <c r="A565" s="48"/>
      <c r="B565" s="56"/>
      <c r="C565" s="56"/>
      <c r="D565" s="57"/>
      <c r="E565" s="20"/>
      <c r="F565" s="58"/>
      <c r="G565" s="20"/>
      <c r="H565" s="60"/>
      <c r="I565" s="60"/>
      <c r="J565" s="61"/>
      <c r="K565" s="61"/>
      <c r="L565" s="59"/>
      <c r="M565" s="59"/>
      <c r="N565" s="59"/>
      <c r="O565" s="59"/>
      <c r="P565" s="20"/>
      <c r="Q565" s="20"/>
      <c r="R565" s="20"/>
      <c r="S565" s="20"/>
      <c r="T565" s="62"/>
      <c r="U565" s="62"/>
      <c r="V565" s="20"/>
      <c r="W565" s="20"/>
      <c r="X565" s="20"/>
      <c r="Y565" s="20"/>
      <c r="Z565" s="20"/>
      <c r="AA565" s="20"/>
    </row>
    <row r="566" spans="1:27" ht="15.75" customHeight="1">
      <c r="A566" s="48"/>
      <c r="B566" s="56"/>
      <c r="C566" s="56"/>
      <c r="D566" s="57"/>
      <c r="E566" s="20"/>
      <c r="F566" s="58"/>
      <c r="G566" s="20"/>
      <c r="H566" s="60"/>
      <c r="I566" s="60"/>
      <c r="J566" s="61"/>
      <c r="K566" s="61"/>
      <c r="L566" s="59"/>
      <c r="M566" s="59"/>
      <c r="N566" s="59"/>
      <c r="O566" s="59"/>
      <c r="P566" s="20"/>
      <c r="Q566" s="20"/>
      <c r="R566" s="20"/>
      <c r="S566" s="20"/>
      <c r="T566" s="62"/>
      <c r="U566" s="62"/>
      <c r="V566" s="20"/>
      <c r="W566" s="20"/>
      <c r="X566" s="20"/>
      <c r="Y566" s="20"/>
      <c r="Z566" s="20"/>
      <c r="AA566" s="20"/>
    </row>
    <row r="567" spans="1:27" ht="15.75" customHeight="1">
      <c r="A567" s="48"/>
      <c r="B567" s="56"/>
      <c r="C567" s="56"/>
      <c r="D567" s="57"/>
      <c r="E567" s="20"/>
      <c r="F567" s="58"/>
      <c r="G567" s="20"/>
      <c r="H567" s="60"/>
      <c r="I567" s="60"/>
      <c r="J567" s="61"/>
      <c r="K567" s="61"/>
      <c r="L567" s="59"/>
      <c r="M567" s="59"/>
      <c r="N567" s="59"/>
      <c r="O567" s="59"/>
      <c r="P567" s="20"/>
      <c r="Q567" s="20"/>
      <c r="R567" s="20"/>
      <c r="S567" s="20"/>
      <c r="T567" s="62"/>
      <c r="U567" s="62"/>
      <c r="V567" s="20"/>
      <c r="W567" s="20"/>
      <c r="X567" s="20"/>
      <c r="Y567" s="20"/>
      <c r="Z567" s="20"/>
      <c r="AA567" s="20"/>
    </row>
    <row r="568" spans="1:27" ht="15.75" customHeight="1">
      <c r="A568" s="48"/>
      <c r="B568" s="56"/>
      <c r="C568" s="56"/>
      <c r="D568" s="57"/>
      <c r="E568" s="20"/>
      <c r="F568" s="58"/>
      <c r="G568" s="20"/>
      <c r="H568" s="60"/>
      <c r="I568" s="60"/>
      <c r="J568" s="61"/>
      <c r="K568" s="61"/>
      <c r="L568" s="59"/>
      <c r="M568" s="59"/>
      <c r="N568" s="59"/>
      <c r="O568" s="59"/>
      <c r="P568" s="20"/>
      <c r="Q568" s="20"/>
      <c r="R568" s="20"/>
      <c r="S568" s="20"/>
      <c r="T568" s="62"/>
      <c r="U568" s="62"/>
      <c r="V568" s="20"/>
      <c r="W568" s="20"/>
      <c r="X568" s="20"/>
      <c r="Y568" s="20"/>
      <c r="Z568" s="20"/>
      <c r="AA568" s="20"/>
    </row>
    <row r="569" spans="1:27" ht="15.75" customHeight="1">
      <c r="A569" s="48"/>
      <c r="B569" s="56"/>
      <c r="C569" s="56"/>
      <c r="D569" s="57"/>
      <c r="E569" s="20"/>
      <c r="F569" s="58"/>
      <c r="G569" s="20"/>
      <c r="H569" s="60"/>
      <c r="I569" s="60"/>
      <c r="J569" s="61"/>
      <c r="K569" s="61"/>
      <c r="L569" s="59"/>
      <c r="M569" s="59"/>
      <c r="N569" s="59"/>
      <c r="O569" s="59"/>
      <c r="P569" s="20"/>
      <c r="Q569" s="20"/>
      <c r="R569" s="20"/>
      <c r="S569" s="20"/>
      <c r="T569" s="62"/>
      <c r="U569" s="62"/>
      <c r="V569" s="20"/>
      <c r="W569" s="20"/>
      <c r="X569" s="20"/>
      <c r="Y569" s="20"/>
      <c r="Z569" s="20"/>
      <c r="AA569" s="20"/>
    </row>
    <row r="570" spans="1:27" ht="15.75" customHeight="1">
      <c r="A570" s="48"/>
      <c r="B570" s="56"/>
      <c r="C570" s="56"/>
      <c r="D570" s="57"/>
      <c r="E570" s="20"/>
      <c r="F570" s="58"/>
      <c r="G570" s="20"/>
      <c r="H570" s="60"/>
      <c r="I570" s="60"/>
      <c r="J570" s="61"/>
      <c r="K570" s="61"/>
      <c r="L570" s="59"/>
      <c r="M570" s="59"/>
      <c r="N570" s="59"/>
      <c r="O570" s="59"/>
      <c r="P570" s="20"/>
      <c r="Q570" s="20"/>
      <c r="R570" s="20"/>
      <c r="S570" s="20"/>
      <c r="T570" s="62"/>
      <c r="U570" s="62"/>
      <c r="V570" s="20"/>
      <c r="W570" s="20"/>
      <c r="X570" s="20"/>
      <c r="Y570" s="20"/>
      <c r="Z570" s="20"/>
      <c r="AA570" s="20"/>
    </row>
    <row r="571" spans="1:27" ht="15.75" customHeight="1">
      <c r="A571" s="48"/>
      <c r="B571" s="56"/>
      <c r="C571" s="56"/>
      <c r="D571" s="57"/>
      <c r="E571" s="20"/>
      <c r="F571" s="58"/>
      <c r="G571" s="20"/>
      <c r="H571" s="60"/>
      <c r="I571" s="60"/>
      <c r="J571" s="61"/>
      <c r="K571" s="61"/>
      <c r="L571" s="59"/>
      <c r="M571" s="59"/>
      <c r="N571" s="59"/>
      <c r="O571" s="59"/>
      <c r="P571" s="20"/>
      <c r="Q571" s="20"/>
      <c r="R571" s="20"/>
      <c r="S571" s="20"/>
      <c r="T571" s="62"/>
      <c r="U571" s="62"/>
      <c r="V571" s="20"/>
      <c r="W571" s="20"/>
      <c r="X571" s="20"/>
      <c r="Y571" s="20"/>
      <c r="Z571" s="20"/>
      <c r="AA571" s="20"/>
    </row>
    <row r="572" spans="1:27" ht="15.75" customHeight="1">
      <c r="A572" s="48"/>
      <c r="B572" s="56"/>
      <c r="C572" s="56"/>
      <c r="D572" s="57"/>
      <c r="E572" s="20"/>
      <c r="F572" s="58"/>
      <c r="G572" s="20"/>
      <c r="H572" s="60"/>
      <c r="I572" s="60"/>
      <c r="J572" s="61"/>
      <c r="K572" s="61"/>
      <c r="L572" s="59"/>
      <c r="M572" s="59"/>
      <c r="N572" s="59"/>
      <c r="O572" s="59"/>
      <c r="P572" s="20"/>
      <c r="Q572" s="20"/>
      <c r="R572" s="20"/>
      <c r="S572" s="20"/>
      <c r="T572" s="62"/>
      <c r="U572" s="62"/>
      <c r="V572" s="20"/>
      <c r="W572" s="20"/>
      <c r="X572" s="20"/>
      <c r="Y572" s="20"/>
      <c r="Z572" s="20"/>
      <c r="AA572" s="20"/>
    </row>
    <row r="573" spans="1:27" ht="15.75" customHeight="1">
      <c r="A573" s="48"/>
      <c r="B573" s="56"/>
      <c r="C573" s="56"/>
      <c r="D573" s="57"/>
      <c r="E573" s="20"/>
      <c r="F573" s="58"/>
      <c r="G573" s="20"/>
      <c r="H573" s="60"/>
      <c r="I573" s="60"/>
      <c r="J573" s="61"/>
      <c r="K573" s="61"/>
      <c r="L573" s="59"/>
      <c r="M573" s="59"/>
      <c r="N573" s="59"/>
      <c r="O573" s="59"/>
      <c r="P573" s="20"/>
      <c r="Q573" s="20"/>
      <c r="R573" s="20"/>
      <c r="S573" s="20"/>
      <c r="T573" s="62"/>
      <c r="U573" s="62"/>
      <c r="V573" s="20"/>
      <c r="W573" s="20"/>
      <c r="X573" s="20"/>
      <c r="Y573" s="20"/>
      <c r="Z573" s="20"/>
      <c r="AA573" s="20"/>
    </row>
    <row r="574" spans="1:27" ht="15.75" customHeight="1">
      <c r="A574" s="48"/>
      <c r="B574" s="56"/>
      <c r="C574" s="56"/>
      <c r="D574" s="57"/>
      <c r="E574" s="20"/>
      <c r="F574" s="58"/>
      <c r="G574" s="20"/>
      <c r="H574" s="60"/>
      <c r="I574" s="60"/>
      <c r="J574" s="61"/>
      <c r="K574" s="61"/>
      <c r="L574" s="59"/>
      <c r="M574" s="59"/>
      <c r="N574" s="59"/>
      <c r="O574" s="59"/>
      <c r="P574" s="20"/>
      <c r="Q574" s="20"/>
      <c r="R574" s="20"/>
      <c r="S574" s="20"/>
      <c r="T574" s="62"/>
      <c r="U574" s="62"/>
      <c r="V574" s="20"/>
      <c r="W574" s="20"/>
      <c r="X574" s="20"/>
      <c r="Y574" s="20"/>
      <c r="Z574" s="20"/>
      <c r="AA574" s="20"/>
    </row>
    <row r="575" spans="1:27" ht="15.75" customHeight="1">
      <c r="A575" s="48"/>
      <c r="B575" s="56"/>
      <c r="C575" s="56"/>
      <c r="D575" s="57"/>
      <c r="E575" s="20"/>
      <c r="F575" s="58"/>
      <c r="G575" s="20"/>
      <c r="H575" s="60"/>
      <c r="I575" s="60"/>
      <c r="J575" s="61"/>
      <c r="K575" s="61"/>
      <c r="L575" s="59"/>
      <c r="M575" s="59"/>
      <c r="N575" s="59"/>
      <c r="O575" s="59"/>
      <c r="P575" s="20"/>
      <c r="Q575" s="20"/>
      <c r="R575" s="20"/>
      <c r="S575" s="20"/>
      <c r="T575" s="62"/>
      <c r="U575" s="62"/>
      <c r="V575" s="20"/>
      <c r="W575" s="20"/>
      <c r="X575" s="20"/>
      <c r="Y575" s="20"/>
      <c r="Z575" s="20"/>
      <c r="AA575" s="20"/>
    </row>
    <row r="576" spans="1:27" ht="15.75" customHeight="1">
      <c r="A576" s="48"/>
      <c r="B576" s="56"/>
      <c r="C576" s="56"/>
      <c r="D576" s="57"/>
      <c r="E576" s="20"/>
      <c r="F576" s="58"/>
      <c r="G576" s="20"/>
      <c r="H576" s="60"/>
      <c r="I576" s="60"/>
      <c r="J576" s="61"/>
      <c r="K576" s="61"/>
      <c r="L576" s="59"/>
      <c r="M576" s="59"/>
      <c r="N576" s="59"/>
      <c r="O576" s="59"/>
      <c r="P576" s="20"/>
      <c r="Q576" s="20"/>
      <c r="R576" s="20"/>
      <c r="S576" s="20"/>
      <c r="T576" s="62"/>
      <c r="U576" s="62"/>
      <c r="V576" s="20"/>
      <c r="W576" s="20"/>
      <c r="X576" s="20"/>
      <c r="Y576" s="20"/>
      <c r="Z576" s="20"/>
      <c r="AA576" s="20"/>
    </row>
    <row r="577" spans="1:27" ht="15.75" customHeight="1">
      <c r="A577" s="48"/>
      <c r="B577" s="56"/>
      <c r="C577" s="56"/>
      <c r="D577" s="57"/>
      <c r="E577" s="20"/>
      <c r="F577" s="58"/>
      <c r="G577" s="20"/>
      <c r="H577" s="60"/>
      <c r="I577" s="60"/>
      <c r="J577" s="61"/>
      <c r="K577" s="61"/>
      <c r="L577" s="59"/>
      <c r="M577" s="59"/>
      <c r="N577" s="59"/>
      <c r="O577" s="59"/>
      <c r="P577" s="20"/>
      <c r="Q577" s="20"/>
      <c r="R577" s="20"/>
      <c r="S577" s="20"/>
      <c r="T577" s="62"/>
      <c r="U577" s="62"/>
      <c r="V577" s="20"/>
      <c r="W577" s="20"/>
      <c r="X577" s="20"/>
      <c r="Y577" s="20"/>
      <c r="Z577" s="20"/>
      <c r="AA577" s="20"/>
    </row>
    <row r="578" spans="1:27" ht="15.75" customHeight="1">
      <c r="A578" s="48"/>
      <c r="B578" s="56"/>
      <c r="C578" s="56"/>
      <c r="D578" s="57"/>
      <c r="E578" s="20"/>
      <c r="F578" s="58"/>
      <c r="G578" s="20"/>
      <c r="H578" s="60"/>
      <c r="I578" s="60"/>
      <c r="J578" s="61"/>
      <c r="K578" s="61"/>
      <c r="L578" s="59"/>
      <c r="M578" s="59"/>
      <c r="N578" s="59"/>
      <c r="O578" s="59"/>
      <c r="P578" s="20"/>
      <c r="Q578" s="20"/>
      <c r="R578" s="20"/>
      <c r="S578" s="20"/>
      <c r="T578" s="62"/>
      <c r="U578" s="62"/>
      <c r="V578" s="20"/>
      <c r="W578" s="20"/>
      <c r="X578" s="20"/>
      <c r="Y578" s="20"/>
      <c r="Z578" s="20"/>
      <c r="AA578" s="20"/>
    </row>
    <row r="579" spans="1:27" ht="15.75" customHeight="1">
      <c r="A579" s="48"/>
      <c r="B579" s="56"/>
      <c r="C579" s="56"/>
      <c r="D579" s="57"/>
      <c r="E579" s="20"/>
      <c r="F579" s="58"/>
      <c r="G579" s="20"/>
      <c r="H579" s="60"/>
      <c r="I579" s="60"/>
      <c r="J579" s="61"/>
      <c r="K579" s="61"/>
      <c r="L579" s="59"/>
      <c r="M579" s="59"/>
      <c r="N579" s="59"/>
      <c r="O579" s="59"/>
      <c r="P579" s="20"/>
      <c r="Q579" s="20"/>
      <c r="R579" s="20"/>
      <c r="S579" s="20"/>
      <c r="T579" s="62"/>
      <c r="U579" s="62"/>
      <c r="V579" s="20"/>
      <c r="W579" s="20"/>
      <c r="X579" s="20"/>
      <c r="Y579" s="20"/>
      <c r="Z579" s="20"/>
      <c r="AA579" s="20"/>
    </row>
    <row r="580" spans="1:27" ht="15.75" customHeight="1">
      <c r="A580" s="48"/>
      <c r="B580" s="56"/>
      <c r="C580" s="56"/>
      <c r="D580" s="57"/>
      <c r="E580" s="20"/>
      <c r="F580" s="58"/>
      <c r="G580" s="20"/>
      <c r="H580" s="60"/>
      <c r="I580" s="60"/>
      <c r="J580" s="61"/>
      <c r="K580" s="61"/>
      <c r="L580" s="59"/>
      <c r="M580" s="59"/>
      <c r="N580" s="59"/>
      <c r="O580" s="59"/>
      <c r="P580" s="20"/>
      <c r="Q580" s="20"/>
      <c r="R580" s="20"/>
      <c r="S580" s="20"/>
      <c r="T580" s="62"/>
      <c r="U580" s="62"/>
      <c r="V580" s="20"/>
      <c r="W580" s="20"/>
      <c r="X580" s="20"/>
      <c r="Y580" s="20"/>
      <c r="Z580" s="20"/>
      <c r="AA580" s="20"/>
    </row>
    <row r="581" spans="1:27" ht="15.75" customHeight="1">
      <c r="A581" s="48"/>
      <c r="B581" s="56"/>
      <c r="C581" s="56"/>
      <c r="D581" s="57"/>
      <c r="E581" s="20"/>
      <c r="F581" s="58"/>
      <c r="G581" s="20"/>
      <c r="H581" s="60"/>
      <c r="I581" s="60"/>
      <c r="J581" s="61"/>
      <c r="K581" s="61"/>
      <c r="L581" s="59"/>
      <c r="M581" s="59"/>
      <c r="N581" s="59"/>
      <c r="O581" s="59"/>
      <c r="P581" s="20"/>
      <c r="Q581" s="20"/>
      <c r="R581" s="20"/>
      <c r="S581" s="20"/>
      <c r="T581" s="62"/>
      <c r="U581" s="62"/>
      <c r="V581" s="20"/>
      <c r="W581" s="20"/>
      <c r="X581" s="20"/>
      <c r="Y581" s="20"/>
      <c r="Z581" s="20"/>
      <c r="AA581" s="20"/>
    </row>
    <row r="582" spans="1:27" ht="15.75" customHeight="1">
      <c r="A582" s="48"/>
      <c r="B582" s="56"/>
      <c r="C582" s="56"/>
      <c r="D582" s="57"/>
      <c r="E582" s="20"/>
      <c r="F582" s="58"/>
      <c r="G582" s="20"/>
      <c r="H582" s="60"/>
      <c r="I582" s="60"/>
      <c r="J582" s="61"/>
      <c r="K582" s="61"/>
      <c r="L582" s="59"/>
      <c r="M582" s="59"/>
      <c r="N582" s="59"/>
      <c r="O582" s="59"/>
      <c r="P582" s="20"/>
      <c r="Q582" s="20"/>
      <c r="R582" s="20"/>
      <c r="S582" s="20"/>
      <c r="T582" s="62"/>
      <c r="U582" s="62"/>
      <c r="V582" s="20"/>
      <c r="W582" s="20"/>
      <c r="X582" s="20"/>
      <c r="Y582" s="20"/>
      <c r="Z582" s="20"/>
      <c r="AA582" s="20"/>
    </row>
    <row r="583" spans="1:27" ht="15.75" customHeight="1">
      <c r="A583" s="48"/>
      <c r="B583" s="56"/>
      <c r="C583" s="56"/>
      <c r="D583" s="57"/>
      <c r="E583" s="20"/>
      <c r="F583" s="58"/>
      <c r="G583" s="20"/>
      <c r="H583" s="60"/>
      <c r="I583" s="60"/>
      <c r="J583" s="61"/>
      <c r="K583" s="61"/>
      <c r="L583" s="59"/>
      <c r="M583" s="59"/>
      <c r="N583" s="59"/>
      <c r="O583" s="59"/>
      <c r="P583" s="20"/>
      <c r="Q583" s="20"/>
      <c r="R583" s="20"/>
      <c r="S583" s="20"/>
      <c r="T583" s="62"/>
      <c r="U583" s="62"/>
      <c r="V583" s="20"/>
      <c r="W583" s="20"/>
      <c r="X583" s="20"/>
      <c r="Y583" s="20"/>
      <c r="Z583" s="20"/>
      <c r="AA583" s="20"/>
    </row>
    <row r="584" spans="1:27" ht="15.75" customHeight="1">
      <c r="A584" s="48"/>
      <c r="B584" s="56"/>
      <c r="C584" s="56"/>
      <c r="D584" s="57"/>
      <c r="E584" s="20"/>
      <c r="F584" s="58"/>
      <c r="G584" s="20"/>
      <c r="H584" s="60"/>
      <c r="I584" s="60"/>
      <c r="J584" s="61"/>
      <c r="K584" s="61"/>
      <c r="L584" s="59"/>
      <c r="M584" s="59"/>
      <c r="N584" s="59"/>
      <c r="O584" s="59"/>
      <c r="P584" s="20"/>
      <c r="Q584" s="20"/>
      <c r="R584" s="20"/>
      <c r="S584" s="20"/>
      <c r="T584" s="62"/>
      <c r="U584" s="62"/>
      <c r="V584" s="20"/>
      <c r="W584" s="20"/>
      <c r="X584" s="20"/>
      <c r="Y584" s="20"/>
      <c r="Z584" s="20"/>
      <c r="AA584" s="20"/>
    </row>
    <row r="585" spans="1:27" ht="15.75" customHeight="1">
      <c r="A585" s="48"/>
      <c r="B585" s="56"/>
      <c r="C585" s="56"/>
      <c r="D585" s="57"/>
      <c r="E585" s="20"/>
      <c r="F585" s="58"/>
      <c r="G585" s="20"/>
      <c r="H585" s="60"/>
      <c r="I585" s="60"/>
      <c r="J585" s="61"/>
      <c r="K585" s="61"/>
      <c r="L585" s="59"/>
      <c r="M585" s="59"/>
      <c r="N585" s="59"/>
      <c r="O585" s="59"/>
      <c r="P585" s="20"/>
      <c r="Q585" s="20"/>
      <c r="R585" s="20"/>
      <c r="S585" s="20"/>
      <c r="T585" s="62"/>
      <c r="U585" s="62"/>
      <c r="V585" s="20"/>
      <c r="W585" s="20"/>
      <c r="X585" s="20"/>
      <c r="Y585" s="20"/>
      <c r="Z585" s="20"/>
      <c r="AA585" s="20"/>
    </row>
    <row r="586" spans="1:27" ht="15.75" customHeight="1">
      <c r="A586" s="48"/>
      <c r="B586" s="56"/>
      <c r="C586" s="56"/>
      <c r="D586" s="57"/>
      <c r="E586" s="20"/>
      <c r="F586" s="58"/>
      <c r="G586" s="20"/>
      <c r="H586" s="60"/>
      <c r="I586" s="60"/>
      <c r="J586" s="61"/>
      <c r="K586" s="61"/>
      <c r="L586" s="59"/>
      <c r="M586" s="59"/>
      <c r="N586" s="59"/>
      <c r="O586" s="59"/>
      <c r="P586" s="20"/>
      <c r="Q586" s="20"/>
      <c r="R586" s="20"/>
      <c r="S586" s="20"/>
      <c r="T586" s="62"/>
      <c r="U586" s="62"/>
      <c r="V586" s="20"/>
      <c r="W586" s="20"/>
      <c r="X586" s="20"/>
      <c r="Y586" s="20"/>
      <c r="Z586" s="20"/>
      <c r="AA586" s="20"/>
    </row>
    <row r="587" spans="1:27" ht="15.75" customHeight="1">
      <c r="A587" s="48"/>
      <c r="B587" s="56"/>
      <c r="C587" s="56"/>
      <c r="D587" s="57"/>
      <c r="E587" s="20"/>
      <c r="F587" s="58"/>
      <c r="G587" s="20"/>
      <c r="H587" s="60"/>
      <c r="I587" s="60"/>
      <c r="J587" s="61"/>
      <c r="K587" s="61"/>
      <c r="L587" s="59"/>
      <c r="M587" s="59"/>
      <c r="N587" s="59"/>
      <c r="O587" s="59"/>
      <c r="P587" s="20"/>
      <c r="Q587" s="20"/>
      <c r="R587" s="20"/>
      <c r="S587" s="20"/>
      <c r="T587" s="62"/>
      <c r="U587" s="62"/>
      <c r="V587" s="20"/>
      <c r="W587" s="20"/>
      <c r="X587" s="20"/>
      <c r="Y587" s="20"/>
      <c r="Z587" s="20"/>
      <c r="AA587" s="20"/>
    </row>
    <row r="588" spans="1:27" ht="15.75" customHeight="1">
      <c r="A588" s="48"/>
      <c r="B588" s="56"/>
      <c r="C588" s="56"/>
      <c r="D588" s="57"/>
      <c r="E588" s="20"/>
      <c r="F588" s="58"/>
      <c r="G588" s="20"/>
      <c r="H588" s="60"/>
      <c r="I588" s="60"/>
      <c r="J588" s="61"/>
      <c r="K588" s="61"/>
      <c r="L588" s="59"/>
      <c r="M588" s="59"/>
      <c r="N588" s="59"/>
      <c r="O588" s="59"/>
      <c r="P588" s="20"/>
      <c r="Q588" s="20"/>
      <c r="R588" s="20"/>
      <c r="S588" s="20"/>
      <c r="T588" s="62"/>
      <c r="U588" s="62"/>
      <c r="V588" s="20"/>
      <c r="W588" s="20"/>
      <c r="X588" s="20"/>
      <c r="Y588" s="20"/>
      <c r="Z588" s="20"/>
      <c r="AA588" s="20"/>
    </row>
    <row r="589" spans="1:27" ht="15.75" customHeight="1">
      <c r="A589" s="48"/>
      <c r="B589" s="56"/>
      <c r="C589" s="56"/>
      <c r="D589" s="57"/>
      <c r="E589" s="20"/>
      <c r="F589" s="58"/>
      <c r="G589" s="20"/>
      <c r="H589" s="60"/>
      <c r="I589" s="60"/>
      <c r="J589" s="61"/>
      <c r="K589" s="61"/>
      <c r="L589" s="59"/>
      <c r="M589" s="59"/>
      <c r="N589" s="59"/>
      <c r="O589" s="59"/>
      <c r="P589" s="20"/>
      <c r="Q589" s="20"/>
      <c r="R589" s="20"/>
      <c r="S589" s="20"/>
      <c r="T589" s="62"/>
      <c r="U589" s="62"/>
      <c r="V589" s="20"/>
      <c r="W589" s="20"/>
      <c r="X589" s="20"/>
      <c r="Y589" s="20"/>
      <c r="Z589" s="20"/>
      <c r="AA589" s="20"/>
    </row>
    <row r="590" spans="1:27" ht="15.75" customHeight="1">
      <c r="A590" s="48"/>
      <c r="B590" s="56"/>
      <c r="C590" s="56"/>
      <c r="D590" s="57"/>
      <c r="E590" s="20"/>
      <c r="F590" s="58"/>
      <c r="G590" s="20"/>
      <c r="H590" s="60"/>
      <c r="I590" s="60"/>
      <c r="J590" s="61"/>
      <c r="K590" s="61"/>
      <c r="L590" s="59"/>
      <c r="M590" s="59"/>
      <c r="N590" s="59"/>
      <c r="O590" s="59"/>
      <c r="P590" s="20"/>
      <c r="Q590" s="20"/>
      <c r="R590" s="20"/>
      <c r="S590" s="20"/>
      <c r="T590" s="62"/>
      <c r="U590" s="62"/>
      <c r="V590" s="20"/>
      <c r="W590" s="20"/>
      <c r="X590" s="20"/>
      <c r="Y590" s="20"/>
      <c r="Z590" s="20"/>
      <c r="AA590" s="20"/>
    </row>
    <row r="591" spans="1:27" ht="15.75" customHeight="1">
      <c r="A591" s="48"/>
      <c r="B591" s="56"/>
      <c r="C591" s="56"/>
      <c r="D591" s="57"/>
      <c r="E591" s="20"/>
      <c r="F591" s="58"/>
      <c r="G591" s="20"/>
      <c r="H591" s="60"/>
      <c r="I591" s="60"/>
      <c r="J591" s="61"/>
      <c r="K591" s="61"/>
      <c r="L591" s="59"/>
      <c r="M591" s="59"/>
      <c r="N591" s="59"/>
      <c r="O591" s="59"/>
      <c r="P591" s="20"/>
      <c r="Q591" s="20"/>
      <c r="R591" s="20"/>
      <c r="S591" s="20"/>
      <c r="T591" s="62"/>
      <c r="U591" s="62"/>
      <c r="V591" s="20"/>
      <c r="W591" s="20"/>
      <c r="X591" s="20"/>
      <c r="Y591" s="20"/>
      <c r="Z591" s="20"/>
      <c r="AA591" s="20"/>
    </row>
    <row r="592" spans="1:27" ht="15.75" customHeight="1">
      <c r="A592" s="48"/>
      <c r="B592" s="56"/>
      <c r="C592" s="56"/>
      <c r="D592" s="57"/>
      <c r="E592" s="20"/>
      <c r="F592" s="58"/>
      <c r="G592" s="20"/>
      <c r="H592" s="60"/>
      <c r="I592" s="60"/>
      <c r="J592" s="61"/>
      <c r="K592" s="61"/>
      <c r="L592" s="59"/>
      <c r="M592" s="59"/>
      <c r="N592" s="59"/>
      <c r="O592" s="59"/>
      <c r="P592" s="20"/>
      <c r="Q592" s="20"/>
      <c r="R592" s="20"/>
      <c r="S592" s="20"/>
      <c r="T592" s="62"/>
      <c r="U592" s="62"/>
      <c r="V592" s="20"/>
      <c r="W592" s="20"/>
      <c r="X592" s="20"/>
      <c r="Y592" s="20"/>
      <c r="Z592" s="20"/>
      <c r="AA592" s="20"/>
    </row>
    <row r="593" spans="1:27" ht="15.75" customHeight="1">
      <c r="A593" s="48"/>
      <c r="B593" s="56"/>
      <c r="C593" s="56"/>
      <c r="D593" s="57"/>
      <c r="E593" s="20"/>
      <c r="F593" s="58"/>
      <c r="G593" s="20"/>
      <c r="H593" s="60"/>
      <c r="I593" s="60"/>
      <c r="J593" s="61"/>
      <c r="K593" s="61"/>
      <c r="L593" s="59"/>
      <c r="M593" s="59"/>
      <c r="N593" s="59"/>
      <c r="O593" s="59"/>
      <c r="P593" s="20"/>
      <c r="Q593" s="20"/>
      <c r="R593" s="20"/>
      <c r="S593" s="20"/>
      <c r="T593" s="62"/>
      <c r="U593" s="62"/>
      <c r="V593" s="20"/>
      <c r="W593" s="20"/>
      <c r="X593" s="20"/>
      <c r="Y593" s="20"/>
      <c r="Z593" s="20"/>
      <c r="AA593" s="20"/>
    </row>
    <row r="594" spans="1:27" ht="15.75" customHeight="1">
      <c r="A594" s="48"/>
      <c r="B594" s="56"/>
      <c r="C594" s="56"/>
      <c r="D594" s="57"/>
      <c r="E594" s="20"/>
      <c r="F594" s="58"/>
      <c r="G594" s="20"/>
      <c r="H594" s="60"/>
      <c r="I594" s="60"/>
      <c r="J594" s="61"/>
      <c r="K594" s="61"/>
      <c r="L594" s="59"/>
      <c r="M594" s="59"/>
      <c r="N594" s="59"/>
      <c r="O594" s="59"/>
      <c r="P594" s="20"/>
      <c r="Q594" s="20"/>
      <c r="R594" s="20"/>
      <c r="S594" s="20"/>
      <c r="T594" s="62"/>
      <c r="U594" s="62"/>
      <c r="V594" s="20"/>
      <c r="W594" s="20"/>
      <c r="X594" s="20"/>
      <c r="Y594" s="20"/>
      <c r="Z594" s="20"/>
      <c r="AA594" s="20"/>
    </row>
    <row r="595" spans="1:27" ht="15.75" customHeight="1">
      <c r="A595" s="48"/>
      <c r="B595" s="56"/>
      <c r="C595" s="56"/>
      <c r="D595" s="57"/>
      <c r="E595" s="20"/>
      <c r="F595" s="58"/>
      <c r="G595" s="20"/>
      <c r="H595" s="60"/>
      <c r="I595" s="60"/>
      <c r="J595" s="61"/>
      <c r="K595" s="61"/>
      <c r="L595" s="59"/>
      <c r="M595" s="59"/>
      <c r="N595" s="59"/>
      <c r="O595" s="59"/>
      <c r="P595" s="20"/>
      <c r="Q595" s="20"/>
      <c r="R595" s="20"/>
      <c r="S595" s="20"/>
      <c r="T595" s="62"/>
      <c r="U595" s="62"/>
      <c r="V595" s="20"/>
      <c r="W595" s="20"/>
      <c r="X595" s="20"/>
      <c r="Y595" s="20"/>
      <c r="Z595" s="20"/>
      <c r="AA595" s="20"/>
    </row>
    <row r="596" spans="1:27" ht="15.75" customHeight="1">
      <c r="A596" s="48"/>
      <c r="B596" s="56"/>
      <c r="C596" s="56"/>
      <c r="D596" s="57"/>
      <c r="E596" s="20"/>
      <c r="F596" s="58"/>
      <c r="G596" s="20"/>
      <c r="H596" s="60"/>
      <c r="I596" s="60"/>
      <c r="J596" s="61"/>
      <c r="K596" s="61"/>
      <c r="L596" s="59"/>
      <c r="M596" s="59"/>
      <c r="N596" s="59"/>
      <c r="O596" s="59"/>
      <c r="P596" s="20"/>
      <c r="Q596" s="20"/>
      <c r="R596" s="20"/>
      <c r="S596" s="20"/>
      <c r="T596" s="62"/>
      <c r="U596" s="62"/>
      <c r="V596" s="20"/>
      <c r="W596" s="20"/>
      <c r="X596" s="20"/>
      <c r="Y596" s="20"/>
      <c r="Z596" s="20"/>
      <c r="AA596" s="20"/>
    </row>
    <row r="597" spans="1:27" ht="15.75" customHeight="1">
      <c r="A597" s="48"/>
      <c r="B597" s="56"/>
      <c r="C597" s="56"/>
      <c r="D597" s="57"/>
      <c r="E597" s="20"/>
      <c r="F597" s="58"/>
      <c r="G597" s="20"/>
      <c r="H597" s="60"/>
      <c r="I597" s="60"/>
      <c r="J597" s="61"/>
      <c r="K597" s="61"/>
      <c r="L597" s="59"/>
      <c r="M597" s="59"/>
      <c r="N597" s="59"/>
      <c r="O597" s="59"/>
      <c r="P597" s="20"/>
      <c r="Q597" s="20"/>
      <c r="R597" s="20"/>
      <c r="S597" s="20"/>
      <c r="T597" s="62"/>
      <c r="U597" s="62"/>
      <c r="V597" s="20"/>
      <c r="W597" s="20"/>
      <c r="X597" s="20"/>
      <c r="Y597" s="20"/>
      <c r="Z597" s="20"/>
      <c r="AA597" s="20"/>
    </row>
    <row r="598" spans="1:27" ht="15.75" customHeight="1">
      <c r="A598" s="48"/>
      <c r="B598" s="56"/>
      <c r="C598" s="56"/>
      <c r="D598" s="57"/>
      <c r="E598" s="20"/>
      <c r="F598" s="58"/>
      <c r="G598" s="20"/>
      <c r="H598" s="60"/>
      <c r="I598" s="60"/>
      <c r="J598" s="61"/>
      <c r="K598" s="61"/>
      <c r="L598" s="59"/>
      <c r="M598" s="59"/>
      <c r="N598" s="59"/>
      <c r="O598" s="59"/>
      <c r="P598" s="20"/>
      <c r="Q598" s="20"/>
      <c r="R598" s="20"/>
      <c r="S598" s="20"/>
      <c r="T598" s="62"/>
      <c r="U598" s="62"/>
      <c r="V598" s="20"/>
      <c r="W598" s="20"/>
      <c r="X598" s="20"/>
      <c r="Y598" s="20"/>
      <c r="Z598" s="20"/>
      <c r="AA598" s="20"/>
    </row>
    <row r="599" spans="1:27" ht="15.75" customHeight="1">
      <c r="A599" s="48"/>
      <c r="B599" s="56"/>
      <c r="C599" s="56"/>
      <c r="D599" s="57"/>
      <c r="E599" s="20"/>
      <c r="F599" s="58"/>
      <c r="G599" s="20"/>
      <c r="H599" s="60"/>
      <c r="I599" s="60"/>
      <c r="J599" s="61"/>
      <c r="K599" s="61"/>
      <c r="L599" s="59"/>
      <c r="M599" s="59"/>
      <c r="N599" s="59"/>
      <c r="O599" s="59"/>
      <c r="P599" s="20"/>
      <c r="Q599" s="20"/>
      <c r="R599" s="20"/>
      <c r="S599" s="20"/>
      <c r="T599" s="62"/>
      <c r="U599" s="62"/>
      <c r="V599" s="20"/>
      <c r="W599" s="20"/>
      <c r="X599" s="20"/>
      <c r="Y599" s="20"/>
      <c r="Z599" s="20"/>
      <c r="AA599" s="20"/>
    </row>
    <row r="600" spans="1:27" ht="15.75" customHeight="1">
      <c r="A600" s="48"/>
      <c r="B600" s="56"/>
      <c r="C600" s="56"/>
      <c r="D600" s="57"/>
      <c r="E600" s="20"/>
      <c r="F600" s="58"/>
      <c r="G600" s="20"/>
      <c r="H600" s="60"/>
      <c r="I600" s="60"/>
      <c r="J600" s="61"/>
      <c r="K600" s="61"/>
      <c r="L600" s="59"/>
      <c r="M600" s="59"/>
      <c r="N600" s="59"/>
      <c r="O600" s="59"/>
      <c r="P600" s="20"/>
      <c r="Q600" s="20"/>
      <c r="R600" s="20"/>
      <c r="S600" s="20"/>
      <c r="T600" s="62"/>
      <c r="U600" s="62"/>
      <c r="V600" s="20"/>
      <c r="W600" s="20"/>
      <c r="X600" s="20"/>
      <c r="Y600" s="20"/>
      <c r="Z600" s="20"/>
      <c r="AA600" s="20"/>
    </row>
    <row r="601" spans="1:27" ht="15.75" customHeight="1">
      <c r="A601" s="48"/>
      <c r="B601" s="56"/>
      <c r="C601" s="56"/>
      <c r="D601" s="57"/>
      <c r="E601" s="20"/>
      <c r="F601" s="58"/>
      <c r="G601" s="20"/>
      <c r="H601" s="60"/>
      <c r="I601" s="60"/>
      <c r="J601" s="61"/>
      <c r="K601" s="61"/>
      <c r="L601" s="59"/>
      <c r="M601" s="59"/>
      <c r="N601" s="59"/>
      <c r="O601" s="59"/>
      <c r="P601" s="20"/>
      <c r="Q601" s="20"/>
      <c r="R601" s="20"/>
      <c r="S601" s="20"/>
      <c r="T601" s="62"/>
      <c r="U601" s="62"/>
      <c r="V601" s="20"/>
      <c r="W601" s="20"/>
      <c r="X601" s="20"/>
      <c r="Y601" s="20"/>
      <c r="Z601" s="20"/>
      <c r="AA601" s="20"/>
    </row>
    <row r="602" spans="1:27" ht="15.75" customHeight="1">
      <c r="A602" s="48"/>
      <c r="B602" s="56"/>
      <c r="C602" s="56"/>
      <c r="D602" s="57"/>
      <c r="E602" s="20"/>
      <c r="F602" s="58"/>
      <c r="G602" s="20"/>
      <c r="H602" s="60"/>
      <c r="I602" s="60"/>
      <c r="J602" s="61"/>
      <c r="K602" s="61"/>
      <c r="L602" s="59"/>
      <c r="M602" s="59"/>
      <c r="N602" s="59"/>
      <c r="O602" s="59"/>
      <c r="P602" s="20"/>
      <c r="Q602" s="20"/>
      <c r="R602" s="20"/>
      <c r="S602" s="20"/>
      <c r="T602" s="62"/>
      <c r="U602" s="62"/>
      <c r="V602" s="20"/>
      <c r="W602" s="20"/>
      <c r="X602" s="20"/>
      <c r="Y602" s="20"/>
      <c r="Z602" s="20"/>
      <c r="AA602" s="20"/>
    </row>
    <row r="603" spans="1:27" ht="15.75" customHeight="1">
      <c r="A603" s="48"/>
      <c r="B603" s="56"/>
      <c r="C603" s="56"/>
      <c r="D603" s="57"/>
      <c r="E603" s="20"/>
      <c r="F603" s="58"/>
      <c r="G603" s="20"/>
      <c r="H603" s="60"/>
      <c r="I603" s="60"/>
      <c r="J603" s="61"/>
      <c r="K603" s="61"/>
      <c r="L603" s="59"/>
      <c r="M603" s="59"/>
      <c r="N603" s="59"/>
      <c r="O603" s="59"/>
      <c r="P603" s="20"/>
      <c r="Q603" s="20"/>
      <c r="R603" s="20"/>
      <c r="S603" s="20"/>
      <c r="T603" s="62"/>
      <c r="U603" s="62"/>
      <c r="V603" s="20"/>
      <c r="W603" s="20"/>
      <c r="X603" s="20"/>
      <c r="Y603" s="20"/>
      <c r="Z603" s="20"/>
      <c r="AA603" s="20"/>
    </row>
    <row r="604" spans="1:27" ht="15.75" customHeight="1">
      <c r="A604" s="48"/>
      <c r="B604" s="56"/>
      <c r="C604" s="56"/>
      <c r="D604" s="57"/>
      <c r="E604" s="20"/>
      <c r="F604" s="58"/>
      <c r="G604" s="20"/>
      <c r="H604" s="60"/>
      <c r="I604" s="60"/>
      <c r="J604" s="61"/>
      <c r="K604" s="61"/>
      <c r="L604" s="59"/>
      <c r="M604" s="59"/>
      <c r="N604" s="59"/>
      <c r="O604" s="59"/>
      <c r="P604" s="20"/>
      <c r="Q604" s="20"/>
      <c r="R604" s="20"/>
      <c r="S604" s="20"/>
      <c r="T604" s="62"/>
      <c r="U604" s="62"/>
      <c r="V604" s="20"/>
      <c r="W604" s="20"/>
      <c r="X604" s="20"/>
      <c r="Y604" s="20"/>
      <c r="Z604" s="20"/>
      <c r="AA604" s="20"/>
    </row>
    <row r="605" spans="1:27" ht="15.75" customHeight="1">
      <c r="A605" s="48"/>
      <c r="B605" s="56"/>
      <c r="C605" s="56"/>
      <c r="D605" s="57"/>
      <c r="E605" s="20"/>
      <c r="F605" s="58"/>
      <c r="G605" s="20"/>
      <c r="H605" s="60"/>
      <c r="I605" s="60"/>
      <c r="J605" s="61"/>
      <c r="K605" s="61"/>
      <c r="L605" s="59"/>
      <c r="M605" s="59"/>
      <c r="N605" s="59"/>
      <c r="O605" s="59"/>
      <c r="P605" s="20"/>
      <c r="Q605" s="20"/>
      <c r="R605" s="20"/>
      <c r="S605" s="20"/>
      <c r="T605" s="62"/>
      <c r="U605" s="62"/>
      <c r="V605" s="20"/>
      <c r="W605" s="20"/>
      <c r="X605" s="20"/>
      <c r="Y605" s="20"/>
      <c r="Z605" s="20"/>
      <c r="AA605" s="20"/>
    </row>
    <row r="606" spans="1:27" ht="15.75" customHeight="1">
      <c r="A606" s="48"/>
      <c r="B606" s="56"/>
      <c r="C606" s="56"/>
      <c r="D606" s="57"/>
      <c r="E606" s="20"/>
      <c r="F606" s="58"/>
      <c r="G606" s="20"/>
      <c r="H606" s="60"/>
      <c r="I606" s="60"/>
      <c r="J606" s="61"/>
      <c r="K606" s="61"/>
      <c r="L606" s="59"/>
      <c r="M606" s="59"/>
      <c r="N606" s="59"/>
      <c r="O606" s="59"/>
      <c r="P606" s="20"/>
      <c r="Q606" s="20"/>
      <c r="R606" s="20"/>
      <c r="S606" s="20"/>
      <c r="T606" s="62"/>
      <c r="U606" s="62"/>
      <c r="V606" s="20"/>
      <c r="W606" s="20"/>
      <c r="X606" s="20"/>
      <c r="Y606" s="20"/>
      <c r="Z606" s="20"/>
      <c r="AA606" s="20"/>
    </row>
    <row r="607" spans="1:27" ht="15.75" customHeight="1">
      <c r="A607" s="48"/>
      <c r="B607" s="56"/>
      <c r="C607" s="56"/>
      <c r="D607" s="57"/>
      <c r="E607" s="20"/>
      <c r="F607" s="58"/>
      <c r="G607" s="20"/>
      <c r="H607" s="60"/>
      <c r="I607" s="60"/>
      <c r="J607" s="61"/>
      <c r="K607" s="61"/>
      <c r="L607" s="59"/>
      <c r="M607" s="59"/>
      <c r="N607" s="59"/>
      <c r="O607" s="59"/>
      <c r="P607" s="20"/>
      <c r="Q607" s="20"/>
      <c r="R607" s="20"/>
      <c r="S607" s="20"/>
      <c r="T607" s="62"/>
      <c r="U607" s="62"/>
      <c r="V607" s="20"/>
      <c r="W607" s="20"/>
      <c r="X607" s="20"/>
      <c r="Y607" s="20"/>
      <c r="Z607" s="20"/>
      <c r="AA607" s="20"/>
    </row>
    <row r="608" spans="1:27" ht="15.75" customHeight="1">
      <c r="A608" s="48"/>
      <c r="B608" s="56"/>
      <c r="C608" s="56"/>
      <c r="D608" s="57"/>
      <c r="E608" s="20"/>
      <c r="F608" s="58"/>
      <c r="G608" s="20"/>
      <c r="H608" s="60"/>
      <c r="I608" s="60"/>
      <c r="J608" s="61"/>
      <c r="K608" s="61"/>
      <c r="L608" s="59"/>
      <c r="M608" s="59"/>
      <c r="N608" s="59"/>
      <c r="O608" s="59"/>
      <c r="P608" s="20"/>
      <c r="Q608" s="20"/>
      <c r="R608" s="20"/>
      <c r="S608" s="20"/>
      <c r="T608" s="62"/>
      <c r="U608" s="62"/>
      <c r="V608" s="20"/>
      <c r="W608" s="20"/>
      <c r="X608" s="20"/>
      <c r="Y608" s="20"/>
      <c r="Z608" s="20"/>
      <c r="AA608" s="20"/>
    </row>
    <row r="609" spans="1:27" ht="15.75" customHeight="1">
      <c r="A609" s="48"/>
      <c r="B609" s="56"/>
      <c r="C609" s="56"/>
      <c r="D609" s="57"/>
      <c r="E609" s="20"/>
      <c r="F609" s="58"/>
      <c r="G609" s="20"/>
      <c r="H609" s="60"/>
      <c r="I609" s="60"/>
      <c r="J609" s="61"/>
      <c r="K609" s="61"/>
      <c r="L609" s="59"/>
      <c r="M609" s="59"/>
      <c r="N609" s="59"/>
      <c r="O609" s="59"/>
      <c r="P609" s="20"/>
      <c r="Q609" s="20"/>
      <c r="R609" s="20"/>
      <c r="S609" s="20"/>
      <c r="T609" s="62"/>
      <c r="U609" s="62"/>
      <c r="V609" s="20"/>
      <c r="W609" s="20"/>
      <c r="X609" s="20"/>
      <c r="Y609" s="20"/>
      <c r="Z609" s="20"/>
      <c r="AA609" s="20"/>
    </row>
    <row r="610" spans="1:27" ht="15.75" customHeight="1">
      <c r="A610" s="48"/>
      <c r="B610" s="56"/>
      <c r="C610" s="56"/>
      <c r="D610" s="57"/>
      <c r="E610" s="20"/>
      <c r="F610" s="58"/>
      <c r="G610" s="20"/>
      <c r="H610" s="60"/>
      <c r="I610" s="60"/>
      <c r="J610" s="61"/>
      <c r="K610" s="61"/>
      <c r="L610" s="59"/>
      <c r="M610" s="59"/>
      <c r="N610" s="59"/>
      <c r="O610" s="59"/>
      <c r="P610" s="20"/>
      <c r="Q610" s="20"/>
      <c r="R610" s="20"/>
      <c r="S610" s="20"/>
      <c r="T610" s="62"/>
      <c r="U610" s="62"/>
      <c r="V610" s="20"/>
      <c r="W610" s="20"/>
      <c r="X610" s="20"/>
      <c r="Y610" s="20"/>
      <c r="Z610" s="20"/>
      <c r="AA610" s="20"/>
    </row>
    <row r="611" spans="1:27" ht="15.75" customHeight="1">
      <c r="A611" s="48"/>
      <c r="B611" s="56"/>
      <c r="C611" s="56"/>
      <c r="D611" s="57"/>
      <c r="E611" s="20"/>
      <c r="F611" s="58"/>
      <c r="G611" s="20"/>
      <c r="H611" s="60"/>
      <c r="I611" s="60"/>
      <c r="J611" s="61"/>
      <c r="K611" s="61"/>
      <c r="L611" s="59"/>
      <c r="M611" s="59"/>
      <c r="N611" s="59"/>
      <c r="O611" s="59"/>
      <c r="P611" s="20"/>
      <c r="Q611" s="20"/>
      <c r="R611" s="20"/>
      <c r="S611" s="20"/>
      <c r="T611" s="62"/>
      <c r="U611" s="62"/>
      <c r="V611" s="20"/>
      <c r="W611" s="20"/>
      <c r="X611" s="20"/>
      <c r="Y611" s="20"/>
      <c r="Z611" s="20"/>
      <c r="AA611" s="20"/>
    </row>
    <row r="612" spans="1:27" ht="15.75" customHeight="1">
      <c r="A612" s="48"/>
      <c r="B612" s="56"/>
      <c r="C612" s="56"/>
      <c r="D612" s="57"/>
      <c r="E612" s="20"/>
      <c r="F612" s="58"/>
      <c r="G612" s="20"/>
      <c r="H612" s="60"/>
      <c r="I612" s="60"/>
      <c r="J612" s="61"/>
      <c r="K612" s="61"/>
      <c r="L612" s="59"/>
      <c r="M612" s="59"/>
      <c r="N612" s="59"/>
      <c r="O612" s="59"/>
      <c r="P612" s="20"/>
      <c r="Q612" s="20"/>
      <c r="R612" s="20"/>
      <c r="S612" s="20"/>
      <c r="T612" s="62"/>
      <c r="U612" s="62"/>
      <c r="V612" s="20"/>
      <c r="W612" s="20"/>
      <c r="X612" s="20"/>
      <c r="Y612" s="20"/>
      <c r="Z612" s="20"/>
      <c r="AA612" s="20"/>
    </row>
    <row r="613" spans="1:27" ht="15.75" customHeight="1">
      <c r="A613" s="48"/>
      <c r="B613" s="56"/>
      <c r="C613" s="56"/>
      <c r="D613" s="57"/>
      <c r="E613" s="20"/>
      <c r="F613" s="58"/>
      <c r="G613" s="20"/>
      <c r="H613" s="60"/>
      <c r="I613" s="60"/>
      <c r="J613" s="61"/>
      <c r="K613" s="61"/>
      <c r="L613" s="59"/>
      <c r="M613" s="59"/>
      <c r="N613" s="59"/>
      <c r="O613" s="59"/>
      <c r="P613" s="20"/>
      <c r="Q613" s="20"/>
      <c r="R613" s="20"/>
      <c r="S613" s="20"/>
      <c r="T613" s="62"/>
      <c r="U613" s="62"/>
      <c r="V613" s="20"/>
      <c r="W613" s="20"/>
      <c r="X613" s="20"/>
      <c r="Y613" s="20"/>
      <c r="Z613" s="20"/>
      <c r="AA613" s="20"/>
    </row>
    <row r="614" spans="1:27" ht="15.75" customHeight="1">
      <c r="A614" s="48"/>
      <c r="B614" s="56"/>
      <c r="C614" s="56"/>
      <c r="D614" s="57"/>
      <c r="E614" s="20"/>
      <c r="F614" s="58"/>
      <c r="G614" s="20"/>
      <c r="H614" s="60"/>
      <c r="I614" s="60"/>
      <c r="J614" s="61"/>
      <c r="K614" s="61"/>
      <c r="L614" s="59"/>
      <c r="M614" s="59"/>
      <c r="N614" s="59"/>
      <c r="O614" s="59"/>
      <c r="P614" s="20"/>
      <c r="Q614" s="20"/>
      <c r="R614" s="20"/>
      <c r="S614" s="20"/>
      <c r="T614" s="62"/>
      <c r="U614" s="62"/>
      <c r="V614" s="20"/>
      <c r="W614" s="20"/>
      <c r="X614" s="20"/>
      <c r="Y614" s="20"/>
      <c r="Z614" s="20"/>
      <c r="AA614" s="20"/>
    </row>
    <row r="615" spans="1:27" ht="15.75" customHeight="1">
      <c r="A615" s="48"/>
      <c r="B615" s="56"/>
      <c r="C615" s="56"/>
      <c r="D615" s="57"/>
      <c r="E615" s="20"/>
      <c r="F615" s="58"/>
      <c r="G615" s="20"/>
      <c r="H615" s="60"/>
      <c r="I615" s="60"/>
      <c r="J615" s="61"/>
      <c r="K615" s="61"/>
      <c r="L615" s="59"/>
      <c r="M615" s="59"/>
      <c r="N615" s="59"/>
      <c r="O615" s="59"/>
      <c r="P615" s="20"/>
      <c r="Q615" s="20"/>
      <c r="R615" s="20"/>
      <c r="S615" s="20"/>
      <c r="T615" s="62"/>
      <c r="U615" s="62"/>
      <c r="V615" s="20"/>
      <c r="W615" s="20"/>
      <c r="X615" s="20"/>
      <c r="Y615" s="20"/>
      <c r="Z615" s="20"/>
      <c r="AA615" s="20"/>
    </row>
    <row r="616" spans="1:27" ht="15.75" customHeight="1">
      <c r="A616" s="48"/>
      <c r="B616" s="56"/>
      <c r="C616" s="56"/>
      <c r="D616" s="57"/>
      <c r="E616" s="20"/>
      <c r="F616" s="58"/>
      <c r="G616" s="20"/>
      <c r="H616" s="60"/>
      <c r="I616" s="60"/>
      <c r="J616" s="61"/>
      <c r="K616" s="61"/>
      <c r="L616" s="59"/>
      <c r="M616" s="59"/>
      <c r="N616" s="59"/>
      <c r="O616" s="59"/>
      <c r="P616" s="20"/>
      <c r="Q616" s="20"/>
      <c r="R616" s="20"/>
      <c r="S616" s="20"/>
      <c r="T616" s="62"/>
      <c r="U616" s="62"/>
      <c r="V616" s="20"/>
      <c r="W616" s="20"/>
      <c r="X616" s="20"/>
      <c r="Y616" s="20"/>
      <c r="Z616" s="20"/>
      <c r="AA616" s="20"/>
    </row>
    <row r="617" spans="1:27" ht="15.75" customHeight="1">
      <c r="A617" s="48"/>
      <c r="B617" s="56"/>
      <c r="C617" s="56"/>
      <c r="D617" s="57"/>
      <c r="E617" s="20"/>
      <c r="F617" s="58"/>
      <c r="G617" s="20"/>
      <c r="H617" s="60"/>
      <c r="I617" s="60"/>
      <c r="J617" s="61"/>
      <c r="K617" s="61"/>
      <c r="L617" s="59"/>
      <c r="M617" s="59"/>
      <c r="N617" s="59"/>
      <c r="O617" s="59"/>
      <c r="P617" s="20"/>
      <c r="Q617" s="20"/>
      <c r="R617" s="20"/>
      <c r="S617" s="20"/>
      <c r="T617" s="62"/>
      <c r="U617" s="62"/>
      <c r="V617" s="20"/>
      <c r="W617" s="20"/>
      <c r="X617" s="20"/>
      <c r="Y617" s="20"/>
      <c r="Z617" s="20"/>
      <c r="AA617" s="20"/>
    </row>
    <row r="618" spans="1:27" ht="15.75" customHeight="1">
      <c r="A618" s="48"/>
      <c r="B618" s="56"/>
      <c r="C618" s="56"/>
      <c r="D618" s="57"/>
      <c r="E618" s="20"/>
      <c r="F618" s="58"/>
      <c r="G618" s="20"/>
      <c r="H618" s="60"/>
      <c r="I618" s="60"/>
      <c r="J618" s="61"/>
      <c r="K618" s="61"/>
      <c r="L618" s="59"/>
      <c r="M618" s="59"/>
      <c r="N618" s="59"/>
      <c r="O618" s="59"/>
      <c r="P618" s="20"/>
      <c r="Q618" s="20"/>
      <c r="R618" s="20"/>
      <c r="S618" s="20"/>
      <c r="T618" s="62"/>
      <c r="U618" s="62"/>
      <c r="V618" s="20"/>
      <c r="W618" s="20"/>
      <c r="X618" s="20"/>
      <c r="Y618" s="20"/>
      <c r="Z618" s="20"/>
      <c r="AA618" s="20"/>
    </row>
    <row r="619" spans="1:27" ht="15.75" customHeight="1">
      <c r="A619" s="48"/>
      <c r="B619" s="56"/>
      <c r="C619" s="56"/>
      <c r="D619" s="57"/>
      <c r="E619" s="20"/>
      <c r="F619" s="58"/>
      <c r="G619" s="20"/>
      <c r="H619" s="60"/>
      <c r="I619" s="60"/>
      <c r="J619" s="61"/>
      <c r="K619" s="61"/>
      <c r="L619" s="59"/>
      <c r="M619" s="59"/>
      <c r="N619" s="59"/>
      <c r="O619" s="59"/>
      <c r="P619" s="20"/>
      <c r="Q619" s="20"/>
      <c r="R619" s="20"/>
      <c r="S619" s="20"/>
      <c r="T619" s="62"/>
      <c r="U619" s="62"/>
      <c r="V619" s="20"/>
      <c r="W619" s="20"/>
      <c r="X619" s="20"/>
      <c r="Y619" s="20"/>
      <c r="Z619" s="20"/>
      <c r="AA619" s="20"/>
    </row>
    <row r="620" spans="1:27" ht="15.75" customHeight="1">
      <c r="A620" s="48"/>
      <c r="B620" s="56"/>
      <c r="C620" s="56"/>
      <c r="D620" s="57"/>
      <c r="E620" s="20"/>
      <c r="F620" s="58"/>
      <c r="G620" s="20"/>
      <c r="H620" s="60"/>
      <c r="I620" s="60"/>
      <c r="J620" s="61"/>
      <c r="K620" s="61"/>
      <c r="L620" s="59"/>
      <c r="M620" s="59"/>
      <c r="N620" s="59"/>
      <c r="O620" s="59"/>
      <c r="P620" s="20"/>
      <c r="Q620" s="20"/>
      <c r="R620" s="20"/>
      <c r="S620" s="20"/>
      <c r="T620" s="62"/>
      <c r="U620" s="62"/>
      <c r="V620" s="20"/>
      <c r="W620" s="20"/>
      <c r="X620" s="20"/>
      <c r="Y620" s="20"/>
      <c r="Z620" s="20"/>
      <c r="AA620" s="20"/>
    </row>
    <row r="621" spans="1:27" ht="15.75" customHeight="1">
      <c r="A621" s="48"/>
      <c r="B621" s="56"/>
      <c r="C621" s="56"/>
      <c r="D621" s="57"/>
      <c r="E621" s="20"/>
      <c r="F621" s="58"/>
      <c r="G621" s="20"/>
      <c r="H621" s="60"/>
      <c r="I621" s="60"/>
      <c r="J621" s="61"/>
      <c r="K621" s="61"/>
      <c r="L621" s="59"/>
      <c r="M621" s="59"/>
      <c r="N621" s="59"/>
      <c r="O621" s="59"/>
      <c r="P621" s="20"/>
      <c r="Q621" s="20"/>
      <c r="R621" s="20"/>
      <c r="S621" s="20"/>
      <c r="T621" s="62"/>
      <c r="U621" s="62"/>
      <c r="V621" s="20"/>
      <c r="W621" s="20"/>
      <c r="X621" s="20"/>
      <c r="Y621" s="20"/>
      <c r="Z621" s="20"/>
      <c r="AA621" s="20"/>
    </row>
    <row r="622" spans="1:27" ht="15.75" customHeight="1">
      <c r="A622" s="48"/>
      <c r="B622" s="56"/>
      <c r="C622" s="56"/>
      <c r="D622" s="57"/>
      <c r="E622" s="20"/>
      <c r="F622" s="58"/>
      <c r="G622" s="20"/>
      <c r="H622" s="60"/>
      <c r="I622" s="60"/>
      <c r="J622" s="61"/>
      <c r="K622" s="61"/>
      <c r="L622" s="59"/>
      <c r="M622" s="59"/>
      <c r="N622" s="59"/>
      <c r="O622" s="59"/>
      <c r="P622" s="20"/>
      <c r="Q622" s="20"/>
      <c r="R622" s="20"/>
      <c r="S622" s="20"/>
      <c r="T622" s="62"/>
      <c r="U622" s="62"/>
      <c r="V622" s="20"/>
      <c r="W622" s="20"/>
      <c r="X622" s="20"/>
      <c r="Y622" s="20"/>
      <c r="Z622" s="20"/>
      <c r="AA622" s="20"/>
    </row>
    <row r="623" spans="1:27" ht="15.75" customHeight="1">
      <c r="A623" s="48"/>
      <c r="B623" s="56"/>
      <c r="C623" s="56"/>
      <c r="D623" s="57"/>
      <c r="E623" s="20"/>
      <c r="F623" s="58"/>
      <c r="G623" s="20"/>
      <c r="H623" s="60"/>
      <c r="I623" s="60"/>
      <c r="J623" s="61"/>
      <c r="K623" s="61"/>
      <c r="L623" s="59"/>
      <c r="M623" s="59"/>
      <c r="N623" s="59"/>
      <c r="O623" s="59"/>
      <c r="P623" s="20"/>
      <c r="Q623" s="20"/>
      <c r="R623" s="20"/>
      <c r="S623" s="20"/>
      <c r="T623" s="62"/>
      <c r="U623" s="62"/>
      <c r="V623" s="20"/>
      <c r="W623" s="20"/>
      <c r="X623" s="20"/>
      <c r="Y623" s="20"/>
      <c r="Z623" s="20"/>
      <c r="AA623" s="20"/>
    </row>
    <row r="624" spans="1:27" ht="15.75" customHeight="1">
      <c r="A624" s="48"/>
      <c r="B624" s="56"/>
      <c r="C624" s="56"/>
      <c r="D624" s="57"/>
      <c r="E624" s="20"/>
      <c r="F624" s="58"/>
      <c r="G624" s="20"/>
      <c r="H624" s="60"/>
      <c r="I624" s="60"/>
      <c r="J624" s="61"/>
      <c r="K624" s="61"/>
      <c r="L624" s="59"/>
      <c r="M624" s="59"/>
      <c r="N624" s="59"/>
      <c r="O624" s="59"/>
      <c r="P624" s="20"/>
      <c r="Q624" s="20"/>
      <c r="R624" s="20"/>
      <c r="S624" s="20"/>
      <c r="T624" s="62"/>
      <c r="U624" s="62"/>
      <c r="V624" s="20"/>
      <c r="W624" s="20"/>
      <c r="X624" s="20"/>
      <c r="Y624" s="20"/>
      <c r="Z624" s="20"/>
      <c r="AA624" s="20"/>
    </row>
    <row r="625" spans="1:27" ht="15.75" customHeight="1">
      <c r="A625" s="48"/>
      <c r="B625" s="56"/>
      <c r="C625" s="56"/>
      <c r="D625" s="57"/>
      <c r="E625" s="20"/>
      <c r="F625" s="58"/>
      <c r="G625" s="20"/>
      <c r="H625" s="60"/>
      <c r="I625" s="60"/>
      <c r="J625" s="61"/>
      <c r="K625" s="61"/>
      <c r="L625" s="59"/>
      <c r="M625" s="59"/>
      <c r="N625" s="59"/>
      <c r="O625" s="59"/>
      <c r="P625" s="20"/>
      <c r="Q625" s="20"/>
      <c r="R625" s="20"/>
      <c r="S625" s="20"/>
      <c r="T625" s="62"/>
      <c r="U625" s="62"/>
      <c r="V625" s="20"/>
      <c r="W625" s="20"/>
      <c r="X625" s="20"/>
      <c r="Y625" s="20"/>
      <c r="Z625" s="20"/>
      <c r="AA625" s="20"/>
    </row>
    <row r="626" spans="1:27" ht="15.75" customHeight="1">
      <c r="A626" s="48"/>
      <c r="B626" s="56"/>
      <c r="C626" s="56"/>
      <c r="D626" s="57"/>
      <c r="E626" s="20"/>
      <c r="F626" s="58"/>
      <c r="G626" s="20"/>
      <c r="H626" s="60"/>
      <c r="I626" s="60"/>
      <c r="J626" s="61"/>
      <c r="K626" s="61"/>
      <c r="L626" s="59"/>
      <c r="M626" s="59"/>
      <c r="N626" s="59"/>
      <c r="O626" s="59"/>
      <c r="P626" s="20"/>
      <c r="Q626" s="20"/>
      <c r="R626" s="20"/>
      <c r="S626" s="20"/>
      <c r="T626" s="62"/>
      <c r="U626" s="62"/>
      <c r="V626" s="20"/>
      <c r="W626" s="20"/>
      <c r="X626" s="20"/>
      <c r="Y626" s="20"/>
      <c r="Z626" s="20"/>
      <c r="AA626" s="20"/>
    </row>
    <row r="627" spans="1:27" ht="15.75" customHeight="1">
      <c r="A627" s="48"/>
      <c r="B627" s="56"/>
      <c r="C627" s="56"/>
      <c r="D627" s="57"/>
      <c r="E627" s="20"/>
      <c r="F627" s="58"/>
      <c r="G627" s="20"/>
      <c r="H627" s="60"/>
      <c r="I627" s="60"/>
      <c r="J627" s="61"/>
      <c r="K627" s="61"/>
      <c r="L627" s="59"/>
      <c r="M627" s="59"/>
      <c r="N627" s="59"/>
      <c r="O627" s="59"/>
      <c r="P627" s="20"/>
      <c r="Q627" s="20"/>
      <c r="R627" s="20"/>
      <c r="S627" s="20"/>
      <c r="T627" s="62"/>
      <c r="U627" s="62"/>
      <c r="V627" s="20"/>
      <c r="W627" s="20"/>
      <c r="X627" s="20"/>
      <c r="Y627" s="20"/>
      <c r="Z627" s="20"/>
      <c r="AA627" s="20"/>
    </row>
    <row r="628" spans="1:27" ht="15.75" customHeight="1">
      <c r="A628" s="48"/>
      <c r="B628" s="56"/>
      <c r="C628" s="56"/>
      <c r="D628" s="57"/>
      <c r="E628" s="20"/>
      <c r="F628" s="58"/>
      <c r="G628" s="20"/>
      <c r="H628" s="60"/>
      <c r="I628" s="60"/>
      <c r="J628" s="61"/>
      <c r="K628" s="61"/>
      <c r="L628" s="59"/>
      <c r="M628" s="59"/>
      <c r="N628" s="59"/>
      <c r="O628" s="59"/>
      <c r="P628" s="20"/>
      <c r="Q628" s="20"/>
      <c r="R628" s="20"/>
      <c r="S628" s="20"/>
      <c r="T628" s="62"/>
      <c r="U628" s="62"/>
      <c r="V628" s="20"/>
      <c r="W628" s="20"/>
      <c r="X628" s="20"/>
      <c r="Y628" s="20"/>
      <c r="Z628" s="20"/>
      <c r="AA628" s="20"/>
    </row>
    <row r="629" spans="1:27" ht="15.75" customHeight="1">
      <c r="A629" s="48"/>
      <c r="B629" s="56"/>
      <c r="C629" s="56"/>
      <c r="D629" s="57"/>
      <c r="E629" s="20"/>
      <c r="F629" s="58"/>
      <c r="G629" s="20"/>
      <c r="H629" s="60"/>
      <c r="I629" s="60"/>
      <c r="J629" s="61"/>
      <c r="K629" s="61"/>
      <c r="L629" s="59"/>
      <c r="M629" s="59"/>
      <c r="N629" s="59"/>
      <c r="O629" s="59"/>
      <c r="P629" s="20"/>
      <c r="Q629" s="20"/>
      <c r="R629" s="20"/>
      <c r="S629" s="20"/>
      <c r="T629" s="62"/>
      <c r="U629" s="62"/>
      <c r="V629" s="20"/>
      <c r="W629" s="20"/>
      <c r="X629" s="20"/>
      <c r="Y629" s="20"/>
      <c r="Z629" s="20"/>
      <c r="AA629" s="20"/>
    </row>
    <row r="630" spans="1:27" ht="15.75" customHeight="1">
      <c r="A630" s="48"/>
      <c r="B630" s="56"/>
      <c r="C630" s="56"/>
      <c r="D630" s="57"/>
      <c r="E630" s="20"/>
      <c r="F630" s="58"/>
      <c r="G630" s="20"/>
      <c r="H630" s="60"/>
      <c r="I630" s="60"/>
      <c r="J630" s="61"/>
      <c r="K630" s="61"/>
      <c r="L630" s="59"/>
      <c r="M630" s="59"/>
      <c r="N630" s="59"/>
      <c r="O630" s="59"/>
      <c r="P630" s="20"/>
      <c r="Q630" s="20"/>
      <c r="R630" s="20"/>
      <c r="S630" s="20"/>
      <c r="T630" s="62"/>
      <c r="U630" s="62"/>
      <c r="V630" s="20"/>
      <c r="W630" s="20"/>
      <c r="X630" s="20"/>
      <c r="Y630" s="20"/>
      <c r="Z630" s="20"/>
      <c r="AA630" s="20"/>
    </row>
    <row r="631" spans="1:27" ht="15.75" customHeight="1">
      <c r="A631" s="48"/>
      <c r="B631" s="56"/>
      <c r="C631" s="56"/>
      <c r="D631" s="57"/>
      <c r="E631" s="20"/>
      <c r="F631" s="58"/>
      <c r="G631" s="20"/>
      <c r="H631" s="60"/>
      <c r="I631" s="60"/>
      <c r="J631" s="61"/>
      <c r="K631" s="61"/>
      <c r="L631" s="59"/>
      <c r="M631" s="59"/>
      <c r="N631" s="59"/>
      <c r="O631" s="59"/>
      <c r="P631" s="20"/>
      <c r="Q631" s="20"/>
      <c r="R631" s="20"/>
      <c r="S631" s="20"/>
      <c r="T631" s="62"/>
      <c r="U631" s="62"/>
      <c r="V631" s="20"/>
      <c r="W631" s="20"/>
      <c r="X631" s="20"/>
      <c r="Y631" s="20"/>
      <c r="Z631" s="20"/>
      <c r="AA631" s="20"/>
    </row>
    <row r="632" spans="1:27" ht="15.75" customHeight="1">
      <c r="A632" s="48"/>
      <c r="B632" s="56"/>
      <c r="C632" s="56"/>
      <c r="D632" s="57"/>
      <c r="E632" s="20"/>
      <c r="F632" s="58"/>
      <c r="G632" s="20"/>
      <c r="H632" s="60"/>
      <c r="I632" s="60"/>
      <c r="J632" s="61"/>
      <c r="K632" s="61"/>
      <c r="L632" s="59"/>
      <c r="M632" s="59"/>
      <c r="N632" s="59"/>
      <c r="O632" s="59"/>
      <c r="P632" s="20"/>
      <c r="Q632" s="20"/>
      <c r="R632" s="20"/>
      <c r="S632" s="20"/>
      <c r="T632" s="62"/>
      <c r="U632" s="62"/>
      <c r="V632" s="20"/>
      <c r="W632" s="20"/>
      <c r="X632" s="20"/>
      <c r="Y632" s="20"/>
      <c r="Z632" s="20"/>
      <c r="AA632" s="20"/>
    </row>
    <row r="633" spans="1:27" ht="15.75" customHeight="1">
      <c r="A633" s="48"/>
      <c r="B633" s="56"/>
      <c r="C633" s="56"/>
      <c r="D633" s="57"/>
      <c r="E633" s="20"/>
      <c r="F633" s="58"/>
      <c r="G633" s="20"/>
      <c r="H633" s="60"/>
      <c r="I633" s="60"/>
      <c r="J633" s="61"/>
      <c r="K633" s="61"/>
      <c r="L633" s="59"/>
      <c r="M633" s="59"/>
      <c r="N633" s="59"/>
      <c r="O633" s="59"/>
      <c r="P633" s="20"/>
      <c r="Q633" s="20"/>
      <c r="R633" s="20"/>
      <c r="S633" s="20"/>
      <c r="T633" s="62"/>
      <c r="U633" s="62"/>
      <c r="V633" s="20"/>
      <c r="W633" s="20"/>
      <c r="X633" s="20"/>
      <c r="Y633" s="20"/>
      <c r="Z633" s="20"/>
      <c r="AA633" s="20"/>
    </row>
    <row r="634" spans="1:27" ht="15.75" customHeight="1">
      <c r="A634" s="48"/>
      <c r="B634" s="56"/>
      <c r="C634" s="56"/>
      <c r="D634" s="57"/>
      <c r="E634" s="20"/>
      <c r="F634" s="58"/>
      <c r="G634" s="20"/>
      <c r="H634" s="60"/>
      <c r="I634" s="60"/>
      <c r="J634" s="61"/>
      <c r="K634" s="61"/>
      <c r="L634" s="59"/>
      <c r="M634" s="59"/>
      <c r="N634" s="59"/>
      <c r="O634" s="59"/>
      <c r="P634" s="20"/>
      <c r="Q634" s="20"/>
      <c r="R634" s="20"/>
      <c r="S634" s="20"/>
      <c r="T634" s="62"/>
      <c r="U634" s="62"/>
      <c r="V634" s="20"/>
      <c r="W634" s="20"/>
      <c r="X634" s="20"/>
      <c r="Y634" s="20"/>
      <c r="Z634" s="20"/>
      <c r="AA634" s="20"/>
    </row>
    <row r="635" spans="1:27" ht="15.75" customHeight="1">
      <c r="A635" s="48"/>
      <c r="B635" s="56"/>
      <c r="C635" s="56"/>
      <c r="D635" s="57"/>
      <c r="E635" s="20"/>
      <c r="F635" s="58"/>
      <c r="G635" s="20"/>
      <c r="H635" s="60"/>
      <c r="I635" s="60"/>
      <c r="J635" s="61"/>
      <c r="K635" s="61"/>
      <c r="L635" s="59"/>
      <c r="M635" s="59"/>
      <c r="N635" s="59"/>
      <c r="O635" s="59"/>
      <c r="P635" s="20"/>
      <c r="Q635" s="20"/>
      <c r="R635" s="20"/>
      <c r="S635" s="20"/>
      <c r="T635" s="62"/>
      <c r="U635" s="62"/>
      <c r="V635" s="20"/>
      <c r="W635" s="20"/>
      <c r="X635" s="20"/>
      <c r="Y635" s="20"/>
      <c r="Z635" s="20"/>
      <c r="AA635" s="20"/>
    </row>
    <row r="636" spans="1:27" ht="15.75" customHeight="1">
      <c r="A636" s="48"/>
      <c r="B636" s="56"/>
      <c r="C636" s="56"/>
      <c r="D636" s="57"/>
      <c r="E636" s="20"/>
      <c r="F636" s="58"/>
      <c r="G636" s="20"/>
      <c r="H636" s="60"/>
      <c r="I636" s="60"/>
      <c r="J636" s="61"/>
      <c r="K636" s="61"/>
      <c r="L636" s="59"/>
      <c r="M636" s="59"/>
      <c r="N636" s="59"/>
      <c r="O636" s="59"/>
      <c r="P636" s="20"/>
      <c r="Q636" s="20"/>
      <c r="R636" s="20"/>
      <c r="S636" s="20"/>
      <c r="T636" s="62"/>
      <c r="U636" s="62"/>
      <c r="V636" s="20"/>
      <c r="W636" s="20"/>
      <c r="X636" s="20"/>
      <c r="Y636" s="20"/>
      <c r="Z636" s="20"/>
      <c r="AA636" s="20"/>
    </row>
    <row r="637" spans="1:27" ht="15.75" customHeight="1">
      <c r="A637" s="48"/>
      <c r="B637" s="56"/>
      <c r="C637" s="56"/>
      <c r="D637" s="57"/>
      <c r="E637" s="20"/>
      <c r="F637" s="58"/>
      <c r="G637" s="20"/>
      <c r="H637" s="60"/>
      <c r="I637" s="60"/>
      <c r="J637" s="61"/>
      <c r="K637" s="61"/>
      <c r="L637" s="59"/>
      <c r="M637" s="59"/>
      <c r="N637" s="59"/>
      <c r="O637" s="59"/>
      <c r="P637" s="20"/>
      <c r="Q637" s="20"/>
      <c r="R637" s="20"/>
      <c r="S637" s="20"/>
      <c r="T637" s="62"/>
      <c r="U637" s="62"/>
      <c r="V637" s="20"/>
      <c r="W637" s="20"/>
      <c r="X637" s="20"/>
      <c r="Y637" s="20"/>
      <c r="Z637" s="20"/>
      <c r="AA637" s="20"/>
    </row>
    <row r="638" spans="1:27" ht="15.75" customHeight="1">
      <c r="A638" s="48"/>
      <c r="B638" s="56"/>
      <c r="C638" s="56"/>
      <c r="D638" s="57"/>
      <c r="E638" s="20"/>
      <c r="F638" s="58"/>
      <c r="G638" s="20"/>
      <c r="H638" s="60"/>
      <c r="I638" s="60"/>
      <c r="J638" s="61"/>
      <c r="K638" s="61"/>
      <c r="L638" s="59"/>
      <c r="M638" s="59"/>
      <c r="N638" s="59"/>
      <c r="O638" s="59"/>
      <c r="P638" s="20"/>
      <c r="Q638" s="20"/>
      <c r="R638" s="20"/>
      <c r="S638" s="20"/>
      <c r="T638" s="62"/>
      <c r="U638" s="62"/>
      <c r="V638" s="20"/>
      <c r="W638" s="20"/>
      <c r="X638" s="20"/>
      <c r="Y638" s="20"/>
      <c r="Z638" s="20"/>
      <c r="AA638" s="20"/>
    </row>
    <row r="639" spans="1:27" ht="15.75" customHeight="1">
      <c r="A639" s="48"/>
      <c r="B639" s="56"/>
      <c r="C639" s="56"/>
      <c r="D639" s="57"/>
      <c r="E639" s="20"/>
      <c r="F639" s="58"/>
      <c r="G639" s="20"/>
      <c r="H639" s="60"/>
      <c r="I639" s="60"/>
      <c r="J639" s="61"/>
      <c r="K639" s="61"/>
      <c r="L639" s="59"/>
      <c r="M639" s="59"/>
      <c r="N639" s="59"/>
      <c r="O639" s="59"/>
      <c r="P639" s="20"/>
      <c r="Q639" s="20"/>
      <c r="R639" s="20"/>
      <c r="S639" s="20"/>
      <c r="T639" s="62"/>
      <c r="U639" s="62"/>
      <c r="V639" s="20"/>
      <c r="W639" s="20"/>
      <c r="X639" s="20"/>
      <c r="Y639" s="20"/>
      <c r="Z639" s="20"/>
      <c r="AA639" s="20"/>
    </row>
    <row r="640" spans="1:27" ht="15.75" customHeight="1">
      <c r="A640" s="48"/>
      <c r="B640" s="56"/>
      <c r="C640" s="56"/>
      <c r="D640" s="57"/>
      <c r="E640" s="20"/>
      <c r="F640" s="58"/>
      <c r="G640" s="20"/>
      <c r="H640" s="60"/>
      <c r="I640" s="60"/>
      <c r="J640" s="61"/>
      <c r="K640" s="61"/>
      <c r="L640" s="59"/>
      <c r="M640" s="59"/>
      <c r="N640" s="59"/>
      <c r="O640" s="59"/>
      <c r="P640" s="20"/>
      <c r="Q640" s="20"/>
      <c r="R640" s="20"/>
      <c r="S640" s="20"/>
      <c r="T640" s="62"/>
      <c r="U640" s="62"/>
      <c r="V640" s="20"/>
      <c r="W640" s="20"/>
      <c r="X640" s="20"/>
      <c r="Y640" s="20"/>
      <c r="Z640" s="20"/>
      <c r="AA640" s="20"/>
    </row>
    <row r="641" spans="1:27" ht="15.75" customHeight="1">
      <c r="A641" s="48"/>
      <c r="B641" s="56"/>
      <c r="C641" s="56"/>
      <c r="D641" s="57"/>
      <c r="E641" s="20"/>
      <c r="F641" s="58"/>
      <c r="G641" s="20"/>
      <c r="H641" s="60"/>
      <c r="I641" s="60"/>
      <c r="J641" s="61"/>
      <c r="K641" s="61"/>
      <c r="L641" s="59"/>
      <c r="M641" s="59"/>
      <c r="N641" s="59"/>
      <c r="O641" s="59"/>
      <c r="P641" s="20"/>
      <c r="Q641" s="20"/>
      <c r="R641" s="20"/>
      <c r="S641" s="20"/>
      <c r="T641" s="62"/>
      <c r="U641" s="62"/>
      <c r="V641" s="20"/>
      <c r="W641" s="20"/>
      <c r="X641" s="20"/>
      <c r="Y641" s="20"/>
      <c r="Z641" s="20"/>
      <c r="AA641" s="20"/>
    </row>
    <row r="642" spans="1:27" ht="15.75" customHeight="1">
      <c r="A642" s="48"/>
      <c r="B642" s="56"/>
      <c r="C642" s="56"/>
      <c r="D642" s="57"/>
      <c r="E642" s="20"/>
      <c r="F642" s="58"/>
      <c r="G642" s="20"/>
      <c r="H642" s="60"/>
      <c r="I642" s="60"/>
      <c r="J642" s="61"/>
      <c r="K642" s="61"/>
      <c r="L642" s="59"/>
      <c r="M642" s="59"/>
      <c r="N642" s="59"/>
      <c r="O642" s="59"/>
      <c r="P642" s="20"/>
      <c r="Q642" s="20"/>
      <c r="R642" s="20"/>
      <c r="S642" s="20"/>
      <c r="T642" s="62"/>
      <c r="U642" s="62"/>
      <c r="V642" s="20"/>
      <c r="W642" s="20"/>
      <c r="X642" s="20"/>
      <c r="Y642" s="20"/>
      <c r="Z642" s="20"/>
      <c r="AA642" s="20"/>
    </row>
    <row r="643" spans="1:27" ht="15.75" customHeight="1">
      <c r="A643" s="48"/>
      <c r="B643" s="56"/>
      <c r="C643" s="56"/>
      <c r="D643" s="57"/>
      <c r="E643" s="20"/>
      <c r="F643" s="58"/>
      <c r="G643" s="20"/>
      <c r="H643" s="60"/>
      <c r="I643" s="60"/>
      <c r="J643" s="61"/>
      <c r="K643" s="61"/>
      <c r="L643" s="59"/>
      <c r="M643" s="59"/>
      <c r="N643" s="59"/>
      <c r="O643" s="59"/>
      <c r="P643" s="20"/>
      <c r="Q643" s="20"/>
      <c r="R643" s="20"/>
      <c r="S643" s="20"/>
      <c r="T643" s="62"/>
      <c r="U643" s="62"/>
      <c r="V643" s="20"/>
      <c r="W643" s="20"/>
      <c r="X643" s="20"/>
      <c r="Y643" s="20"/>
      <c r="Z643" s="20"/>
      <c r="AA643" s="20"/>
    </row>
    <row r="644" spans="1:27" ht="15.75" customHeight="1">
      <c r="A644" s="48"/>
      <c r="B644" s="56"/>
      <c r="C644" s="56"/>
      <c r="D644" s="57"/>
      <c r="E644" s="20"/>
      <c r="F644" s="58"/>
      <c r="G644" s="20"/>
      <c r="H644" s="60"/>
      <c r="I644" s="60"/>
      <c r="J644" s="61"/>
      <c r="K644" s="61"/>
      <c r="L644" s="59"/>
      <c r="M644" s="59"/>
      <c r="N644" s="59"/>
      <c r="O644" s="59"/>
      <c r="P644" s="20"/>
      <c r="Q644" s="20"/>
      <c r="R644" s="20"/>
      <c r="S644" s="20"/>
      <c r="T644" s="62"/>
      <c r="U644" s="62"/>
      <c r="V644" s="20"/>
      <c r="W644" s="20"/>
      <c r="X644" s="20"/>
      <c r="Y644" s="20"/>
      <c r="Z644" s="20"/>
      <c r="AA644" s="20"/>
    </row>
    <row r="645" spans="1:27" ht="15.75" customHeight="1">
      <c r="A645" s="48"/>
      <c r="B645" s="56"/>
      <c r="C645" s="56"/>
      <c r="D645" s="57"/>
      <c r="E645" s="20"/>
      <c r="F645" s="58"/>
      <c r="G645" s="20"/>
      <c r="H645" s="60"/>
      <c r="I645" s="60"/>
      <c r="J645" s="61"/>
      <c r="K645" s="61"/>
      <c r="L645" s="59"/>
      <c r="M645" s="59"/>
      <c r="N645" s="59"/>
      <c r="O645" s="59"/>
      <c r="P645" s="20"/>
      <c r="Q645" s="20"/>
      <c r="R645" s="20"/>
      <c r="S645" s="20"/>
      <c r="T645" s="62"/>
      <c r="U645" s="62"/>
      <c r="V645" s="20"/>
      <c r="W645" s="20"/>
      <c r="X645" s="20"/>
      <c r="Y645" s="20"/>
      <c r="Z645" s="20"/>
      <c r="AA645" s="20"/>
    </row>
    <row r="646" spans="1:27" ht="15.75" customHeight="1">
      <c r="A646" s="48"/>
      <c r="B646" s="56"/>
      <c r="C646" s="56"/>
      <c r="D646" s="57"/>
      <c r="E646" s="20"/>
      <c r="F646" s="58"/>
      <c r="G646" s="20"/>
      <c r="H646" s="60"/>
      <c r="I646" s="60"/>
      <c r="J646" s="61"/>
      <c r="K646" s="61"/>
      <c r="L646" s="59"/>
      <c r="M646" s="59"/>
      <c r="N646" s="59"/>
      <c r="O646" s="59"/>
      <c r="P646" s="20"/>
      <c r="Q646" s="20"/>
      <c r="R646" s="20"/>
      <c r="S646" s="20"/>
      <c r="T646" s="62"/>
      <c r="U646" s="62"/>
      <c r="V646" s="20"/>
      <c r="W646" s="20"/>
      <c r="X646" s="20"/>
      <c r="Y646" s="20"/>
      <c r="Z646" s="20"/>
      <c r="AA646" s="20"/>
    </row>
    <row r="647" spans="1:27" ht="15.75" customHeight="1">
      <c r="A647" s="48"/>
      <c r="B647" s="56"/>
      <c r="C647" s="56"/>
      <c r="D647" s="57"/>
      <c r="E647" s="20"/>
      <c r="F647" s="58"/>
      <c r="G647" s="20"/>
      <c r="H647" s="60"/>
      <c r="I647" s="60"/>
      <c r="J647" s="61"/>
      <c r="K647" s="61"/>
      <c r="L647" s="59"/>
      <c r="M647" s="59"/>
      <c r="N647" s="59"/>
      <c r="O647" s="59"/>
      <c r="P647" s="20"/>
      <c r="Q647" s="20"/>
      <c r="R647" s="20"/>
      <c r="S647" s="20"/>
      <c r="T647" s="62"/>
      <c r="U647" s="62"/>
      <c r="V647" s="20"/>
      <c r="W647" s="20"/>
      <c r="X647" s="20"/>
      <c r="Y647" s="20"/>
      <c r="Z647" s="20"/>
      <c r="AA647" s="20"/>
    </row>
    <row r="648" spans="1:27" ht="15.75" customHeight="1">
      <c r="A648" s="48"/>
      <c r="B648" s="56"/>
      <c r="C648" s="56"/>
      <c r="D648" s="57"/>
      <c r="E648" s="20"/>
      <c r="F648" s="58"/>
      <c r="G648" s="20"/>
      <c r="H648" s="60"/>
      <c r="I648" s="60"/>
      <c r="J648" s="61"/>
      <c r="K648" s="61"/>
      <c r="L648" s="59"/>
      <c r="M648" s="59"/>
      <c r="N648" s="59"/>
      <c r="O648" s="59"/>
      <c r="P648" s="20"/>
      <c r="Q648" s="20"/>
      <c r="R648" s="20"/>
      <c r="S648" s="20"/>
      <c r="T648" s="62"/>
      <c r="U648" s="62"/>
      <c r="V648" s="20"/>
      <c r="W648" s="20"/>
      <c r="X648" s="20"/>
      <c r="Y648" s="20"/>
      <c r="Z648" s="20"/>
      <c r="AA648" s="20"/>
    </row>
    <row r="649" spans="1:27" ht="15.75" customHeight="1">
      <c r="A649" s="48"/>
      <c r="B649" s="56"/>
      <c r="C649" s="56"/>
      <c r="D649" s="57"/>
      <c r="E649" s="20"/>
      <c r="F649" s="58"/>
      <c r="G649" s="20"/>
      <c r="H649" s="60"/>
      <c r="I649" s="60"/>
      <c r="J649" s="61"/>
      <c r="K649" s="61"/>
      <c r="L649" s="59"/>
      <c r="M649" s="59"/>
      <c r="N649" s="59"/>
      <c r="O649" s="59"/>
      <c r="P649" s="20"/>
      <c r="Q649" s="20"/>
      <c r="R649" s="20"/>
      <c r="S649" s="20"/>
      <c r="T649" s="62"/>
      <c r="U649" s="62"/>
      <c r="V649" s="20"/>
      <c r="W649" s="20"/>
      <c r="X649" s="20"/>
      <c r="Y649" s="20"/>
      <c r="Z649" s="20"/>
      <c r="AA649" s="20"/>
    </row>
    <row r="650" spans="1:27" ht="15.75" customHeight="1">
      <c r="A650" s="48"/>
      <c r="B650" s="56"/>
      <c r="C650" s="56"/>
      <c r="D650" s="57"/>
      <c r="E650" s="20"/>
      <c r="F650" s="58"/>
      <c r="G650" s="20"/>
      <c r="H650" s="60"/>
      <c r="I650" s="60"/>
      <c r="J650" s="61"/>
      <c r="K650" s="61"/>
      <c r="L650" s="59"/>
      <c r="M650" s="59"/>
      <c r="N650" s="59"/>
      <c r="O650" s="59"/>
      <c r="P650" s="20"/>
      <c r="Q650" s="20"/>
      <c r="R650" s="20"/>
      <c r="S650" s="20"/>
      <c r="T650" s="62"/>
      <c r="U650" s="62"/>
      <c r="V650" s="20"/>
      <c r="W650" s="20"/>
      <c r="X650" s="20"/>
      <c r="Y650" s="20"/>
      <c r="Z650" s="20"/>
      <c r="AA650" s="20"/>
    </row>
    <row r="651" spans="1:27" ht="15.75" customHeight="1">
      <c r="A651" s="48"/>
      <c r="B651" s="56"/>
      <c r="C651" s="56"/>
      <c r="D651" s="57"/>
      <c r="E651" s="20"/>
      <c r="F651" s="58"/>
      <c r="G651" s="20"/>
      <c r="H651" s="60"/>
      <c r="I651" s="60"/>
      <c r="J651" s="61"/>
      <c r="K651" s="61"/>
      <c r="L651" s="59"/>
      <c r="M651" s="59"/>
      <c r="N651" s="59"/>
      <c r="O651" s="59"/>
      <c r="P651" s="20"/>
      <c r="Q651" s="20"/>
      <c r="R651" s="20"/>
      <c r="S651" s="20"/>
      <c r="T651" s="62"/>
      <c r="U651" s="62"/>
      <c r="V651" s="20"/>
      <c r="W651" s="20"/>
      <c r="X651" s="20"/>
      <c r="Y651" s="20"/>
      <c r="Z651" s="20"/>
      <c r="AA651" s="20"/>
    </row>
    <row r="652" spans="1:27" ht="15.75" customHeight="1">
      <c r="A652" s="48"/>
      <c r="B652" s="56"/>
      <c r="C652" s="56"/>
      <c r="D652" s="57"/>
      <c r="E652" s="20"/>
      <c r="F652" s="58"/>
      <c r="G652" s="20"/>
      <c r="H652" s="60"/>
      <c r="I652" s="60"/>
      <c r="J652" s="61"/>
      <c r="K652" s="61"/>
      <c r="L652" s="59"/>
      <c r="M652" s="59"/>
      <c r="N652" s="59"/>
      <c r="O652" s="59"/>
      <c r="P652" s="20"/>
      <c r="Q652" s="20"/>
      <c r="R652" s="20"/>
      <c r="S652" s="20"/>
      <c r="T652" s="62"/>
      <c r="U652" s="62"/>
      <c r="V652" s="20"/>
      <c r="W652" s="20"/>
      <c r="X652" s="20"/>
      <c r="Y652" s="20"/>
      <c r="Z652" s="20"/>
      <c r="AA652" s="20"/>
    </row>
    <row r="653" spans="1:27" ht="15.75" customHeight="1">
      <c r="A653" s="48"/>
      <c r="B653" s="56"/>
      <c r="C653" s="56"/>
      <c r="D653" s="57"/>
      <c r="E653" s="20"/>
      <c r="F653" s="58"/>
      <c r="G653" s="20"/>
      <c r="H653" s="60"/>
      <c r="I653" s="60"/>
      <c r="J653" s="61"/>
      <c r="K653" s="61"/>
      <c r="L653" s="59"/>
      <c r="M653" s="59"/>
      <c r="N653" s="59"/>
      <c r="O653" s="59"/>
      <c r="P653" s="20"/>
      <c r="Q653" s="20"/>
      <c r="R653" s="20"/>
      <c r="S653" s="20"/>
      <c r="T653" s="62"/>
      <c r="U653" s="62"/>
      <c r="V653" s="20"/>
      <c r="W653" s="20"/>
      <c r="X653" s="20"/>
      <c r="Y653" s="20"/>
      <c r="Z653" s="20"/>
      <c r="AA653" s="20"/>
    </row>
    <row r="654" spans="1:27" ht="15.75" customHeight="1">
      <c r="A654" s="48"/>
      <c r="B654" s="56"/>
      <c r="C654" s="56"/>
      <c r="D654" s="57"/>
      <c r="E654" s="20"/>
      <c r="F654" s="58"/>
      <c r="G654" s="20"/>
      <c r="H654" s="60"/>
      <c r="I654" s="60"/>
      <c r="J654" s="61"/>
      <c r="K654" s="61"/>
      <c r="L654" s="59"/>
      <c r="M654" s="59"/>
      <c r="N654" s="59"/>
      <c r="O654" s="59"/>
      <c r="P654" s="20"/>
      <c r="Q654" s="20"/>
      <c r="R654" s="20"/>
      <c r="S654" s="20"/>
      <c r="T654" s="62"/>
      <c r="U654" s="62"/>
      <c r="V654" s="20"/>
      <c r="W654" s="20"/>
      <c r="X654" s="20"/>
      <c r="Y654" s="20"/>
      <c r="Z654" s="20"/>
      <c r="AA654" s="20"/>
    </row>
    <row r="655" spans="1:27" ht="15.75" customHeight="1">
      <c r="A655" s="48"/>
      <c r="B655" s="56"/>
      <c r="C655" s="56"/>
      <c r="D655" s="57"/>
      <c r="E655" s="20"/>
      <c r="F655" s="58"/>
      <c r="G655" s="20"/>
      <c r="H655" s="60"/>
      <c r="I655" s="60"/>
      <c r="J655" s="61"/>
      <c r="K655" s="61"/>
      <c r="L655" s="59"/>
      <c r="M655" s="59"/>
      <c r="N655" s="59"/>
      <c r="O655" s="59"/>
      <c r="P655" s="20"/>
      <c r="Q655" s="20"/>
      <c r="R655" s="20"/>
      <c r="S655" s="20"/>
      <c r="T655" s="62"/>
      <c r="U655" s="62"/>
      <c r="V655" s="20"/>
      <c r="W655" s="20"/>
      <c r="X655" s="20"/>
      <c r="Y655" s="20"/>
      <c r="Z655" s="20"/>
      <c r="AA655" s="20"/>
    </row>
    <row r="656" spans="1:27" ht="15.75" customHeight="1">
      <c r="A656" s="48"/>
      <c r="B656" s="56"/>
      <c r="C656" s="56"/>
      <c r="D656" s="57"/>
      <c r="E656" s="20"/>
      <c r="F656" s="58"/>
      <c r="G656" s="20"/>
      <c r="H656" s="60"/>
      <c r="I656" s="60"/>
      <c r="J656" s="61"/>
      <c r="K656" s="61"/>
      <c r="L656" s="59"/>
      <c r="M656" s="59"/>
      <c r="N656" s="59"/>
      <c r="O656" s="59"/>
      <c r="P656" s="20"/>
      <c r="Q656" s="20"/>
      <c r="R656" s="20"/>
      <c r="S656" s="20"/>
      <c r="T656" s="62"/>
      <c r="U656" s="62"/>
      <c r="V656" s="20"/>
      <c r="W656" s="20"/>
      <c r="X656" s="20"/>
      <c r="Y656" s="20"/>
      <c r="Z656" s="20"/>
      <c r="AA656" s="20"/>
    </row>
    <row r="657" spans="1:27" ht="15.75" customHeight="1">
      <c r="A657" s="48"/>
      <c r="B657" s="56"/>
      <c r="C657" s="56"/>
      <c r="D657" s="57"/>
      <c r="E657" s="20"/>
      <c r="F657" s="58"/>
      <c r="G657" s="20"/>
      <c r="H657" s="60"/>
      <c r="I657" s="60"/>
      <c r="J657" s="61"/>
      <c r="K657" s="61"/>
      <c r="L657" s="59"/>
      <c r="M657" s="59"/>
      <c r="N657" s="59"/>
      <c r="O657" s="59"/>
      <c r="P657" s="20"/>
      <c r="Q657" s="20"/>
      <c r="R657" s="20"/>
      <c r="S657" s="20"/>
      <c r="T657" s="62"/>
      <c r="U657" s="62"/>
      <c r="V657" s="20"/>
      <c r="W657" s="20"/>
      <c r="X657" s="20"/>
      <c r="Y657" s="20"/>
      <c r="Z657" s="20"/>
      <c r="AA657" s="20"/>
    </row>
    <row r="658" spans="1:27" ht="15.75" customHeight="1">
      <c r="A658" s="48"/>
      <c r="B658" s="56"/>
      <c r="C658" s="56"/>
      <c r="D658" s="57"/>
      <c r="E658" s="20"/>
      <c r="F658" s="58"/>
      <c r="G658" s="20"/>
      <c r="H658" s="60"/>
      <c r="I658" s="60"/>
      <c r="J658" s="61"/>
      <c r="K658" s="61"/>
      <c r="L658" s="59"/>
      <c r="M658" s="59"/>
      <c r="N658" s="59"/>
      <c r="O658" s="59"/>
      <c r="P658" s="20"/>
      <c r="Q658" s="20"/>
      <c r="R658" s="20"/>
      <c r="S658" s="20"/>
      <c r="T658" s="62"/>
      <c r="U658" s="62"/>
      <c r="V658" s="20"/>
      <c r="W658" s="20"/>
      <c r="X658" s="20"/>
      <c r="Y658" s="20"/>
      <c r="Z658" s="20"/>
      <c r="AA658" s="20"/>
    </row>
    <row r="659" spans="1:27" ht="15.75" customHeight="1">
      <c r="A659" s="48"/>
      <c r="B659" s="56"/>
      <c r="C659" s="56"/>
      <c r="D659" s="57"/>
      <c r="E659" s="20"/>
      <c r="F659" s="58"/>
      <c r="G659" s="20"/>
      <c r="H659" s="60"/>
      <c r="I659" s="60"/>
      <c r="J659" s="61"/>
      <c r="K659" s="61"/>
      <c r="L659" s="59"/>
      <c r="M659" s="59"/>
      <c r="N659" s="59"/>
      <c r="O659" s="59"/>
      <c r="P659" s="20"/>
      <c r="Q659" s="20"/>
      <c r="R659" s="20"/>
      <c r="S659" s="20"/>
      <c r="T659" s="62"/>
      <c r="U659" s="62"/>
      <c r="V659" s="20"/>
      <c r="W659" s="20"/>
      <c r="X659" s="20"/>
      <c r="Y659" s="20"/>
      <c r="Z659" s="20"/>
      <c r="AA659" s="20"/>
    </row>
    <row r="660" spans="1:27" ht="15.75" customHeight="1">
      <c r="A660" s="48"/>
      <c r="B660" s="56"/>
      <c r="C660" s="56"/>
      <c r="D660" s="57"/>
      <c r="E660" s="20"/>
      <c r="F660" s="58"/>
      <c r="G660" s="20"/>
      <c r="H660" s="60"/>
      <c r="I660" s="60"/>
      <c r="J660" s="61"/>
      <c r="K660" s="61"/>
      <c r="L660" s="59"/>
      <c r="M660" s="59"/>
      <c r="N660" s="59"/>
      <c r="O660" s="59"/>
      <c r="P660" s="20"/>
      <c r="Q660" s="20"/>
      <c r="R660" s="20"/>
      <c r="S660" s="20"/>
      <c r="T660" s="62"/>
      <c r="U660" s="62"/>
      <c r="V660" s="20"/>
      <c r="W660" s="20"/>
      <c r="X660" s="20"/>
      <c r="Y660" s="20"/>
      <c r="Z660" s="20"/>
      <c r="AA660" s="20"/>
    </row>
    <row r="661" spans="1:27" ht="15.75" customHeight="1">
      <c r="A661" s="48"/>
      <c r="B661" s="56"/>
      <c r="C661" s="56"/>
      <c r="D661" s="57"/>
      <c r="E661" s="20"/>
      <c r="F661" s="58"/>
      <c r="G661" s="20"/>
      <c r="H661" s="60"/>
      <c r="I661" s="60"/>
      <c r="J661" s="61"/>
      <c r="K661" s="61"/>
      <c r="L661" s="59"/>
      <c r="M661" s="59"/>
      <c r="N661" s="59"/>
      <c r="O661" s="59"/>
      <c r="P661" s="20"/>
      <c r="Q661" s="20"/>
      <c r="R661" s="20"/>
      <c r="S661" s="20"/>
      <c r="T661" s="62"/>
      <c r="U661" s="62"/>
      <c r="V661" s="20"/>
      <c r="W661" s="20"/>
      <c r="X661" s="20"/>
      <c r="Y661" s="20"/>
      <c r="Z661" s="20"/>
      <c r="AA661" s="20"/>
    </row>
    <row r="662" spans="1:27" ht="15.75" customHeight="1">
      <c r="A662" s="48"/>
      <c r="B662" s="56"/>
      <c r="C662" s="56"/>
      <c r="D662" s="57"/>
      <c r="E662" s="20"/>
      <c r="F662" s="58"/>
      <c r="G662" s="20"/>
      <c r="H662" s="60"/>
      <c r="I662" s="60"/>
      <c r="J662" s="61"/>
      <c r="K662" s="61"/>
      <c r="L662" s="59"/>
      <c r="M662" s="59"/>
      <c r="N662" s="59"/>
      <c r="O662" s="59"/>
      <c r="P662" s="20"/>
      <c r="Q662" s="20"/>
      <c r="R662" s="20"/>
      <c r="S662" s="20"/>
      <c r="T662" s="62"/>
      <c r="U662" s="62"/>
      <c r="V662" s="20"/>
      <c r="W662" s="20"/>
      <c r="X662" s="20"/>
      <c r="Y662" s="20"/>
      <c r="Z662" s="20"/>
      <c r="AA662" s="20"/>
    </row>
    <row r="663" spans="1:27" ht="15.75" customHeight="1">
      <c r="A663" s="48"/>
      <c r="B663" s="56"/>
      <c r="C663" s="56"/>
      <c r="D663" s="57"/>
      <c r="E663" s="20"/>
      <c r="F663" s="58"/>
      <c r="G663" s="20"/>
      <c r="H663" s="60"/>
      <c r="I663" s="60"/>
      <c r="J663" s="61"/>
      <c r="K663" s="61"/>
      <c r="L663" s="59"/>
      <c r="M663" s="59"/>
      <c r="N663" s="59"/>
      <c r="O663" s="59"/>
      <c r="P663" s="20"/>
      <c r="Q663" s="20"/>
      <c r="R663" s="20"/>
      <c r="S663" s="20"/>
      <c r="T663" s="62"/>
      <c r="U663" s="62"/>
      <c r="V663" s="20"/>
      <c r="W663" s="20"/>
      <c r="X663" s="20"/>
      <c r="Y663" s="20"/>
      <c r="Z663" s="20"/>
      <c r="AA663" s="20"/>
    </row>
    <row r="664" spans="1:27" ht="15.75" customHeight="1">
      <c r="A664" s="48"/>
      <c r="B664" s="56"/>
      <c r="C664" s="56"/>
      <c r="D664" s="57"/>
      <c r="E664" s="20"/>
      <c r="F664" s="58"/>
      <c r="G664" s="20"/>
      <c r="H664" s="60"/>
      <c r="I664" s="60"/>
      <c r="J664" s="61"/>
      <c r="K664" s="61"/>
      <c r="L664" s="59"/>
      <c r="M664" s="59"/>
      <c r="N664" s="59"/>
      <c r="O664" s="59"/>
      <c r="P664" s="20"/>
      <c r="Q664" s="20"/>
      <c r="R664" s="20"/>
      <c r="S664" s="20"/>
      <c r="T664" s="62"/>
      <c r="U664" s="62"/>
      <c r="V664" s="20"/>
      <c r="W664" s="20"/>
      <c r="X664" s="20"/>
      <c r="Y664" s="20"/>
      <c r="Z664" s="20"/>
      <c r="AA664" s="20"/>
    </row>
    <row r="665" spans="1:27" ht="15.75" customHeight="1">
      <c r="A665" s="48"/>
      <c r="B665" s="56"/>
      <c r="C665" s="56"/>
      <c r="D665" s="57"/>
      <c r="E665" s="20"/>
      <c r="F665" s="58"/>
      <c r="G665" s="20"/>
      <c r="H665" s="60"/>
      <c r="I665" s="60"/>
      <c r="J665" s="61"/>
      <c r="K665" s="61"/>
      <c r="L665" s="59"/>
      <c r="M665" s="59"/>
      <c r="N665" s="59"/>
      <c r="O665" s="59"/>
      <c r="P665" s="20"/>
      <c r="Q665" s="20"/>
      <c r="R665" s="20"/>
      <c r="S665" s="20"/>
      <c r="T665" s="62"/>
      <c r="U665" s="62"/>
      <c r="V665" s="20"/>
      <c r="W665" s="20"/>
      <c r="X665" s="20"/>
      <c r="Y665" s="20"/>
      <c r="Z665" s="20"/>
      <c r="AA665" s="20"/>
    </row>
    <row r="666" spans="1:27" ht="15.75" customHeight="1">
      <c r="A666" s="48"/>
      <c r="B666" s="56"/>
      <c r="C666" s="56"/>
      <c r="D666" s="57"/>
      <c r="E666" s="20"/>
      <c r="F666" s="58"/>
      <c r="G666" s="20"/>
      <c r="H666" s="60"/>
      <c r="I666" s="60"/>
      <c r="J666" s="61"/>
      <c r="K666" s="61"/>
      <c r="L666" s="59"/>
      <c r="M666" s="59"/>
      <c r="N666" s="59"/>
      <c r="O666" s="59"/>
      <c r="P666" s="20"/>
      <c r="Q666" s="20"/>
      <c r="R666" s="20"/>
      <c r="S666" s="20"/>
      <c r="T666" s="62"/>
      <c r="U666" s="62"/>
      <c r="V666" s="20"/>
      <c r="W666" s="20"/>
      <c r="X666" s="20"/>
      <c r="Y666" s="20"/>
      <c r="Z666" s="20"/>
      <c r="AA666" s="20"/>
    </row>
    <row r="667" spans="1:27" ht="15.75" customHeight="1">
      <c r="A667" s="48"/>
      <c r="B667" s="56"/>
      <c r="C667" s="56"/>
      <c r="D667" s="57"/>
      <c r="E667" s="20"/>
      <c r="F667" s="58"/>
      <c r="G667" s="20"/>
      <c r="H667" s="60"/>
      <c r="I667" s="60"/>
      <c r="J667" s="61"/>
      <c r="K667" s="61"/>
      <c r="L667" s="59"/>
      <c r="M667" s="59"/>
      <c r="N667" s="59"/>
      <c r="O667" s="59"/>
      <c r="P667" s="20"/>
      <c r="Q667" s="20"/>
      <c r="R667" s="20"/>
      <c r="S667" s="20"/>
      <c r="T667" s="62"/>
      <c r="U667" s="62"/>
      <c r="V667" s="20"/>
      <c r="W667" s="20"/>
      <c r="X667" s="20"/>
      <c r="Y667" s="20"/>
      <c r="Z667" s="20"/>
      <c r="AA667" s="20"/>
    </row>
    <row r="668" spans="1:27" ht="15.75" customHeight="1">
      <c r="A668" s="48"/>
      <c r="B668" s="56"/>
      <c r="C668" s="56"/>
      <c r="D668" s="57"/>
      <c r="E668" s="20"/>
      <c r="F668" s="58"/>
      <c r="G668" s="20"/>
      <c r="H668" s="60"/>
      <c r="I668" s="60"/>
      <c r="J668" s="61"/>
      <c r="K668" s="61"/>
      <c r="L668" s="59"/>
      <c r="M668" s="59"/>
      <c r="N668" s="59"/>
      <c r="O668" s="59"/>
      <c r="P668" s="20"/>
      <c r="Q668" s="20"/>
      <c r="R668" s="20"/>
      <c r="S668" s="20"/>
      <c r="T668" s="62"/>
      <c r="U668" s="62"/>
      <c r="V668" s="20"/>
      <c r="W668" s="20"/>
      <c r="X668" s="20"/>
      <c r="Y668" s="20"/>
      <c r="Z668" s="20"/>
      <c r="AA668" s="20"/>
    </row>
    <row r="669" spans="1:27" ht="15.75" customHeight="1">
      <c r="A669" s="48"/>
      <c r="B669" s="56"/>
      <c r="C669" s="56"/>
      <c r="D669" s="57"/>
      <c r="E669" s="20"/>
      <c r="F669" s="58"/>
      <c r="G669" s="20"/>
      <c r="H669" s="60"/>
      <c r="I669" s="60"/>
      <c r="J669" s="61"/>
      <c r="K669" s="61"/>
      <c r="L669" s="59"/>
      <c r="M669" s="59"/>
      <c r="N669" s="59"/>
      <c r="O669" s="59"/>
      <c r="P669" s="20"/>
      <c r="Q669" s="20"/>
      <c r="R669" s="20"/>
      <c r="S669" s="20"/>
      <c r="T669" s="62"/>
      <c r="U669" s="62"/>
      <c r="V669" s="20"/>
      <c r="W669" s="20"/>
      <c r="X669" s="20"/>
      <c r="Y669" s="20"/>
      <c r="Z669" s="20"/>
      <c r="AA669" s="20"/>
    </row>
    <row r="670" spans="1:27" ht="15.75" customHeight="1">
      <c r="A670" s="48"/>
      <c r="B670" s="56"/>
      <c r="C670" s="56"/>
      <c r="D670" s="57"/>
      <c r="E670" s="20"/>
      <c r="F670" s="58"/>
      <c r="G670" s="20"/>
      <c r="H670" s="60"/>
      <c r="I670" s="60"/>
      <c r="J670" s="61"/>
      <c r="K670" s="61"/>
      <c r="L670" s="59"/>
      <c r="M670" s="59"/>
      <c r="N670" s="59"/>
      <c r="O670" s="59"/>
      <c r="P670" s="20"/>
      <c r="Q670" s="20"/>
      <c r="R670" s="20"/>
      <c r="S670" s="20"/>
      <c r="T670" s="62"/>
      <c r="U670" s="62"/>
      <c r="V670" s="20"/>
      <c r="W670" s="20"/>
      <c r="X670" s="20"/>
      <c r="Y670" s="20"/>
      <c r="Z670" s="20"/>
      <c r="AA670" s="20"/>
    </row>
    <row r="671" spans="1:27" ht="15.75" customHeight="1">
      <c r="A671" s="48"/>
      <c r="B671" s="56"/>
      <c r="C671" s="56"/>
      <c r="D671" s="57"/>
      <c r="E671" s="20"/>
      <c r="F671" s="58"/>
      <c r="G671" s="20"/>
      <c r="H671" s="60"/>
      <c r="I671" s="60"/>
      <c r="J671" s="61"/>
      <c r="K671" s="61"/>
      <c r="L671" s="59"/>
      <c r="M671" s="59"/>
      <c r="N671" s="59"/>
      <c r="O671" s="59"/>
      <c r="P671" s="20"/>
      <c r="Q671" s="20"/>
      <c r="R671" s="20"/>
      <c r="S671" s="20"/>
      <c r="T671" s="62"/>
      <c r="U671" s="62"/>
      <c r="V671" s="20"/>
      <c r="W671" s="20"/>
      <c r="X671" s="20"/>
      <c r="Y671" s="20"/>
      <c r="Z671" s="20"/>
      <c r="AA671" s="20"/>
    </row>
    <row r="672" spans="1:27" ht="15.75" customHeight="1">
      <c r="A672" s="48"/>
      <c r="B672" s="56"/>
      <c r="C672" s="56"/>
      <c r="D672" s="57"/>
      <c r="E672" s="20"/>
      <c r="F672" s="58"/>
      <c r="G672" s="20"/>
      <c r="H672" s="60"/>
      <c r="I672" s="60"/>
      <c r="J672" s="61"/>
      <c r="K672" s="61"/>
      <c r="L672" s="59"/>
      <c r="M672" s="59"/>
      <c r="N672" s="59"/>
      <c r="O672" s="59"/>
      <c r="P672" s="20"/>
      <c r="Q672" s="20"/>
      <c r="R672" s="20"/>
      <c r="S672" s="20"/>
      <c r="T672" s="62"/>
      <c r="U672" s="62"/>
      <c r="V672" s="20"/>
      <c r="W672" s="20"/>
      <c r="X672" s="20"/>
      <c r="Y672" s="20"/>
      <c r="Z672" s="20"/>
      <c r="AA672" s="20"/>
    </row>
    <row r="673" spans="1:27" ht="15.75" customHeight="1">
      <c r="A673" s="48"/>
      <c r="B673" s="56"/>
      <c r="C673" s="56"/>
      <c r="D673" s="57"/>
      <c r="E673" s="20"/>
      <c r="F673" s="58"/>
      <c r="G673" s="20"/>
      <c r="H673" s="60"/>
      <c r="I673" s="60"/>
      <c r="J673" s="61"/>
      <c r="K673" s="61"/>
      <c r="L673" s="59"/>
      <c r="M673" s="59"/>
      <c r="N673" s="59"/>
      <c r="O673" s="59"/>
      <c r="P673" s="20"/>
      <c r="Q673" s="20"/>
      <c r="R673" s="20"/>
      <c r="S673" s="20"/>
      <c r="T673" s="62"/>
      <c r="U673" s="62"/>
      <c r="V673" s="20"/>
      <c r="W673" s="20"/>
      <c r="X673" s="20"/>
      <c r="Y673" s="20"/>
      <c r="Z673" s="20"/>
      <c r="AA673" s="20"/>
    </row>
    <row r="674" spans="1:27" ht="15.75" customHeight="1">
      <c r="A674" s="48"/>
      <c r="B674" s="56"/>
      <c r="C674" s="56"/>
      <c r="D674" s="57"/>
      <c r="E674" s="20"/>
      <c r="F674" s="58"/>
      <c r="G674" s="20"/>
      <c r="H674" s="60"/>
      <c r="I674" s="60"/>
      <c r="J674" s="61"/>
      <c r="K674" s="61"/>
      <c r="L674" s="59"/>
      <c r="M674" s="59"/>
      <c r="N674" s="59"/>
      <c r="O674" s="59"/>
      <c r="P674" s="20"/>
      <c r="Q674" s="20"/>
      <c r="R674" s="20"/>
      <c r="S674" s="20"/>
      <c r="T674" s="62"/>
      <c r="U674" s="62"/>
      <c r="V674" s="20"/>
      <c r="W674" s="20"/>
      <c r="X674" s="20"/>
      <c r="Y674" s="20"/>
      <c r="Z674" s="20"/>
      <c r="AA674" s="20"/>
    </row>
    <row r="675" spans="1:27" ht="15.75" customHeight="1">
      <c r="A675" s="48"/>
      <c r="B675" s="56"/>
      <c r="C675" s="56"/>
      <c r="D675" s="57"/>
      <c r="E675" s="20"/>
      <c r="F675" s="58"/>
      <c r="G675" s="20"/>
      <c r="H675" s="60"/>
      <c r="I675" s="60"/>
      <c r="J675" s="61"/>
      <c r="K675" s="61"/>
      <c r="L675" s="59"/>
      <c r="M675" s="59"/>
      <c r="N675" s="59"/>
      <c r="O675" s="59"/>
      <c r="P675" s="20"/>
      <c r="Q675" s="20"/>
      <c r="R675" s="20"/>
      <c r="S675" s="20"/>
      <c r="T675" s="62"/>
      <c r="U675" s="62"/>
      <c r="V675" s="20"/>
      <c r="W675" s="20"/>
      <c r="X675" s="20"/>
      <c r="Y675" s="20"/>
      <c r="Z675" s="20"/>
      <c r="AA675" s="20"/>
    </row>
    <row r="676" spans="1:27" ht="15.75" customHeight="1">
      <c r="A676" s="48"/>
      <c r="B676" s="56"/>
      <c r="C676" s="56"/>
      <c r="D676" s="57"/>
      <c r="E676" s="20"/>
      <c r="F676" s="58"/>
      <c r="G676" s="20"/>
      <c r="H676" s="60"/>
      <c r="I676" s="60"/>
      <c r="J676" s="61"/>
      <c r="K676" s="61"/>
      <c r="L676" s="59"/>
      <c r="M676" s="59"/>
      <c r="N676" s="59"/>
      <c r="O676" s="59"/>
      <c r="P676" s="20"/>
      <c r="Q676" s="20"/>
      <c r="R676" s="20"/>
      <c r="S676" s="20"/>
      <c r="T676" s="62"/>
      <c r="U676" s="62"/>
      <c r="V676" s="20"/>
      <c r="W676" s="20"/>
      <c r="X676" s="20"/>
      <c r="Y676" s="20"/>
      <c r="Z676" s="20"/>
      <c r="AA676" s="20"/>
    </row>
    <row r="677" spans="1:27" ht="15.75" customHeight="1">
      <c r="A677" s="48"/>
      <c r="B677" s="56"/>
      <c r="C677" s="56"/>
      <c r="D677" s="57"/>
      <c r="E677" s="20"/>
      <c r="F677" s="58"/>
      <c r="G677" s="20"/>
      <c r="H677" s="60"/>
      <c r="I677" s="60"/>
      <c r="J677" s="61"/>
      <c r="K677" s="61"/>
      <c r="L677" s="59"/>
      <c r="M677" s="59"/>
      <c r="N677" s="59"/>
      <c r="O677" s="59"/>
      <c r="P677" s="20"/>
      <c r="Q677" s="20"/>
      <c r="R677" s="20"/>
      <c r="S677" s="20"/>
      <c r="T677" s="62"/>
      <c r="U677" s="62"/>
      <c r="V677" s="20"/>
      <c r="W677" s="20"/>
      <c r="X677" s="20"/>
      <c r="Y677" s="20"/>
      <c r="Z677" s="20"/>
      <c r="AA677" s="20"/>
    </row>
    <row r="678" spans="1:27" ht="15.75" customHeight="1">
      <c r="A678" s="48"/>
      <c r="B678" s="56"/>
      <c r="C678" s="56"/>
      <c r="D678" s="57"/>
      <c r="E678" s="20"/>
      <c r="F678" s="58"/>
      <c r="G678" s="20"/>
      <c r="H678" s="60"/>
      <c r="I678" s="60"/>
      <c r="J678" s="61"/>
      <c r="K678" s="61"/>
      <c r="L678" s="59"/>
      <c r="M678" s="59"/>
      <c r="N678" s="59"/>
      <c r="O678" s="59"/>
      <c r="P678" s="20"/>
      <c r="Q678" s="20"/>
      <c r="R678" s="20"/>
      <c r="S678" s="20"/>
      <c r="T678" s="62"/>
      <c r="U678" s="62"/>
      <c r="V678" s="20"/>
      <c r="W678" s="20"/>
      <c r="X678" s="20"/>
      <c r="Y678" s="20"/>
      <c r="Z678" s="20"/>
      <c r="AA678" s="20"/>
    </row>
    <row r="679" spans="1:27" ht="15.75" customHeight="1">
      <c r="A679" s="48"/>
      <c r="B679" s="56"/>
      <c r="C679" s="56"/>
      <c r="D679" s="57"/>
      <c r="E679" s="20"/>
      <c r="F679" s="58"/>
      <c r="G679" s="20"/>
      <c r="H679" s="60"/>
      <c r="I679" s="60"/>
      <c r="J679" s="61"/>
      <c r="K679" s="61"/>
      <c r="L679" s="59"/>
      <c r="M679" s="59"/>
      <c r="N679" s="59"/>
      <c r="O679" s="59"/>
      <c r="P679" s="20"/>
      <c r="Q679" s="20"/>
      <c r="R679" s="20"/>
      <c r="S679" s="20"/>
      <c r="T679" s="62"/>
      <c r="U679" s="62"/>
      <c r="V679" s="20"/>
      <c r="W679" s="20"/>
      <c r="X679" s="20"/>
      <c r="Y679" s="20"/>
      <c r="Z679" s="20"/>
      <c r="AA679" s="20"/>
    </row>
    <row r="680" spans="1:27" ht="15.75" customHeight="1">
      <c r="A680" s="48"/>
      <c r="B680" s="56"/>
      <c r="C680" s="56"/>
      <c r="D680" s="57"/>
      <c r="E680" s="20"/>
      <c r="F680" s="58"/>
      <c r="G680" s="20"/>
      <c r="H680" s="60"/>
      <c r="I680" s="60"/>
      <c r="J680" s="61"/>
      <c r="K680" s="61"/>
      <c r="L680" s="59"/>
      <c r="M680" s="59"/>
      <c r="N680" s="59"/>
      <c r="O680" s="59"/>
      <c r="P680" s="20"/>
      <c r="Q680" s="20"/>
      <c r="R680" s="20"/>
      <c r="S680" s="20"/>
      <c r="T680" s="62"/>
      <c r="U680" s="62"/>
      <c r="V680" s="20"/>
      <c r="W680" s="20"/>
      <c r="X680" s="20"/>
      <c r="Y680" s="20"/>
      <c r="Z680" s="20"/>
      <c r="AA680" s="20"/>
    </row>
    <row r="681" spans="1:27" ht="15.75" customHeight="1">
      <c r="A681" s="48"/>
      <c r="B681" s="56"/>
      <c r="C681" s="56"/>
      <c r="D681" s="57"/>
      <c r="E681" s="20"/>
      <c r="F681" s="58"/>
      <c r="G681" s="20"/>
      <c r="H681" s="60"/>
      <c r="I681" s="60"/>
      <c r="J681" s="61"/>
      <c r="K681" s="61"/>
      <c r="L681" s="59"/>
      <c r="M681" s="59"/>
      <c r="N681" s="59"/>
      <c r="O681" s="59"/>
      <c r="P681" s="20"/>
      <c r="Q681" s="20"/>
      <c r="R681" s="20"/>
      <c r="S681" s="20"/>
      <c r="T681" s="62"/>
      <c r="U681" s="62"/>
      <c r="V681" s="20"/>
      <c r="W681" s="20"/>
      <c r="X681" s="20"/>
      <c r="Y681" s="20"/>
      <c r="Z681" s="20"/>
      <c r="AA681" s="20"/>
    </row>
    <row r="682" spans="1:27" ht="15.75" customHeight="1">
      <c r="A682" s="48"/>
      <c r="B682" s="56"/>
      <c r="C682" s="56"/>
      <c r="D682" s="57"/>
      <c r="E682" s="20"/>
      <c r="F682" s="58"/>
      <c r="G682" s="20"/>
      <c r="H682" s="60"/>
      <c r="I682" s="60"/>
      <c r="J682" s="61"/>
      <c r="K682" s="61"/>
      <c r="L682" s="59"/>
      <c r="M682" s="59"/>
      <c r="N682" s="59"/>
      <c r="O682" s="59"/>
      <c r="P682" s="20"/>
      <c r="Q682" s="20"/>
      <c r="R682" s="20"/>
      <c r="S682" s="20"/>
      <c r="T682" s="62"/>
      <c r="U682" s="62"/>
      <c r="V682" s="20"/>
      <c r="W682" s="20"/>
      <c r="X682" s="20"/>
      <c r="Y682" s="20"/>
      <c r="Z682" s="20"/>
      <c r="AA682" s="20"/>
    </row>
    <row r="683" spans="1:27" ht="15.75" customHeight="1">
      <c r="A683" s="48"/>
      <c r="B683" s="56"/>
      <c r="C683" s="56"/>
      <c r="D683" s="57"/>
      <c r="E683" s="20"/>
      <c r="F683" s="58"/>
      <c r="G683" s="20"/>
      <c r="H683" s="60"/>
      <c r="I683" s="60"/>
      <c r="J683" s="61"/>
      <c r="K683" s="61"/>
      <c r="L683" s="59"/>
      <c r="M683" s="59"/>
      <c r="N683" s="59"/>
      <c r="O683" s="59"/>
      <c r="P683" s="20"/>
      <c r="Q683" s="20"/>
      <c r="R683" s="20"/>
      <c r="S683" s="20"/>
      <c r="T683" s="62"/>
      <c r="U683" s="62"/>
      <c r="V683" s="20"/>
      <c r="W683" s="20"/>
      <c r="X683" s="20"/>
      <c r="Y683" s="20"/>
      <c r="Z683" s="20"/>
      <c r="AA683" s="20"/>
    </row>
    <row r="684" spans="1:27" ht="15.75" customHeight="1">
      <c r="A684" s="48"/>
      <c r="B684" s="56"/>
      <c r="C684" s="56"/>
      <c r="D684" s="57"/>
      <c r="E684" s="20"/>
      <c r="F684" s="58"/>
      <c r="G684" s="20"/>
      <c r="H684" s="60"/>
      <c r="I684" s="60"/>
      <c r="J684" s="61"/>
      <c r="K684" s="61"/>
      <c r="L684" s="59"/>
      <c r="M684" s="59"/>
      <c r="N684" s="59"/>
      <c r="O684" s="59"/>
      <c r="P684" s="20"/>
      <c r="Q684" s="20"/>
      <c r="R684" s="20"/>
      <c r="S684" s="20"/>
      <c r="T684" s="62"/>
      <c r="U684" s="62"/>
      <c r="V684" s="20"/>
      <c r="W684" s="20"/>
      <c r="X684" s="20"/>
      <c r="Y684" s="20"/>
      <c r="Z684" s="20"/>
      <c r="AA684" s="20"/>
    </row>
    <row r="685" spans="1:27" ht="15.75" customHeight="1">
      <c r="A685" s="48"/>
      <c r="B685" s="56"/>
      <c r="C685" s="56"/>
      <c r="D685" s="57"/>
      <c r="E685" s="20"/>
      <c r="F685" s="58"/>
      <c r="G685" s="20"/>
      <c r="H685" s="60"/>
      <c r="I685" s="60"/>
      <c r="J685" s="61"/>
      <c r="K685" s="61"/>
      <c r="L685" s="59"/>
      <c r="M685" s="59"/>
      <c r="N685" s="59"/>
      <c r="O685" s="59"/>
      <c r="P685" s="20"/>
      <c r="Q685" s="20"/>
      <c r="R685" s="20"/>
      <c r="S685" s="20"/>
      <c r="T685" s="62"/>
      <c r="U685" s="62"/>
      <c r="V685" s="20"/>
      <c r="W685" s="20"/>
      <c r="X685" s="20"/>
      <c r="Y685" s="20"/>
      <c r="Z685" s="20"/>
      <c r="AA685" s="20"/>
    </row>
    <row r="686" spans="1:27" ht="15.75" customHeight="1">
      <c r="A686" s="48"/>
      <c r="B686" s="56"/>
      <c r="C686" s="56"/>
      <c r="D686" s="57"/>
      <c r="E686" s="20"/>
      <c r="F686" s="58"/>
      <c r="G686" s="20"/>
      <c r="H686" s="60"/>
      <c r="I686" s="60"/>
      <c r="J686" s="61"/>
      <c r="K686" s="61"/>
      <c r="L686" s="59"/>
      <c r="M686" s="59"/>
      <c r="N686" s="59"/>
      <c r="O686" s="59"/>
      <c r="P686" s="20"/>
      <c r="Q686" s="20"/>
      <c r="R686" s="20"/>
      <c r="S686" s="20"/>
      <c r="T686" s="62"/>
      <c r="U686" s="62"/>
      <c r="V686" s="20"/>
      <c r="W686" s="20"/>
      <c r="X686" s="20"/>
      <c r="Y686" s="20"/>
      <c r="Z686" s="20"/>
      <c r="AA686" s="20"/>
    </row>
    <row r="687" spans="1:27" ht="15.75" customHeight="1">
      <c r="A687" s="48"/>
      <c r="B687" s="56"/>
      <c r="C687" s="56"/>
      <c r="D687" s="57"/>
      <c r="E687" s="20"/>
      <c r="F687" s="58"/>
      <c r="G687" s="20"/>
      <c r="H687" s="60"/>
      <c r="I687" s="60"/>
      <c r="J687" s="61"/>
      <c r="K687" s="61"/>
      <c r="L687" s="59"/>
      <c r="M687" s="59"/>
      <c r="N687" s="59"/>
      <c r="O687" s="59"/>
      <c r="P687" s="20"/>
      <c r="Q687" s="20"/>
      <c r="R687" s="20"/>
      <c r="S687" s="20"/>
      <c r="T687" s="62"/>
      <c r="U687" s="62"/>
      <c r="V687" s="20"/>
      <c r="W687" s="20"/>
      <c r="X687" s="20"/>
      <c r="Y687" s="20"/>
      <c r="Z687" s="20"/>
      <c r="AA687" s="20"/>
    </row>
    <row r="688" spans="1:27" ht="15.75" customHeight="1">
      <c r="A688" s="48"/>
      <c r="B688" s="56"/>
      <c r="C688" s="56"/>
      <c r="D688" s="57"/>
      <c r="E688" s="20"/>
      <c r="F688" s="58"/>
      <c r="G688" s="20"/>
      <c r="H688" s="60"/>
      <c r="I688" s="60"/>
      <c r="J688" s="61"/>
      <c r="K688" s="61"/>
      <c r="L688" s="59"/>
      <c r="M688" s="59"/>
      <c r="N688" s="59"/>
      <c r="O688" s="59"/>
      <c r="P688" s="20"/>
      <c r="Q688" s="20"/>
      <c r="R688" s="20"/>
      <c r="S688" s="20"/>
      <c r="T688" s="62"/>
      <c r="U688" s="62"/>
      <c r="V688" s="20"/>
      <c r="W688" s="20"/>
      <c r="X688" s="20"/>
      <c r="Y688" s="20"/>
      <c r="Z688" s="20"/>
      <c r="AA688" s="20"/>
    </row>
    <row r="689" spans="1:27" ht="15.75" customHeight="1">
      <c r="A689" s="48"/>
      <c r="B689" s="56"/>
      <c r="C689" s="56"/>
      <c r="D689" s="57"/>
      <c r="E689" s="20"/>
      <c r="F689" s="58"/>
      <c r="G689" s="20"/>
      <c r="H689" s="60"/>
      <c r="I689" s="60"/>
      <c r="J689" s="61"/>
      <c r="K689" s="61"/>
      <c r="L689" s="59"/>
      <c r="M689" s="59"/>
      <c r="N689" s="59"/>
      <c r="O689" s="59"/>
      <c r="P689" s="20"/>
      <c r="Q689" s="20"/>
      <c r="R689" s="20"/>
      <c r="S689" s="20"/>
      <c r="T689" s="62"/>
      <c r="U689" s="62"/>
      <c r="V689" s="20"/>
      <c r="W689" s="20"/>
      <c r="X689" s="20"/>
      <c r="Y689" s="20"/>
      <c r="Z689" s="20"/>
      <c r="AA689" s="20"/>
    </row>
    <row r="690" spans="1:27" ht="15.75" customHeight="1">
      <c r="A690" s="48"/>
      <c r="B690" s="56"/>
      <c r="C690" s="56"/>
      <c r="D690" s="57"/>
      <c r="E690" s="20"/>
      <c r="F690" s="58"/>
      <c r="G690" s="20"/>
      <c r="H690" s="60"/>
      <c r="I690" s="60"/>
      <c r="J690" s="61"/>
      <c r="K690" s="61"/>
      <c r="L690" s="59"/>
      <c r="M690" s="59"/>
      <c r="N690" s="59"/>
      <c r="O690" s="59"/>
      <c r="P690" s="20"/>
      <c r="Q690" s="20"/>
      <c r="R690" s="20"/>
      <c r="S690" s="20"/>
      <c r="T690" s="62"/>
      <c r="U690" s="62"/>
      <c r="V690" s="20"/>
      <c r="W690" s="20"/>
      <c r="X690" s="20"/>
      <c r="Y690" s="20"/>
      <c r="Z690" s="20"/>
      <c r="AA690" s="20"/>
    </row>
    <row r="691" spans="1:27" ht="15.75" customHeight="1">
      <c r="A691" s="48"/>
      <c r="B691" s="56"/>
      <c r="C691" s="56"/>
      <c r="D691" s="57"/>
      <c r="E691" s="20"/>
      <c r="F691" s="58"/>
      <c r="G691" s="20"/>
      <c r="H691" s="60"/>
      <c r="I691" s="60"/>
      <c r="J691" s="61"/>
      <c r="K691" s="61"/>
      <c r="L691" s="59"/>
      <c r="M691" s="59"/>
      <c r="N691" s="59"/>
      <c r="O691" s="59"/>
      <c r="P691" s="20"/>
      <c r="Q691" s="20"/>
      <c r="R691" s="20"/>
      <c r="S691" s="20"/>
      <c r="T691" s="62"/>
      <c r="U691" s="62"/>
      <c r="V691" s="20"/>
      <c r="W691" s="20"/>
      <c r="X691" s="20"/>
      <c r="Y691" s="20"/>
      <c r="Z691" s="20"/>
      <c r="AA691" s="20"/>
    </row>
    <row r="692" spans="1:27" ht="15.75" customHeight="1">
      <c r="A692" s="48"/>
      <c r="B692" s="56"/>
      <c r="C692" s="56"/>
      <c r="D692" s="57"/>
      <c r="E692" s="20"/>
      <c r="F692" s="58"/>
      <c r="G692" s="20"/>
      <c r="H692" s="60"/>
      <c r="I692" s="60"/>
      <c r="J692" s="61"/>
      <c r="K692" s="61"/>
      <c r="L692" s="59"/>
      <c r="M692" s="59"/>
      <c r="N692" s="59"/>
      <c r="O692" s="59"/>
      <c r="P692" s="20"/>
      <c r="Q692" s="20"/>
      <c r="R692" s="20"/>
      <c r="S692" s="20"/>
      <c r="T692" s="62"/>
      <c r="U692" s="62"/>
      <c r="V692" s="20"/>
      <c r="W692" s="20"/>
      <c r="X692" s="20"/>
      <c r="Y692" s="20"/>
      <c r="Z692" s="20"/>
      <c r="AA692" s="20"/>
    </row>
    <row r="693" spans="1:27" ht="15.75" customHeight="1">
      <c r="A693" s="48"/>
      <c r="B693" s="56"/>
      <c r="C693" s="56"/>
      <c r="D693" s="57"/>
      <c r="E693" s="20"/>
      <c r="F693" s="58"/>
      <c r="G693" s="20"/>
      <c r="H693" s="60"/>
      <c r="I693" s="60"/>
      <c r="J693" s="61"/>
      <c r="K693" s="61"/>
      <c r="L693" s="59"/>
      <c r="M693" s="59"/>
      <c r="N693" s="59"/>
      <c r="O693" s="59"/>
      <c r="P693" s="20"/>
      <c r="Q693" s="20"/>
      <c r="R693" s="20"/>
      <c r="S693" s="20"/>
      <c r="T693" s="62"/>
      <c r="U693" s="62"/>
      <c r="V693" s="20"/>
      <c r="W693" s="20"/>
      <c r="X693" s="20"/>
      <c r="Y693" s="20"/>
      <c r="Z693" s="20"/>
      <c r="AA693" s="20"/>
    </row>
    <row r="694" spans="1:27" ht="15.75" customHeight="1">
      <c r="A694" s="48"/>
      <c r="B694" s="56"/>
      <c r="C694" s="56"/>
      <c r="D694" s="57"/>
      <c r="E694" s="20"/>
      <c r="F694" s="58"/>
      <c r="G694" s="20"/>
      <c r="H694" s="60"/>
      <c r="I694" s="60"/>
      <c r="J694" s="61"/>
      <c r="K694" s="61"/>
      <c r="L694" s="59"/>
      <c r="M694" s="59"/>
      <c r="N694" s="59"/>
      <c r="O694" s="59"/>
      <c r="P694" s="20"/>
      <c r="Q694" s="20"/>
      <c r="R694" s="20"/>
      <c r="S694" s="20"/>
      <c r="T694" s="62"/>
      <c r="U694" s="62"/>
      <c r="V694" s="20"/>
      <c r="W694" s="20"/>
      <c r="X694" s="20"/>
      <c r="Y694" s="20"/>
      <c r="Z694" s="20"/>
      <c r="AA694" s="20"/>
    </row>
    <row r="695" spans="1:27" ht="15.75" customHeight="1">
      <c r="A695" s="48"/>
      <c r="B695" s="56"/>
      <c r="C695" s="56"/>
      <c r="D695" s="57"/>
      <c r="E695" s="20"/>
      <c r="F695" s="58"/>
      <c r="G695" s="20"/>
      <c r="H695" s="60"/>
      <c r="I695" s="60"/>
      <c r="J695" s="61"/>
      <c r="K695" s="61"/>
      <c r="L695" s="59"/>
      <c r="M695" s="59"/>
      <c r="N695" s="59"/>
      <c r="O695" s="59"/>
      <c r="P695" s="20"/>
      <c r="Q695" s="20"/>
      <c r="R695" s="20"/>
      <c r="S695" s="20"/>
      <c r="T695" s="62"/>
      <c r="U695" s="62"/>
      <c r="V695" s="20"/>
      <c r="W695" s="20"/>
      <c r="X695" s="20"/>
      <c r="Y695" s="20"/>
      <c r="Z695" s="20"/>
      <c r="AA695" s="20"/>
    </row>
    <row r="696" spans="1:27" ht="15.75" customHeight="1">
      <c r="A696" s="48"/>
      <c r="B696" s="56"/>
      <c r="C696" s="56"/>
      <c r="D696" s="57"/>
      <c r="E696" s="20"/>
      <c r="F696" s="58"/>
      <c r="G696" s="20"/>
      <c r="H696" s="60"/>
      <c r="I696" s="60"/>
      <c r="J696" s="61"/>
      <c r="K696" s="61"/>
      <c r="L696" s="59"/>
      <c r="M696" s="59"/>
      <c r="N696" s="59"/>
      <c r="O696" s="59"/>
      <c r="P696" s="20"/>
      <c r="Q696" s="20"/>
      <c r="R696" s="20"/>
      <c r="S696" s="20"/>
      <c r="T696" s="62"/>
      <c r="U696" s="62"/>
      <c r="V696" s="20"/>
      <c r="W696" s="20"/>
      <c r="X696" s="20"/>
      <c r="Y696" s="20"/>
      <c r="Z696" s="20"/>
      <c r="AA696" s="20"/>
    </row>
    <row r="697" spans="1:27" ht="15.75" customHeight="1">
      <c r="A697" s="48"/>
      <c r="B697" s="56"/>
      <c r="C697" s="56"/>
      <c r="D697" s="57"/>
      <c r="E697" s="20"/>
      <c r="F697" s="58"/>
      <c r="G697" s="20"/>
      <c r="H697" s="60"/>
      <c r="I697" s="60"/>
      <c r="J697" s="61"/>
      <c r="K697" s="61"/>
      <c r="L697" s="59"/>
      <c r="M697" s="59"/>
      <c r="N697" s="59"/>
      <c r="O697" s="59"/>
      <c r="P697" s="20"/>
      <c r="Q697" s="20"/>
      <c r="R697" s="20"/>
      <c r="S697" s="20"/>
      <c r="T697" s="62"/>
      <c r="U697" s="62"/>
      <c r="V697" s="20"/>
      <c r="W697" s="20"/>
      <c r="X697" s="20"/>
      <c r="Y697" s="20"/>
      <c r="Z697" s="20"/>
      <c r="AA697" s="20"/>
    </row>
    <row r="698" spans="1:27" ht="15.75" customHeight="1">
      <c r="A698" s="48"/>
      <c r="B698" s="56"/>
      <c r="C698" s="56"/>
      <c r="D698" s="57"/>
      <c r="E698" s="20"/>
      <c r="F698" s="58"/>
      <c r="G698" s="20"/>
      <c r="H698" s="60"/>
      <c r="I698" s="60"/>
      <c r="J698" s="61"/>
      <c r="K698" s="61"/>
      <c r="L698" s="59"/>
      <c r="M698" s="59"/>
      <c r="N698" s="59"/>
      <c r="O698" s="59"/>
      <c r="P698" s="20"/>
      <c r="Q698" s="20"/>
      <c r="R698" s="20"/>
      <c r="S698" s="20"/>
      <c r="T698" s="62"/>
      <c r="U698" s="62"/>
      <c r="V698" s="20"/>
      <c r="W698" s="20"/>
      <c r="X698" s="20"/>
      <c r="Y698" s="20"/>
      <c r="Z698" s="20"/>
      <c r="AA698" s="20"/>
    </row>
    <row r="699" spans="1:27" ht="15.75" customHeight="1">
      <c r="A699" s="48"/>
      <c r="B699" s="56"/>
      <c r="C699" s="56"/>
      <c r="D699" s="57"/>
      <c r="E699" s="20"/>
      <c r="F699" s="58"/>
      <c r="G699" s="20"/>
      <c r="H699" s="60"/>
      <c r="I699" s="60"/>
      <c r="J699" s="61"/>
      <c r="K699" s="61"/>
      <c r="L699" s="59"/>
      <c r="M699" s="59"/>
      <c r="N699" s="59"/>
      <c r="O699" s="59"/>
      <c r="P699" s="20"/>
      <c r="Q699" s="20"/>
      <c r="R699" s="20"/>
      <c r="S699" s="20"/>
      <c r="T699" s="62"/>
      <c r="U699" s="62"/>
      <c r="V699" s="20"/>
      <c r="W699" s="20"/>
      <c r="X699" s="20"/>
      <c r="Y699" s="20"/>
      <c r="Z699" s="20"/>
      <c r="AA699" s="20"/>
    </row>
    <row r="700" spans="1:27" ht="15.75" customHeight="1">
      <c r="A700" s="48"/>
      <c r="B700" s="56"/>
      <c r="C700" s="56"/>
      <c r="D700" s="57"/>
      <c r="E700" s="20"/>
      <c r="F700" s="58"/>
      <c r="G700" s="20"/>
      <c r="H700" s="60"/>
      <c r="I700" s="60"/>
      <c r="J700" s="61"/>
      <c r="K700" s="61"/>
      <c r="L700" s="59"/>
      <c r="M700" s="59"/>
      <c r="N700" s="59"/>
      <c r="O700" s="59"/>
      <c r="P700" s="20"/>
      <c r="Q700" s="20"/>
      <c r="R700" s="20"/>
      <c r="S700" s="20"/>
      <c r="T700" s="62"/>
      <c r="U700" s="62"/>
      <c r="V700" s="20"/>
      <c r="W700" s="20"/>
      <c r="X700" s="20"/>
      <c r="Y700" s="20"/>
      <c r="Z700" s="20"/>
      <c r="AA700" s="20"/>
    </row>
    <row r="701" spans="1:27" ht="15.75" customHeight="1">
      <c r="A701" s="48"/>
      <c r="B701" s="56"/>
      <c r="C701" s="56"/>
      <c r="D701" s="57"/>
      <c r="E701" s="20"/>
      <c r="F701" s="58"/>
      <c r="G701" s="20"/>
      <c r="H701" s="60"/>
      <c r="I701" s="60"/>
      <c r="J701" s="61"/>
      <c r="K701" s="61"/>
      <c r="L701" s="59"/>
      <c r="M701" s="59"/>
      <c r="N701" s="59"/>
      <c r="O701" s="59"/>
      <c r="P701" s="20"/>
      <c r="Q701" s="20"/>
      <c r="R701" s="20"/>
      <c r="S701" s="20"/>
      <c r="T701" s="62"/>
      <c r="U701" s="62"/>
      <c r="V701" s="20"/>
      <c r="W701" s="20"/>
      <c r="X701" s="20"/>
      <c r="Y701" s="20"/>
      <c r="Z701" s="20"/>
      <c r="AA701" s="20"/>
    </row>
    <row r="702" spans="1:27" ht="15.75" customHeight="1">
      <c r="A702" s="48"/>
      <c r="B702" s="56"/>
      <c r="C702" s="56"/>
      <c r="D702" s="57"/>
      <c r="E702" s="20"/>
      <c r="F702" s="58"/>
      <c r="G702" s="20"/>
      <c r="H702" s="60"/>
      <c r="I702" s="60"/>
      <c r="J702" s="61"/>
      <c r="K702" s="61"/>
      <c r="L702" s="59"/>
      <c r="M702" s="59"/>
      <c r="N702" s="59"/>
      <c r="O702" s="59"/>
      <c r="P702" s="20"/>
      <c r="Q702" s="20"/>
      <c r="R702" s="20"/>
      <c r="S702" s="20"/>
      <c r="T702" s="62"/>
      <c r="U702" s="62"/>
      <c r="V702" s="20"/>
      <c r="W702" s="20"/>
      <c r="X702" s="20"/>
      <c r="Y702" s="20"/>
      <c r="Z702" s="20"/>
      <c r="AA702" s="20"/>
    </row>
    <row r="703" spans="1:27" ht="15.75" customHeight="1">
      <c r="A703" s="48"/>
      <c r="B703" s="56"/>
      <c r="C703" s="56"/>
      <c r="D703" s="57"/>
      <c r="E703" s="20"/>
      <c r="F703" s="58"/>
      <c r="G703" s="20"/>
      <c r="H703" s="60"/>
      <c r="I703" s="60"/>
      <c r="J703" s="61"/>
      <c r="K703" s="61"/>
      <c r="L703" s="59"/>
      <c r="M703" s="59"/>
      <c r="N703" s="59"/>
      <c r="O703" s="59"/>
      <c r="P703" s="20"/>
      <c r="Q703" s="20"/>
      <c r="R703" s="20"/>
      <c r="S703" s="20"/>
      <c r="T703" s="62"/>
      <c r="U703" s="62"/>
      <c r="V703" s="20"/>
      <c r="W703" s="20"/>
      <c r="X703" s="20"/>
      <c r="Y703" s="20"/>
      <c r="Z703" s="20"/>
      <c r="AA703" s="20"/>
    </row>
    <row r="704" spans="1:27" ht="15.75" customHeight="1">
      <c r="A704" s="48"/>
      <c r="B704" s="56"/>
      <c r="C704" s="56"/>
      <c r="D704" s="57"/>
      <c r="E704" s="20"/>
      <c r="F704" s="58"/>
      <c r="G704" s="20"/>
      <c r="H704" s="60"/>
      <c r="I704" s="60"/>
      <c r="J704" s="61"/>
      <c r="K704" s="61"/>
      <c r="L704" s="59"/>
      <c r="M704" s="59"/>
      <c r="N704" s="59"/>
      <c r="O704" s="59"/>
      <c r="P704" s="20"/>
      <c r="Q704" s="20"/>
      <c r="R704" s="20"/>
      <c r="S704" s="20"/>
      <c r="T704" s="62"/>
      <c r="U704" s="62"/>
      <c r="V704" s="20"/>
      <c r="W704" s="20"/>
      <c r="X704" s="20"/>
      <c r="Y704" s="20"/>
      <c r="Z704" s="20"/>
      <c r="AA704" s="20"/>
    </row>
    <row r="705" spans="1:27" ht="15.75" customHeight="1">
      <c r="A705" s="48"/>
      <c r="B705" s="56"/>
      <c r="C705" s="56"/>
      <c r="D705" s="57"/>
      <c r="E705" s="20"/>
      <c r="F705" s="58"/>
      <c r="G705" s="20"/>
      <c r="H705" s="60"/>
      <c r="I705" s="60"/>
      <c r="J705" s="61"/>
      <c r="K705" s="61"/>
      <c r="L705" s="59"/>
      <c r="M705" s="59"/>
      <c r="N705" s="59"/>
      <c r="O705" s="59"/>
      <c r="P705" s="20"/>
      <c r="Q705" s="20"/>
      <c r="R705" s="20"/>
      <c r="S705" s="20"/>
      <c r="T705" s="62"/>
      <c r="U705" s="62"/>
      <c r="V705" s="20"/>
      <c r="W705" s="20"/>
      <c r="X705" s="20"/>
      <c r="Y705" s="20"/>
      <c r="Z705" s="20"/>
      <c r="AA705" s="20"/>
    </row>
    <row r="706" spans="1:27" ht="15.75" customHeight="1">
      <c r="A706" s="48"/>
      <c r="B706" s="56"/>
      <c r="C706" s="56"/>
      <c r="D706" s="57"/>
      <c r="E706" s="20"/>
      <c r="F706" s="58"/>
      <c r="G706" s="20"/>
      <c r="H706" s="60"/>
      <c r="I706" s="60"/>
      <c r="J706" s="61"/>
      <c r="K706" s="61"/>
      <c r="L706" s="59"/>
      <c r="M706" s="59"/>
      <c r="N706" s="59"/>
      <c r="O706" s="59"/>
      <c r="P706" s="20"/>
      <c r="Q706" s="20"/>
      <c r="R706" s="20"/>
      <c r="S706" s="20"/>
      <c r="T706" s="62"/>
      <c r="U706" s="62"/>
      <c r="V706" s="20"/>
      <c r="W706" s="20"/>
      <c r="X706" s="20"/>
      <c r="Y706" s="20"/>
      <c r="Z706" s="20"/>
      <c r="AA706" s="20"/>
    </row>
    <row r="707" spans="1:27" ht="15.75" customHeight="1">
      <c r="A707" s="48"/>
      <c r="B707" s="56"/>
      <c r="C707" s="56"/>
      <c r="D707" s="57"/>
      <c r="E707" s="20"/>
      <c r="F707" s="58"/>
      <c r="G707" s="20"/>
      <c r="H707" s="60"/>
      <c r="I707" s="60"/>
      <c r="J707" s="61"/>
      <c r="K707" s="61"/>
      <c r="L707" s="59"/>
      <c r="M707" s="59"/>
      <c r="N707" s="59"/>
      <c r="O707" s="59"/>
      <c r="P707" s="20"/>
      <c r="Q707" s="20"/>
      <c r="R707" s="20"/>
      <c r="S707" s="20"/>
      <c r="T707" s="62"/>
      <c r="U707" s="62"/>
      <c r="V707" s="20"/>
      <c r="W707" s="20"/>
      <c r="X707" s="20"/>
      <c r="Y707" s="20"/>
      <c r="Z707" s="20"/>
      <c r="AA707" s="20"/>
    </row>
    <row r="708" spans="1:27" ht="15.75" customHeight="1">
      <c r="A708" s="48"/>
      <c r="B708" s="56"/>
      <c r="C708" s="56"/>
      <c r="D708" s="57"/>
      <c r="E708" s="20"/>
      <c r="F708" s="58"/>
      <c r="G708" s="20"/>
      <c r="H708" s="60"/>
      <c r="I708" s="60"/>
      <c r="J708" s="61"/>
      <c r="K708" s="61"/>
      <c r="L708" s="59"/>
      <c r="M708" s="59"/>
      <c r="N708" s="59"/>
      <c r="O708" s="59"/>
      <c r="P708" s="20"/>
      <c r="Q708" s="20"/>
      <c r="R708" s="20"/>
      <c r="S708" s="20"/>
      <c r="T708" s="62"/>
      <c r="U708" s="62"/>
      <c r="V708" s="20"/>
      <c r="W708" s="20"/>
      <c r="X708" s="20"/>
      <c r="Y708" s="20"/>
      <c r="Z708" s="20"/>
      <c r="AA708" s="20"/>
    </row>
    <row r="709" spans="1:27" ht="15.75" customHeight="1">
      <c r="A709" s="48"/>
      <c r="B709" s="56"/>
      <c r="C709" s="56"/>
      <c r="D709" s="57"/>
      <c r="E709" s="20"/>
      <c r="F709" s="58"/>
      <c r="G709" s="20"/>
      <c r="H709" s="60"/>
      <c r="I709" s="60"/>
      <c r="J709" s="61"/>
      <c r="K709" s="61"/>
      <c r="L709" s="59"/>
      <c r="M709" s="59"/>
      <c r="N709" s="59"/>
      <c r="O709" s="59"/>
      <c r="P709" s="20"/>
      <c r="Q709" s="20"/>
      <c r="R709" s="20"/>
      <c r="S709" s="20"/>
      <c r="T709" s="62"/>
      <c r="U709" s="62"/>
      <c r="V709" s="20"/>
      <c r="W709" s="20"/>
      <c r="X709" s="20"/>
      <c r="Y709" s="20"/>
      <c r="Z709" s="20"/>
      <c r="AA709" s="20"/>
    </row>
    <row r="710" spans="1:27" ht="15.75" customHeight="1">
      <c r="A710" s="48"/>
      <c r="B710" s="56"/>
      <c r="C710" s="56"/>
      <c r="D710" s="57"/>
      <c r="E710" s="20"/>
      <c r="F710" s="58"/>
      <c r="G710" s="20"/>
      <c r="H710" s="60"/>
      <c r="I710" s="60"/>
      <c r="J710" s="61"/>
      <c r="K710" s="61"/>
      <c r="L710" s="59"/>
      <c r="M710" s="59"/>
      <c r="N710" s="59"/>
      <c r="O710" s="59"/>
      <c r="P710" s="20"/>
      <c r="Q710" s="20"/>
      <c r="R710" s="20"/>
      <c r="S710" s="20"/>
      <c r="T710" s="62"/>
      <c r="U710" s="62"/>
      <c r="V710" s="20"/>
      <c r="W710" s="20"/>
      <c r="X710" s="20"/>
      <c r="Y710" s="20"/>
      <c r="Z710" s="20"/>
      <c r="AA710" s="20"/>
    </row>
    <row r="711" spans="1:27" ht="15.75" customHeight="1">
      <c r="A711" s="48"/>
      <c r="B711" s="56"/>
      <c r="C711" s="56"/>
      <c r="D711" s="57"/>
      <c r="E711" s="20"/>
      <c r="F711" s="58"/>
      <c r="G711" s="20"/>
      <c r="H711" s="60"/>
      <c r="I711" s="60"/>
      <c r="J711" s="61"/>
      <c r="K711" s="61"/>
      <c r="L711" s="59"/>
      <c r="M711" s="59"/>
      <c r="N711" s="59"/>
      <c r="O711" s="59"/>
      <c r="P711" s="20"/>
      <c r="Q711" s="20"/>
      <c r="R711" s="20"/>
      <c r="S711" s="20"/>
      <c r="T711" s="62"/>
      <c r="U711" s="62"/>
      <c r="V711" s="20"/>
      <c r="W711" s="20"/>
      <c r="X711" s="20"/>
      <c r="Y711" s="20"/>
      <c r="Z711" s="20"/>
      <c r="AA711" s="20"/>
    </row>
    <row r="712" spans="1:27" ht="15.75" customHeight="1">
      <c r="A712" s="48"/>
      <c r="B712" s="56"/>
      <c r="C712" s="56"/>
      <c r="D712" s="57"/>
      <c r="E712" s="20"/>
      <c r="F712" s="58"/>
      <c r="G712" s="20"/>
      <c r="H712" s="60"/>
      <c r="I712" s="60"/>
      <c r="J712" s="61"/>
      <c r="K712" s="61"/>
      <c r="L712" s="59"/>
      <c r="M712" s="59"/>
      <c r="N712" s="59"/>
      <c r="O712" s="59"/>
      <c r="P712" s="20"/>
      <c r="Q712" s="20"/>
      <c r="R712" s="20"/>
      <c r="S712" s="20"/>
      <c r="T712" s="62"/>
      <c r="U712" s="62"/>
      <c r="V712" s="20"/>
      <c r="W712" s="20"/>
      <c r="X712" s="20"/>
      <c r="Y712" s="20"/>
      <c r="Z712" s="20"/>
      <c r="AA712" s="20"/>
    </row>
    <row r="713" spans="1:27" ht="15.75" customHeight="1">
      <c r="A713" s="48"/>
      <c r="B713" s="56"/>
      <c r="C713" s="56"/>
      <c r="D713" s="57"/>
      <c r="E713" s="20"/>
      <c r="F713" s="58"/>
      <c r="G713" s="20"/>
      <c r="H713" s="60"/>
      <c r="I713" s="60"/>
      <c r="J713" s="61"/>
      <c r="K713" s="61"/>
      <c r="L713" s="59"/>
      <c r="M713" s="59"/>
      <c r="N713" s="59"/>
      <c r="O713" s="59"/>
      <c r="P713" s="20"/>
      <c r="Q713" s="20"/>
      <c r="R713" s="20"/>
      <c r="S713" s="20"/>
      <c r="T713" s="62"/>
      <c r="U713" s="62"/>
      <c r="V713" s="20"/>
      <c r="W713" s="20"/>
      <c r="X713" s="20"/>
      <c r="Y713" s="20"/>
      <c r="Z713" s="20"/>
      <c r="AA713" s="20"/>
    </row>
    <row r="714" spans="1:27" ht="15.75" customHeight="1">
      <c r="A714" s="48"/>
      <c r="B714" s="56"/>
      <c r="C714" s="56"/>
      <c r="D714" s="57"/>
      <c r="E714" s="20"/>
      <c r="F714" s="58"/>
      <c r="G714" s="20"/>
      <c r="H714" s="60"/>
      <c r="I714" s="60"/>
      <c r="J714" s="61"/>
      <c r="K714" s="61"/>
      <c r="L714" s="59"/>
      <c r="M714" s="59"/>
      <c r="N714" s="59"/>
      <c r="O714" s="59"/>
      <c r="P714" s="20"/>
      <c r="Q714" s="20"/>
      <c r="R714" s="20"/>
      <c r="S714" s="20"/>
      <c r="T714" s="62"/>
      <c r="U714" s="62"/>
      <c r="V714" s="20"/>
      <c r="W714" s="20"/>
      <c r="X714" s="20"/>
      <c r="Y714" s="20"/>
      <c r="Z714" s="20"/>
      <c r="AA714" s="20"/>
    </row>
    <row r="715" spans="1:27" ht="15.75" customHeight="1">
      <c r="A715" s="48"/>
      <c r="B715" s="56"/>
      <c r="C715" s="56"/>
      <c r="D715" s="57"/>
      <c r="E715" s="20"/>
      <c r="F715" s="58"/>
      <c r="G715" s="20"/>
      <c r="H715" s="60"/>
      <c r="I715" s="60"/>
      <c r="J715" s="61"/>
      <c r="K715" s="61"/>
      <c r="L715" s="59"/>
      <c r="M715" s="59"/>
      <c r="N715" s="59"/>
      <c r="O715" s="59"/>
      <c r="P715" s="20"/>
      <c r="Q715" s="20"/>
      <c r="R715" s="20"/>
      <c r="S715" s="20"/>
      <c r="T715" s="62"/>
      <c r="U715" s="62"/>
      <c r="V715" s="20"/>
      <c r="W715" s="20"/>
      <c r="X715" s="20"/>
      <c r="Y715" s="20"/>
      <c r="Z715" s="20"/>
      <c r="AA715" s="20"/>
    </row>
    <row r="716" spans="1:27" ht="15.75" customHeight="1">
      <c r="A716" s="48"/>
      <c r="B716" s="56"/>
      <c r="C716" s="56"/>
      <c r="D716" s="57"/>
      <c r="E716" s="20"/>
      <c r="F716" s="58"/>
      <c r="G716" s="20"/>
      <c r="H716" s="60"/>
      <c r="I716" s="60"/>
      <c r="J716" s="61"/>
      <c r="K716" s="61"/>
      <c r="L716" s="59"/>
      <c r="M716" s="59"/>
      <c r="N716" s="59"/>
      <c r="O716" s="59"/>
      <c r="P716" s="20"/>
      <c r="Q716" s="20"/>
      <c r="R716" s="20"/>
      <c r="S716" s="20"/>
      <c r="T716" s="62"/>
      <c r="U716" s="62"/>
      <c r="V716" s="20"/>
      <c r="W716" s="20"/>
      <c r="X716" s="20"/>
      <c r="Y716" s="20"/>
      <c r="Z716" s="20"/>
      <c r="AA716" s="20"/>
    </row>
    <row r="717" spans="1:27" ht="15.75" customHeight="1">
      <c r="A717" s="48"/>
      <c r="B717" s="56"/>
      <c r="C717" s="56"/>
      <c r="D717" s="57"/>
      <c r="E717" s="20"/>
      <c r="F717" s="58"/>
      <c r="G717" s="20"/>
      <c r="H717" s="60"/>
      <c r="I717" s="60"/>
      <c r="J717" s="61"/>
      <c r="K717" s="61"/>
      <c r="L717" s="59"/>
      <c r="M717" s="59"/>
      <c r="N717" s="59"/>
      <c r="O717" s="59"/>
      <c r="P717" s="20"/>
      <c r="Q717" s="20"/>
      <c r="R717" s="20"/>
      <c r="S717" s="20"/>
      <c r="T717" s="62"/>
      <c r="U717" s="62"/>
      <c r="V717" s="20"/>
      <c r="W717" s="20"/>
      <c r="X717" s="20"/>
      <c r="Y717" s="20"/>
      <c r="Z717" s="20"/>
      <c r="AA717" s="20"/>
    </row>
    <row r="718" spans="1:27" ht="15.75" customHeight="1">
      <c r="A718" s="48"/>
      <c r="B718" s="56"/>
      <c r="C718" s="56"/>
      <c r="D718" s="57"/>
      <c r="E718" s="20"/>
      <c r="F718" s="58"/>
      <c r="G718" s="20"/>
      <c r="H718" s="60"/>
      <c r="I718" s="60"/>
      <c r="J718" s="61"/>
      <c r="K718" s="61"/>
      <c r="L718" s="59"/>
      <c r="M718" s="59"/>
      <c r="N718" s="59"/>
      <c r="O718" s="59"/>
      <c r="P718" s="20"/>
      <c r="Q718" s="20"/>
      <c r="R718" s="20"/>
      <c r="S718" s="20"/>
      <c r="T718" s="62"/>
      <c r="U718" s="62"/>
      <c r="V718" s="20"/>
      <c r="W718" s="20"/>
      <c r="X718" s="20"/>
      <c r="Y718" s="20"/>
      <c r="Z718" s="20"/>
      <c r="AA718" s="20"/>
    </row>
    <row r="719" spans="1:27" ht="15.75" customHeight="1">
      <c r="A719" s="48"/>
      <c r="B719" s="56"/>
      <c r="C719" s="56"/>
      <c r="D719" s="57"/>
      <c r="E719" s="20"/>
      <c r="F719" s="58"/>
      <c r="G719" s="20"/>
      <c r="H719" s="60"/>
      <c r="I719" s="60"/>
      <c r="J719" s="61"/>
      <c r="K719" s="61"/>
      <c r="L719" s="59"/>
      <c r="M719" s="59"/>
      <c r="N719" s="59"/>
      <c r="O719" s="59"/>
      <c r="P719" s="20"/>
      <c r="Q719" s="20"/>
      <c r="R719" s="20"/>
      <c r="S719" s="20"/>
      <c r="T719" s="62"/>
      <c r="U719" s="62"/>
      <c r="V719" s="20"/>
      <c r="W719" s="20"/>
      <c r="X719" s="20"/>
      <c r="Y719" s="20"/>
      <c r="Z719" s="20"/>
      <c r="AA719" s="20"/>
    </row>
    <row r="720" spans="1:27" ht="15.75" customHeight="1">
      <c r="A720" s="48"/>
      <c r="B720" s="56"/>
      <c r="C720" s="56"/>
      <c r="D720" s="57"/>
      <c r="E720" s="20"/>
      <c r="F720" s="58"/>
      <c r="G720" s="20"/>
      <c r="H720" s="60"/>
      <c r="I720" s="60"/>
      <c r="J720" s="61"/>
      <c r="K720" s="61"/>
      <c r="L720" s="59"/>
      <c r="M720" s="59"/>
      <c r="N720" s="59"/>
      <c r="O720" s="59"/>
      <c r="P720" s="20"/>
      <c r="Q720" s="20"/>
      <c r="R720" s="20"/>
      <c r="S720" s="20"/>
      <c r="T720" s="62"/>
      <c r="U720" s="62"/>
      <c r="V720" s="20"/>
      <c r="W720" s="20"/>
      <c r="X720" s="20"/>
      <c r="Y720" s="20"/>
      <c r="Z720" s="20"/>
      <c r="AA720" s="20"/>
    </row>
    <row r="721" spans="1:27" ht="15.75" customHeight="1">
      <c r="A721" s="48"/>
      <c r="B721" s="56"/>
      <c r="C721" s="56"/>
      <c r="D721" s="57"/>
      <c r="E721" s="20"/>
      <c r="F721" s="58"/>
      <c r="G721" s="20"/>
      <c r="H721" s="60"/>
      <c r="I721" s="60"/>
      <c r="J721" s="61"/>
      <c r="K721" s="61"/>
      <c r="L721" s="59"/>
      <c r="M721" s="59"/>
      <c r="N721" s="59"/>
      <c r="O721" s="59"/>
      <c r="P721" s="20"/>
      <c r="Q721" s="20"/>
      <c r="R721" s="20"/>
      <c r="S721" s="20"/>
      <c r="T721" s="62"/>
      <c r="U721" s="62"/>
      <c r="V721" s="20"/>
      <c r="W721" s="20"/>
      <c r="X721" s="20"/>
      <c r="Y721" s="20"/>
      <c r="Z721" s="20"/>
      <c r="AA721" s="20"/>
    </row>
    <row r="722" spans="1:27" ht="15.75" customHeight="1">
      <c r="A722" s="48"/>
      <c r="B722" s="56"/>
      <c r="C722" s="56"/>
      <c r="D722" s="57"/>
      <c r="E722" s="20"/>
      <c r="F722" s="58"/>
      <c r="G722" s="20"/>
      <c r="H722" s="60"/>
      <c r="I722" s="60"/>
      <c r="J722" s="61"/>
      <c r="K722" s="61"/>
      <c r="L722" s="59"/>
      <c r="M722" s="59"/>
      <c r="N722" s="59"/>
      <c r="O722" s="59"/>
      <c r="P722" s="20"/>
      <c r="Q722" s="20"/>
      <c r="R722" s="20"/>
      <c r="S722" s="20"/>
      <c r="T722" s="62"/>
      <c r="U722" s="62"/>
      <c r="V722" s="20"/>
      <c r="W722" s="20"/>
      <c r="X722" s="20"/>
      <c r="Y722" s="20"/>
      <c r="Z722" s="20"/>
      <c r="AA722" s="20"/>
    </row>
    <row r="723" spans="1:27" ht="15.75" customHeight="1">
      <c r="A723" s="48"/>
      <c r="B723" s="56"/>
      <c r="C723" s="56"/>
      <c r="D723" s="57"/>
      <c r="E723" s="20"/>
      <c r="F723" s="58"/>
      <c r="G723" s="20"/>
      <c r="H723" s="60"/>
      <c r="I723" s="60"/>
      <c r="J723" s="61"/>
      <c r="K723" s="61"/>
      <c r="L723" s="59"/>
      <c r="M723" s="59"/>
      <c r="N723" s="59"/>
      <c r="O723" s="59"/>
      <c r="P723" s="20"/>
      <c r="Q723" s="20"/>
      <c r="R723" s="20"/>
      <c r="S723" s="20"/>
      <c r="T723" s="62"/>
      <c r="U723" s="62"/>
      <c r="V723" s="20"/>
      <c r="W723" s="20"/>
      <c r="X723" s="20"/>
      <c r="Y723" s="20"/>
      <c r="Z723" s="20"/>
      <c r="AA723" s="20"/>
    </row>
    <row r="724" spans="1:27" ht="15.75" customHeight="1">
      <c r="A724" s="48"/>
      <c r="B724" s="56"/>
      <c r="C724" s="56"/>
      <c r="D724" s="57"/>
      <c r="E724" s="20"/>
      <c r="F724" s="58"/>
      <c r="G724" s="20"/>
      <c r="H724" s="60"/>
      <c r="I724" s="60"/>
      <c r="J724" s="61"/>
      <c r="K724" s="61"/>
      <c r="L724" s="59"/>
      <c r="M724" s="59"/>
      <c r="N724" s="59"/>
      <c r="O724" s="59"/>
      <c r="P724" s="20"/>
      <c r="Q724" s="20"/>
      <c r="R724" s="20"/>
      <c r="S724" s="20"/>
      <c r="T724" s="62"/>
      <c r="U724" s="62"/>
      <c r="V724" s="20"/>
      <c r="W724" s="20"/>
      <c r="X724" s="20"/>
      <c r="Y724" s="20"/>
      <c r="Z724" s="20"/>
      <c r="AA724" s="20"/>
    </row>
    <row r="725" spans="1:27" ht="15.75" customHeight="1">
      <c r="A725" s="48"/>
      <c r="B725" s="56"/>
      <c r="C725" s="56"/>
      <c r="D725" s="57"/>
      <c r="E725" s="20"/>
      <c r="F725" s="58"/>
      <c r="G725" s="20"/>
      <c r="H725" s="60"/>
      <c r="I725" s="60"/>
      <c r="J725" s="61"/>
      <c r="K725" s="61"/>
      <c r="L725" s="59"/>
      <c r="M725" s="59"/>
      <c r="N725" s="59"/>
      <c r="O725" s="59"/>
      <c r="P725" s="20"/>
      <c r="Q725" s="20"/>
      <c r="R725" s="20"/>
      <c r="S725" s="20"/>
      <c r="T725" s="62"/>
      <c r="U725" s="62"/>
      <c r="V725" s="20"/>
      <c r="W725" s="20"/>
      <c r="X725" s="20"/>
      <c r="Y725" s="20"/>
      <c r="Z725" s="20"/>
      <c r="AA725" s="20"/>
    </row>
    <row r="726" spans="1:27" ht="15.75" customHeight="1">
      <c r="A726" s="48"/>
      <c r="B726" s="56"/>
      <c r="C726" s="56"/>
      <c r="D726" s="57"/>
      <c r="E726" s="20"/>
      <c r="F726" s="58"/>
      <c r="G726" s="20"/>
      <c r="H726" s="60"/>
      <c r="I726" s="60"/>
      <c r="J726" s="61"/>
      <c r="K726" s="61"/>
      <c r="L726" s="59"/>
      <c r="M726" s="59"/>
      <c r="N726" s="59"/>
      <c r="O726" s="59"/>
      <c r="P726" s="20"/>
      <c r="Q726" s="20"/>
      <c r="R726" s="20"/>
      <c r="S726" s="20"/>
      <c r="T726" s="62"/>
      <c r="U726" s="62"/>
      <c r="V726" s="20"/>
      <c r="W726" s="20"/>
      <c r="X726" s="20"/>
      <c r="Y726" s="20"/>
      <c r="Z726" s="20"/>
      <c r="AA726" s="20"/>
    </row>
    <row r="727" spans="1:27" ht="15.75" customHeight="1">
      <c r="A727" s="48"/>
      <c r="B727" s="56"/>
      <c r="C727" s="56"/>
      <c r="D727" s="57"/>
      <c r="E727" s="20"/>
      <c r="F727" s="58"/>
      <c r="G727" s="20"/>
      <c r="H727" s="60"/>
      <c r="I727" s="60"/>
      <c r="J727" s="61"/>
      <c r="K727" s="61"/>
      <c r="L727" s="59"/>
      <c r="M727" s="59"/>
      <c r="N727" s="59"/>
      <c r="O727" s="59"/>
      <c r="P727" s="20"/>
      <c r="Q727" s="20"/>
      <c r="R727" s="20"/>
      <c r="S727" s="20"/>
      <c r="T727" s="62"/>
      <c r="U727" s="62"/>
      <c r="V727" s="20"/>
      <c r="W727" s="20"/>
      <c r="X727" s="20"/>
      <c r="Y727" s="20"/>
      <c r="Z727" s="20"/>
      <c r="AA727" s="20"/>
    </row>
    <row r="728" spans="1:27" ht="15.75" customHeight="1">
      <c r="A728" s="48"/>
      <c r="B728" s="56"/>
      <c r="C728" s="56"/>
      <c r="D728" s="57"/>
      <c r="E728" s="20"/>
      <c r="F728" s="58"/>
      <c r="G728" s="20"/>
      <c r="H728" s="60"/>
      <c r="I728" s="60"/>
      <c r="J728" s="61"/>
      <c r="K728" s="61"/>
      <c r="L728" s="59"/>
      <c r="M728" s="59"/>
      <c r="N728" s="59"/>
      <c r="O728" s="59"/>
      <c r="P728" s="20"/>
      <c r="Q728" s="20"/>
      <c r="R728" s="20"/>
      <c r="S728" s="20"/>
      <c r="T728" s="62"/>
      <c r="U728" s="62"/>
      <c r="V728" s="20"/>
      <c r="W728" s="20"/>
      <c r="X728" s="20"/>
      <c r="Y728" s="20"/>
      <c r="Z728" s="20"/>
      <c r="AA728" s="20"/>
    </row>
    <row r="729" spans="1:27" ht="15.75" customHeight="1">
      <c r="A729" s="48"/>
      <c r="B729" s="56"/>
      <c r="C729" s="56"/>
      <c r="D729" s="57"/>
      <c r="E729" s="20"/>
      <c r="F729" s="58"/>
      <c r="G729" s="20"/>
      <c r="H729" s="60"/>
      <c r="I729" s="60"/>
      <c r="J729" s="61"/>
      <c r="K729" s="61"/>
      <c r="L729" s="59"/>
      <c r="M729" s="59"/>
      <c r="N729" s="59"/>
      <c r="O729" s="59"/>
      <c r="P729" s="20"/>
      <c r="Q729" s="20"/>
      <c r="R729" s="20"/>
      <c r="S729" s="20"/>
      <c r="T729" s="62"/>
      <c r="U729" s="62"/>
      <c r="V729" s="20"/>
      <c r="W729" s="20"/>
      <c r="X729" s="20"/>
      <c r="Y729" s="20"/>
      <c r="Z729" s="20"/>
      <c r="AA729" s="20"/>
    </row>
    <row r="730" spans="1:27" ht="15.75" customHeight="1">
      <c r="A730" s="48"/>
      <c r="B730" s="56"/>
      <c r="C730" s="56"/>
      <c r="D730" s="57"/>
      <c r="E730" s="20"/>
      <c r="F730" s="58"/>
      <c r="G730" s="20"/>
      <c r="H730" s="60"/>
      <c r="I730" s="60"/>
      <c r="J730" s="61"/>
      <c r="K730" s="61"/>
      <c r="L730" s="59"/>
      <c r="M730" s="59"/>
      <c r="N730" s="59"/>
      <c r="O730" s="59"/>
      <c r="P730" s="20"/>
      <c r="Q730" s="20"/>
      <c r="R730" s="20"/>
      <c r="S730" s="20"/>
      <c r="T730" s="62"/>
      <c r="U730" s="62"/>
      <c r="V730" s="20"/>
      <c r="W730" s="20"/>
      <c r="X730" s="20"/>
      <c r="Y730" s="20"/>
      <c r="Z730" s="20"/>
      <c r="AA730" s="20"/>
    </row>
    <row r="731" spans="1:27" ht="15.75" customHeight="1">
      <c r="A731" s="48"/>
      <c r="B731" s="56"/>
      <c r="C731" s="56"/>
      <c r="D731" s="57"/>
      <c r="E731" s="20"/>
      <c r="F731" s="58"/>
      <c r="G731" s="20"/>
      <c r="H731" s="60"/>
      <c r="I731" s="60"/>
      <c r="J731" s="61"/>
      <c r="K731" s="61"/>
      <c r="L731" s="59"/>
      <c r="M731" s="59"/>
      <c r="N731" s="59"/>
      <c r="O731" s="59"/>
      <c r="P731" s="20"/>
      <c r="Q731" s="20"/>
      <c r="R731" s="20"/>
      <c r="S731" s="20"/>
      <c r="T731" s="62"/>
      <c r="U731" s="62"/>
      <c r="V731" s="20"/>
      <c r="W731" s="20"/>
      <c r="X731" s="20"/>
      <c r="Y731" s="20"/>
      <c r="Z731" s="20"/>
      <c r="AA731" s="20"/>
    </row>
    <row r="732" spans="1:27" ht="15.75" customHeight="1">
      <c r="A732" s="48"/>
      <c r="B732" s="56"/>
      <c r="C732" s="56"/>
      <c r="D732" s="57"/>
      <c r="E732" s="20"/>
      <c r="F732" s="58"/>
      <c r="G732" s="20"/>
      <c r="H732" s="60"/>
      <c r="I732" s="60"/>
      <c r="J732" s="61"/>
      <c r="K732" s="61"/>
      <c r="L732" s="59"/>
      <c r="M732" s="59"/>
      <c r="N732" s="59"/>
      <c r="O732" s="59"/>
      <c r="P732" s="20"/>
      <c r="Q732" s="20"/>
      <c r="R732" s="20"/>
      <c r="S732" s="20"/>
      <c r="T732" s="62"/>
      <c r="U732" s="62"/>
      <c r="V732" s="20"/>
      <c r="W732" s="20"/>
      <c r="X732" s="20"/>
      <c r="Y732" s="20"/>
      <c r="Z732" s="20"/>
      <c r="AA732" s="20"/>
    </row>
    <row r="733" spans="1:27" ht="15.75" customHeight="1">
      <c r="A733" s="48"/>
      <c r="B733" s="56"/>
      <c r="C733" s="56"/>
      <c r="D733" s="57"/>
      <c r="E733" s="20"/>
      <c r="F733" s="58"/>
      <c r="G733" s="20"/>
      <c r="H733" s="60"/>
      <c r="I733" s="60"/>
      <c r="J733" s="61"/>
      <c r="K733" s="61"/>
      <c r="L733" s="59"/>
      <c r="M733" s="59"/>
      <c r="N733" s="59"/>
      <c r="O733" s="59"/>
      <c r="P733" s="20"/>
      <c r="Q733" s="20"/>
      <c r="R733" s="20"/>
      <c r="S733" s="20"/>
      <c r="T733" s="62"/>
      <c r="U733" s="62"/>
      <c r="V733" s="20"/>
      <c r="W733" s="20"/>
      <c r="X733" s="20"/>
      <c r="Y733" s="20"/>
      <c r="Z733" s="20"/>
      <c r="AA733" s="20"/>
    </row>
    <row r="734" spans="1:27" ht="15.75" customHeight="1">
      <c r="A734" s="48"/>
      <c r="B734" s="56"/>
      <c r="C734" s="56"/>
      <c r="D734" s="57"/>
      <c r="E734" s="20"/>
      <c r="F734" s="58"/>
      <c r="G734" s="20"/>
      <c r="H734" s="60"/>
      <c r="I734" s="60"/>
      <c r="J734" s="61"/>
      <c r="K734" s="61"/>
      <c r="L734" s="59"/>
      <c r="M734" s="59"/>
      <c r="N734" s="59"/>
      <c r="O734" s="59"/>
      <c r="P734" s="20"/>
      <c r="Q734" s="20"/>
      <c r="R734" s="20"/>
      <c r="S734" s="20"/>
      <c r="T734" s="62"/>
      <c r="U734" s="62"/>
      <c r="V734" s="20"/>
      <c r="W734" s="20"/>
      <c r="X734" s="20"/>
      <c r="Y734" s="20"/>
      <c r="Z734" s="20"/>
      <c r="AA734" s="20"/>
    </row>
    <row r="735" spans="1:27" ht="15.75" customHeight="1">
      <c r="A735" s="48"/>
      <c r="B735" s="56"/>
      <c r="C735" s="56"/>
      <c r="D735" s="57"/>
      <c r="E735" s="20"/>
      <c r="F735" s="58"/>
      <c r="G735" s="20"/>
      <c r="H735" s="60"/>
      <c r="I735" s="60"/>
      <c r="J735" s="61"/>
      <c r="K735" s="61"/>
      <c r="L735" s="59"/>
      <c r="M735" s="59"/>
      <c r="N735" s="59"/>
      <c r="O735" s="59"/>
      <c r="P735" s="20"/>
      <c r="Q735" s="20"/>
      <c r="R735" s="20"/>
      <c r="S735" s="20"/>
      <c r="T735" s="62"/>
      <c r="U735" s="62"/>
      <c r="V735" s="20"/>
      <c r="W735" s="20"/>
      <c r="X735" s="20"/>
      <c r="Y735" s="20"/>
      <c r="Z735" s="20"/>
      <c r="AA735" s="20"/>
    </row>
    <row r="736" spans="1:27" ht="15.75" customHeight="1">
      <c r="A736" s="48"/>
      <c r="B736" s="56"/>
      <c r="C736" s="56"/>
      <c r="D736" s="57"/>
      <c r="E736" s="20"/>
      <c r="F736" s="58"/>
      <c r="G736" s="20"/>
      <c r="H736" s="60"/>
      <c r="I736" s="60"/>
      <c r="J736" s="61"/>
      <c r="K736" s="61"/>
      <c r="L736" s="59"/>
      <c r="M736" s="59"/>
      <c r="N736" s="59"/>
      <c r="O736" s="59"/>
      <c r="P736" s="20"/>
      <c r="Q736" s="20"/>
      <c r="R736" s="20"/>
      <c r="S736" s="20"/>
      <c r="T736" s="62"/>
      <c r="U736" s="62"/>
      <c r="V736" s="20"/>
      <c r="W736" s="20"/>
      <c r="X736" s="20"/>
      <c r="Y736" s="20"/>
      <c r="Z736" s="20"/>
      <c r="AA736" s="20"/>
    </row>
    <row r="737" spans="1:27" ht="15.75" customHeight="1">
      <c r="A737" s="48"/>
      <c r="B737" s="56"/>
      <c r="C737" s="56"/>
      <c r="D737" s="57"/>
      <c r="E737" s="20"/>
      <c r="F737" s="58"/>
      <c r="G737" s="20"/>
      <c r="H737" s="60"/>
      <c r="I737" s="60"/>
      <c r="J737" s="61"/>
      <c r="K737" s="61"/>
      <c r="L737" s="59"/>
      <c r="M737" s="59"/>
      <c r="N737" s="59"/>
      <c r="O737" s="59"/>
      <c r="P737" s="20"/>
      <c r="Q737" s="20"/>
      <c r="R737" s="20"/>
      <c r="S737" s="20"/>
      <c r="T737" s="62"/>
      <c r="U737" s="62"/>
      <c r="V737" s="20"/>
      <c r="W737" s="20"/>
      <c r="X737" s="20"/>
      <c r="Y737" s="20"/>
      <c r="Z737" s="20"/>
      <c r="AA737" s="20"/>
    </row>
    <row r="738" spans="1:27" ht="15.75" customHeight="1">
      <c r="A738" s="48"/>
      <c r="B738" s="56"/>
      <c r="C738" s="56"/>
      <c r="D738" s="57"/>
      <c r="E738" s="20"/>
      <c r="F738" s="58"/>
      <c r="G738" s="20"/>
      <c r="H738" s="60"/>
      <c r="I738" s="60"/>
      <c r="J738" s="61"/>
      <c r="K738" s="61"/>
      <c r="L738" s="59"/>
      <c r="M738" s="59"/>
      <c r="N738" s="59"/>
      <c r="O738" s="59"/>
      <c r="P738" s="20"/>
      <c r="Q738" s="20"/>
      <c r="R738" s="20"/>
      <c r="S738" s="20"/>
      <c r="T738" s="62"/>
      <c r="U738" s="62"/>
      <c r="V738" s="20"/>
      <c r="W738" s="20"/>
      <c r="X738" s="20"/>
      <c r="Y738" s="20"/>
      <c r="Z738" s="20"/>
      <c r="AA738" s="20"/>
    </row>
    <row r="739" spans="1:27" ht="15.75" customHeight="1">
      <c r="A739" s="48"/>
      <c r="B739" s="56"/>
      <c r="C739" s="56"/>
      <c r="D739" s="57"/>
      <c r="E739" s="20"/>
      <c r="F739" s="58"/>
      <c r="G739" s="20"/>
      <c r="H739" s="60"/>
      <c r="I739" s="60"/>
      <c r="J739" s="61"/>
      <c r="K739" s="61"/>
      <c r="L739" s="59"/>
      <c r="M739" s="59"/>
      <c r="N739" s="59"/>
      <c r="O739" s="59"/>
      <c r="P739" s="20"/>
      <c r="Q739" s="20"/>
      <c r="R739" s="20"/>
      <c r="S739" s="20"/>
      <c r="T739" s="62"/>
      <c r="U739" s="62"/>
      <c r="V739" s="20"/>
      <c r="W739" s="20"/>
      <c r="X739" s="20"/>
      <c r="Y739" s="20"/>
      <c r="Z739" s="20"/>
      <c r="AA739" s="20"/>
    </row>
    <row r="740" spans="1:27" ht="15.75" customHeight="1">
      <c r="A740" s="48"/>
      <c r="B740" s="56"/>
      <c r="C740" s="56"/>
      <c r="D740" s="57"/>
      <c r="E740" s="20"/>
      <c r="F740" s="58"/>
      <c r="G740" s="20"/>
      <c r="H740" s="60"/>
      <c r="I740" s="60"/>
      <c r="J740" s="61"/>
      <c r="K740" s="61"/>
      <c r="L740" s="59"/>
      <c r="M740" s="59"/>
      <c r="N740" s="59"/>
      <c r="O740" s="59"/>
      <c r="P740" s="20"/>
      <c r="Q740" s="20"/>
      <c r="R740" s="20"/>
      <c r="S740" s="20"/>
      <c r="T740" s="62"/>
      <c r="U740" s="62"/>
      <c r="V740" s="20"/>
      <c r="W740" s="20"/>
      <c r="X740" s="20"/>
      <c r="Y740" s="20"/>
      <c r="Z740" s="20"/>
      <c r="AA740" s="20"/>
    </row>
    <row r="741" spans="1:27" ht="15.75" customHeight="1">
      <c r="A741" s="48"/>
      <c r="B741" s="56"/>
      <c r="C741" s="56"/>
      <c r="D741" s="57"/>
      <c r="E741" s="20"/>
      <c r="F741" s="58"/>
      <c r="G741" s="20"/>
      <c r="H741" s="60"/>
      <c r="I741" s="60"/>
      <c r="J741" s="61"/>
      <c r="K741" s="61"/>
      <c r="L741" s="59"/>
      <c r="M741" s="59"/>
      <c r="N741" s="59"/>
      <c r="O741" s="59"/>
      <c r="P741" s="20"/>
      <c r="Q741" s="20"/>
      <c r="R741" s="20"/>
      <c r="S741" s="20"/>
      <c r="T741" s="62"/>
      <c r="U741" s="62"/>
      <c r="V741" s="20"/>
      <c r="W741" s="20"/>
      <c r="X741" s="20"/>
      <c r="Y741" s="20"/>
      <c r="Z741" s="20"/>
      <c r="AA741" s="20"/>
    </row>
    <row r="742" spans="1:27" ht="15.75" customHeight="1">
      <c r="A742" s="48"/>
      <c r="B742" s="56"/>
      <c r="C742" s="56"/>
      <c r="D742" s="57"/>
      <c r="E742" s="20"/>
      <c r="F742" s="58"/>
      <c r="G742" s="20"/>
      <c r="H742" s="60"/>
      <c r="I742" s="60"/>
      <c r="J742" s="61"/>
      <c r="K742" s="61"/>
      <c r="L742" s="59"/>
      <c r="M742" s="59"/>
      <c r="N742" s="59"/>
      <c r="O742" s="59"/>
      <c r="P742" s="20"/>
      <c r="Q742" s="20"/>
      <c r="R742" s="20"/>
      <c r="S742" s="20"/>
      <c r="T742" s="62"/>
      <c r="U742" s="62"/>
      <c r="V742" s="20"/>
      <c r="W742" s="20"/>
      <c r="X742" s="20"/>
      <c r="Y742" s="20"/>
      <c r="Z742" s="20"/>
      <c r="AA742" s="20"/>
    </row>
    <row r="743" spans="1:27" ht="15.75" customHeight="1">
      <c r="A743" s="48"/>
      <c r="B743" s="56"/>
      <c r="C743" s="56"/>
      <c r="D743" s="57"/>
      <c r="E743" s="20"/>
      <c r="F743" s="58"/>
      <c r="G743" s="20"/>
      <c r="H743" s="60"/>
      <c r="I743" s="60"/>
      <c r="J743" s="61"/>
      <c r="K743" s="61"/>
      <c r="L743" s="59"/>
      <c r="M743" s="59"/>
      <c r="N743" s="59"/>
      <c r="O743" s="59"/>
      <c r="P743" s="20"/>
      <c r="Q743" s="20"/>
      <c r="R743" s="20"/>
      <c r="S743" s="20"/>
      <c r="T743" s="62"/>
      <c r="U743" s="62"/>
      <c r="V743" s="20"/>
      <c r="W743" s="20"/>
      <c r="X743" s="20"/>
      <c r="Y743" s="20"/>
      <c r="Z743" s="20"/>
      <c r="AA743" s="20"/>
    </row>
    <row r="744" spans="1:27" ht="15.75" customHeight="1">
      <c r="A744" s="48"/>
      <c r="B744" s="56"/>
      <c r="C744" s="56"/>
      <c r="D744" s="57"/>
      <c r="E744" s="20"/>
      <c r="F744" s="58"/>
      <c r="G744" s="20"/>
      <c r="H744" s="60"/>
      <c r="I744" s="60"/>
      <c r="J744" s="61"/>
      <c r="K744" s="61"/>
      <c r="L744" s="59"/>
      <c r="M744" s="59"/>
      <c r="N744" s="59"/>
      <c r="O744" s="59"/>
      <c r="P744" s="20"/>
      <c r="Q744" s="20"/>
      <c r="R744" s="20"/>
      <c r="S744" s="20"/>
      <c r="T744" s="62"/>
      <c r="U744" s="62"/>
      <c r="V744" s="20"/>
      <c r="W744" s="20"/>
      <c r="X744" s="20"/>
      <c r="Y744" s="20"/>
      <c r="Z744" s="20"/>
      <c r="AA744" s="20"/>
    </row>
    <row r="745" spans="1:27" ht="15.75" customHeight="1">
      <c r="A745" s="48"/>
      <c r="B745" s="56"/>
      <c r="C745" s="56"/>
      <c r="D745" s="57"/>
      <c r="E745" s="20"/>
      <c r="F745" s="58"/>
      <c r="G745" s="20"/>
      <c r="H745" s="60"/>
      <c r="I745" s="60"/>
      <c r="J745" s="61"/>
      <c r="K745" s="61"/>
      <c r="L745" s="59"/>
      <c r="M745" s="59"/>
      <c r="N745" s="59"/>
      <c r="O745" s="59"/>
      <c r="P745" s="20"/>
      <c r="Q745" s="20"/>
      <c r="R745" s="20"/>
      <c r="S745" s="20"/>
      <c r="T745" s="62"/>
      <c r="U745" s="62"/>
      <c r="V745" s="20"/>
      <c r="W745" s="20"/>
      <c r="X745" s="20"/>
      <c r="Y745" s="20"/>
      <c r="Z745" s="20"/>
      <c r="AA745" s="20"/>
    </row>
    <row r="746" spans="1:27" ht="15.75" customHeight="1">
      <c r="A746" s="48"/>
      <c r="B746" s="56"/>
      <c r="C746" s="56"/>
      <c r="D746" s="57"/>
      <c r="E746" s="20"/>
      <c r="F746" s="58"/>
      <c r="G746" s="20"/>
      <c r="H746" s="60"/>
      <c r="I746" s="60"/>
      <c r="J746" s="61"/>
      <c r="K746" s="61"/>
      <c r="L746" s="59"/>
      <c r="M746" s="59"/>
      <c r="N746" s="59"/>
      <c r="O746" s="59"/>
      <c r="P746" s="20"/>
      <c r="Q746" s="20"/>
      <c r="R746" s="20"/>
      <c r="S746" s="20"/>
      <c r="T746" s="62"/>
      <c r="U746" s="62"/>
      <c r="V746" s="20"/>
      <c r="W746" s="20"/>
      <c r="X746" s="20"/>
      <c r="Y746" s="20"/>
      <c r="Z746" s="20"/>
      <c r="AA746" s="20"/>
    </row>
    <row r="747" spans="1:27" ht="15.75" customHeight="1">
      <c r="A747" s="48"/>
      <c r="B747" s="56"/>
      <c r="C747" s="56"/>
      <c r="D747" s="57"/>
      <c r="E747" s="20"/>
      <c r="F747" s="58"/>
      <c r="G747" s="20"/>
      <c r="H747" s="60"/>
      <c r="I747" s="60"/>
      <c r="J747" s="61"/>
      <c r="K747" s="61"/>
      <c r="L747" s="59"/>
      <c r="M747" s="59"/>
      <c r="N747" s="59"/>
      <c r="O747" s="59"/>
      <c r="P747" s="20"/>
      <c r="Q747" s="20"/>
      <c r="R747" s="20"/>
      <c r="S747" s="20"/>
      <c r="T747" s="62"/>
      <c r="U747" s="62"/>
      <c r="V747" s="20"/>
      <c r="W747" s="20"/>
      <c r="X747" s="20"/>
      <c r="Y747" s="20"/>
      <c r="Z747" s="20"/>
      <c r="AA747" s="20"/>
    </row>
    <row r="748" spans="1:27" ht="15.75" customHeight="1">
      <c r="A748" s="48"/>
      <c r="B748" s="56"/>
      <c r="C748" s="56"/>
      <c r="D748" s="57"/>
      <c r="E748" s="20"/>
      <c r="F748" s="58"/>
      <c r="G748" s="20"/>
      <c r="H748" s="60"/>
      <c r="I748" s="60"/>
      <c r="J748" s="61"/>
      <c r="K748" s="61"/>
      <c r="L748" s="59"/>
      <c r="M748" s="59"/>
      <c r="N748" s="59"/>
      <c r="O748" s="59"/>
      <c r="P748" s="20"/>
      <c r="Q748" s="20"/>
      <c r="R748" s="20"/>
      <c r="S748" s="20"/>
      <c r="T748" s="62"/>
      <c r="U748" s="62"/>
      <c r="V748" s="20"/>
      <c r="W748" s="20"/>
      <c r="X748" s="20"/>
      <c r="Y748" s="20"/>
      <c r="Z748" s="20"/>
      <c r="AA748" s="20"/>
    </row>
    <row r="749" spans="1:27" ht="15.75" customHeight="1">
      <c r="A749" s="48"/>
      <c r="B749" s="56"/>
      <c r="C749" s="56"/>
      <c r="D749" s="57"/>
      <c r="E749" s="20"/>
      <c r="F749" s="58"/>
      <c r="G749" s="20"/>
      <c r="H749" s="60"/>
      <c r="I749" s="60"/>
      <c r="J749" s="61"/>
      <c r="K749" s="61"/>
      <c r="L749" s="59"/>
      <c r="M749" s="59"/>
      <c r="N749" s="59"/>
      <c r="O749" s="59"/>
      <c r="P749" s="20"/>
      <c r="Q749" s="20"/>
      <c r="R749" s="20"/>
      <c r="S749" s="20"/>
      <c r="T749" s="62"/>
      <c r="U749" s="62"/>
      <c r="V749" s="20"/>
      <c r="W749" s="20"/>
      <c r="X749" s="20"/>
      <c r="Y749" s="20"/>
      <c r="Z749" s="20"/>
      <c r="AA749" s="20"/>
    </row>
    <row r="750" spans="1:27" ht="15.75" customHeight="1">
      <c r="A750" s="48"/>
      <c r="B750" s="56"/>
      <c r="C750" s="56"/>
      <c r="D750" s="57"/>
      <c r="E750" s="20"/>
      <c r="F750" s="58"/>
      <c r="G750" s="20"/>
      <c r="H750" s="60"/>
      <c r="I750" s="60"/>
      <c r="J750" s="61"/>
      <c r="K750" s="61"/>
      <c r="L750" s="59"/>
      <c r="M750" s="59"/>
      <c r="N750" s="59"/>
      <c r="O750" s="59"/>
      <c r="P750" s="20"/>
      <c r="Q750" s="20"/>
      <c r="R750" s="20"/>
      <c r="S750" s="20"/>
      <c r="T750" s="62"/>
      <c r="U750" s="62"/>
      <c r="V750" s="20"/>
      <c r="W750" s="20"/>
      <c r="X750" s="20"/>
      <c r="Y750" s="20"/>
      <c r="Z750" s="20"/>
      <c r="AA750" s="20"/>
    </row>
    <row r="751" spans="1:27" ht="15.75" customHeight="1">
      <c r="A751" s="48"/>
      <c r="B751" s="56"/>
      <c r="C751" s="56"/>
      <c r="D751" s="57"/>
      <c r="E751" s="20"/>
      <c r="F751" s="58"/>
      <c r="G751" s="20"/>
      <c r="H751" s="60"/>
      <c r="I751" s="60"/>
      <c r="J751" s="61"/>
      <c r="K751" s="61"/>
      <c r="L751" s="59"/>
      <c r="M751" s="59"/>
      <c r="N751" s="59"/>
      <c r="O751" s="59"/>
      <c r="P751" s="20"/>
      <c r="Q751" s="20"/>
      <c r="R751" s="20"/>
      <c r="S751" s="20"/>
      <c r="T751" s="62"/>
      <c r="U751" s="62"/>
      <c r="V751" s="20"/>
      <c r="W751" s="20"/>
      <c r="X751" s="20"/>
      <c r="Y751" s="20"/>
      <c r="Z751" s="20"/>
      <c r="AA751" s="20"/>
    </row>
    <row r="752" spans="1:27" ht="15.75" customHeight="1">
      <c r="A752" s="48"/>
      <c r="B752" s="56"/>
      <c r="C752" s="56"/>
      <c r="D752" s="57"/>
      <c r="E752" s="20"/>
      <c r="F752" s="58"/>
      <c r="G752" s="20"/>
      <c r="H752" s="60"/>
      <c r="I752" s="60"/>
      <c r="J752" s="61"/>
      <c r="K752" s="61"/>
      <c r="L752" s="59"/>
      <c r="M752" s="59"/>
      <c r="N752" s="59"/>
      <c r="O752" s="59"/>
      <c r="P752" s="20"/>
      <c r="Q752" s="20"/>
      <c r="R752" s="20"/>
      <c r="S752" s="20"/>
      <c r="T752" s="62"/>
      <c r="U752" s="62"/>
      <c r="V752" s="20"/>
      <c r="W752" s="20"/>
      <c r="X752" s="20"/>
      <c r="Y752" s="20"/>
      <c r="Z752" s="20"/>
      <c r="AA752" s="20"/>
    </row>
    <row r="753" spans="1:27" ht="15.75" customHeight="1">
      <c r="A753" s="48"/>
      <c r="B753" s="56"/>
      <c r="C753" s="56"/>
      <c r="D753" s="57"/>
      <c r="E753" s="20"/>
      <c r="F753" s="58"/>
      <c r="G753" s="20"/>
      <c r="H753" s="60"/>
      <c r="I753" s="60"/>
      <c r="J753" s="61"/>
      <c r="K753" s="61"/>
      <c r="L753" s="59"/>
      <c r="M753" s="59"/>
      <c r="N753" s="59"/>
      <c r="O753" s="59"/>
      <c r="P753" s="20"/>
      <c r="Q753" s="20"/>
      <c r="R753" s="20"/>
      <c r="S753" s="20"/>
      <c r="T753" s="62"/>
      <c r="U753" s="62"/>
      <c r="V753" s="20"/>
      <c r="W753" s="20"/>
      <c r="X753" s="20"/>
      <c r="Y753" s="20"/>
      <c r="Z753" s="20"/>
      <c r="AA753" s="20"/>
    </row>
    <row r="754" spans="1:27" ht="15.75" customHeight="1">
      <c r="A754" s="48"/>
      <c r="B754" s="56"/>
      <c r="C754" s="56"/>
      <c r="D754" s="57"/>
      <c r="E754" s="20"/>
      <c r="F754" s="58"/>
      <c r="G754" s="20"/>
      <c r="H754" s="60"/>
      <c r="I754" s="60"/>
      <c r="J754" s="61"/>
      <c r="K754" s="61"/>
      <c r="L754" s="59"/>
      <c r="M754" s="59"/>
      <c r="N754" s="59"/>
      <c r="O754" s="59"/>
      <c r="P754" s="20"/>
      <c r="Q754" s="20"/>
      <c r="R754" s="20"/>
      <c r="S754" s="20"/>
      <c r="T754" s="62"/>
      <c r="U754" s="62"/>
      <c r="V754" s="20"/>
      <c r="W754" s="20"/>
      <c r="X754" s="20"/>
      <c r="Y754" s="20"/>
      <c r="Z754" s="20"/>
      <c r="AA754" s="20"/>
    </row>
    <row r="755" spans="1:27" ht="15.75" customHeight="1">
      <c r="A755" s="48"/>
      <c r="B755" s="56"/>
      <c r="C755" s="56"/>
      <c r="D755" s="57"/>
      <c r="E755" s="20"/>
      <c r="F755" s="58"/>
      <c r="G755" s="20"/>
      <c r="H755" s="60"/>
      <c r="I755" s="60"/>
      <c r="J755" s="61"/>
      <c r="K755" s="61"/>
      <c r="L755" s="59"/>
      <c r="M755" s="59"/>
      <c r="N755" s="59"/>
      <c r="O755" s="59"/>
      <c r="P755" s="20"/>
      <c r="Q755" s="20"/>
      <c r="R755" s="20"/>
      <c r="S755" s="20"/>
      <c r="T755" s="62"/>
      <c r="U755" s="62"/>
      <c r="V755" s="20"/>
      <c r="W755" s="20"/>
      <c r="X755" s="20"/>
      <c r="Y755" s="20"/>
      <c r="Z755" s="20"/>
      <c r="AA755" s="20"/>
    </row>
    <row r="756" spans="1:27" ht="15.75" customHeight="1">
      <c r="A756" s="48"/>
      <c r="B756" s="56"/>
      <c r="C756" s="56"/>
      <c r="D756" s="57"/>
      <c r="E756" s="20"/>
      <c r="F756" s="58"/>
      <c r="G756" s="20"/>
      <c r="H756" s="60"/>
      <c r="I756" s="60"/>
      <c r="J756" s="61"/>
      <c r="K756" s="61"/>
      <c r="L756" s="59"/>
      <c r="M756" s="59"/>
      <c r="N756" s="59"/>
      <c r="O756" s="59"/>
      <c r="P756" s="20"/>
      <c r="Q756" s="20"/>
      <c r="R756" s="20"/>
      <c r="S756" s="20"/>
      <c r="T756" s="62"/>
      <c r="U756" s="62"/>
      <c r="V756" s="20"/>
      <c r="W756" s="20"/>
      <c r="X756" s="20"/>
      <c r="Y756" s="20"/>
      <c r="Z756" s="20"/>
      <c r="AA756" s="20"/>
    </row>
    <row r="757" spans="1:27" ht="15.75" customHeight="1">
      <c r="A757" s="48"/>
      <c r="B757" s="56"/>
      <c r="C757" s="56"/>
      <c r="D757" s="57"/>
      <c r="E757" s="20"/>
      <c r="F757" s="58"/>
      <c r="G757" s="20"/>
      <c r="H757" s="60"/>
      <c r="I757" s="60"/>
      <c r="J757" s="61"/>
      <c r="K757" s="61"/>
      <c r="L757" s="59"/>
      <c r="M757" s="59"/>
      <c r="N757" s="59"/>
      <c r="O757" s="59"/>
      <c r="P757" s="20"/>
      <c r="Q757" s="20"/>
      <c r="R757" s="20"/>
      <c r="S757" s="20"/>
      <c r="T757" s="62"/>
      <c r="U757" s="62"/>
      <c r="V757" s="20"/>
      <c r="W757" s="20"/>
      <c r="X757" s="20"/>
      <c r="Y757" s="20"/>
      <c r="Z757" s="20"/>
      <c r="AA757" s="20"/>
    </row>
    <row r="758" spans="1:27" ht="15.75" customHeight="1">
      <c r="A758" s="48"/>
      <c r="B758" s="56"/>
      <c r="C758" s="56"/>
      <c r="D758" s="57"/>
      <c r="E758" s="20"/>
      <c r="F758" s="58"/>
      <c r="G758" s="20"/>
      <c r="H758" s="60"/>
      <c r="I758" s="60"/>
      <c r="J758" s="61"/>
      <c r="K758" s="61"/>
      <c r="L758" s="59"/>
      <c r="M758" s="59"/>
      <c r="N758" s="59"/>
      <c r="O758" s="59"/>
      <c r="P758" s="20"/>
      <c r="Q758" s="20"/>
      <c r="R758" s="20"/>
      <c r="S758" s="20"/>
      <c r="T758" s="62"/>
      <c r="U758" s="62"/>
      <c r="V758" s="20"/>
      <c r="W758" s="20"/>
      <c r="X758" s="20"/>
      <c r="Y758" s="20"/>
      <c r="Z758" s="20"/>
      <c r="AA758" s="20"/>
    </row>
    <row r="759" spans="1:27" ht="15.75" customHeight="1">
      <c r="A759" s="48"/>
      <c r="B759" s="56"/>
      <c r="C759" s="56"/>
      <c r="D759" s="57"/>
      <c r="E759" s="20"/>
      <c r="F759" s="58"/>
      <c r="G759" s="20"/>
      <c r="H759" s="60"/>
      <c r="I759" s="60"/>
      <c r="J759" s="61"/>
      <c r="K759" s="61"/>
      <c r="L759" s="59"/>
      <c r="M759" s="59"/>
      <c r="N759" s="59"/>
      <c r="O759" s="59"/>
      <c r="P759" s="20"/>
      <c r="Q759" s="20"/>
      <c r="R759" s="20"/>
      <c r="S759" s="20"/>
      <c r="T759" s="62"/>
      <c r="U759" s="62"/>
      <c r="V759" s="20"/>
      <c r="W759" s="20"/>
      <c r="X759" s="20"/>
      <c r="Y759" s="20"/>
      <c r="Z759" s="20"/>
      <c r="AA759" s="20"/>
    </row>
    <row r="760" spans="1:27" ht="15.75" customHeight="1">
      <c r="A760" s="48"/>
      <c r="B760" s="56"/>
      <c r="C760" s="56"/>
      <c r="D760" s="57"/>
      <c r="E760" s="20"/>
      <c r="F760" s="58"/>
      <c r="G760" s="20"/>
      <c r="H760" s="60"/>
      <c r="I760" s="60"/>
      <c r="J760" s="61"/>
      <c r="K760" s="61"/>
      <c r="L760" s="59"/>
      <c r="M760" s="59"/>
      <c r="N760" s="59"/>
      <c r="O760" s="59"/>
      <c r="P760" s="20"/>
      <c r="Q760" s="20"/>
      <c r="R760" s="20"/>
      <c r="S760" s="20"/>
      <c r="T760" s="62"/>
      <c r="U760" s="62"/>
      <c r="V760" s="20"/>
      <c r="W760" s="20"/>
      <c r="X760" s="20"/>
      <c r="Y760" s="20"/>
      <c r="Z760" s="20"/>
      <c r="AA760" s="20"/>
    </row>
    <row r="761" spans="1:27" ht="15.75" customHeight="1">
      <c r="A761" s="48"/>
      <c r="B761" s="56"/>
      <c r="C761" s="56"/>
      <c r="D761" s="57"/>
      <c r="E761" s="20"/>
      <c r="F761" s="58"/>
      <c r="G761" s="20"/>
      <c r="H761" s="60"/>
      <c r="I761" s="60"/>
      <c r="J761" s="61"/>
      <c r="K761" s="61"/>
      <c r="L761" s="59"/>
      <c r="M761" s="59"/>
      <c r="N761" s="59"/>
      <c r="O761" s="59"/>
      <c r="P761" s="20"/>
      <c r="Q761" s="20"/>
      <c r="R761" s="20"/>
      <c r="S761" s="20"/>
      <c r="T761" s="62"/>
      <c r="U761" s="62"/>
      <c r="V761" s="20"/>
      <c r="W761" s="20"/>
      <c r="X761" s="20"/>
      <c r="Y761" s="20"/>
      <c r="Z761" s="20"/>
      <c r="AA761" s="20"/>
    </row>
    <row r="762" spans="1:27" ht="15.75" customHeight="1">
      <c r="A762" s="48"/>
      <c r="B762" s="56"/>
      <c r="C762" s="56"/>
      <c r="D762" s="57"/>
      <c r="E762" s="20"/>
      <c r="F762" s="58"/>
      <c r="G762" s="20"/>
      <c r="H762" s="60"/>
      <c r="I762" s="60"/>
      <c r="J762" s="61"/>
      <c r="K762" s="61"/>
      <c r="L762" s="59"/>
      <c r="M762" s="59"/>
      <c r="N762" s="59"/>
      <c r="O762" s="59"/>
      <c r="P762" s="20"/>
      <c r="Q762" s="20"/>
      <c r="R762" s="20"/>
      <c r="S762" s="20"/>
      <c r="T762" s="62"/>
      <c r="U762" s="62"/>
      <c r="V762" s="20"/>
      <c r="W762" s="20"/>
      <c r="X762" s="20"/>
      <c r="Y762" s="20"/>
      <c r="Z762" s="20"/>
      <c r="AA762" s="20"/>
    </row>
    <row r="763" spans="1:27" ht="15.75" customHeight="1">
      <c r="A763" s="48"/>
      <c r="B763" s="56"/>
      <c r="C763" s="56"/>
      <c r="D763" s="57"/>
      <c r="E763" s="20"/>
      <c r="F763" s="58"/>
      <c r="G763" s="20"/>
      <c r="H763" s="60"/>
      <c r="I763" s="60"/>
      <c r="J763" s="61"/>
      <c r="K763" s="61"/>
      <c r="L763" s="59"/>
      <c r="M763" s="59"/>
      <c r="N763" s="59"/>
      <c r="O763" s="59"/>
      <c r="P763" s="20"/>
      <c r="Q763" s="20"/>
      <c r="R763" s="20"/>
      <c r="S763" s="20"/>
      <c r="T763" s="62"/>
      <c r="U763" s="62"/>
      <c r="V763" s="20"/>
      <c r="W763" s="20"/>
      <c r="X763" s="20"/>
      <c r="Y763" s="20"/>
      <c r="Z763" s="20"/>
      <c r="AA763" s="20"/>
    </row>
    <row r="764" spans="1:27" ht="15.75" customHeight="1">
      <c r="A764" s="48"/>
      <c r="B764" s="56"/>
      <c r="C764" s="56"/>
      <c r="D764" s="57"/>
      <c r="E764" s="20"/>
      <c r="F764" s="58"/>
      <c r="G764" s="20"/>
      <c r="H764" s="60"/>
      <c r="I764" s="60"/>
      <c r="J764" s="61"/>
      <c r="K764" s="61"/>
      <c r="L764" s="59"/>
      <c r="M764" s="59"/>
      <c r="N764" s="59"/>
      <c r="O764" s="59"/>
      <c r="P764" s="20"/>
      <c r="Q764" s="20"/>
      <c r="R764" s="20"/>
      <c r="S764" s="20"/>
      <c r="T764" s="62"/>
      <c r="U764" s="62"/>
      <c r="V764" s="20"/>
      <c r="W764" s="20"/>
      <c r="X764" s="20"/>
      <c r="Y764" s="20"/>
      <c r="Z764" s="20"/>
      <c r="AA764" s="20"/>
    </row>
    <row r="765" spans="1:27" ht="15.75" customHeight="1">
      <c r="A765" s="48"/>
      <c r="B765" s="56"/>
      <c r="C765" s="56"/>
      <c r="D765" s="57"/>
      <c r="E765" s="20"/>
      <c r="F765" s="58"/>
      <c r="G765" s="20"/>
      <c r="H765" s="60"/>
      <c r="I765" s="60"/>
      <c r="J765" s="61"/>
      <c r="K765" s="61"/>
      <c r="L765" s="59"/>
      <c r="M765" s="59"/>
      <c r="N765" s="59"/>
      <c r="O765" s="59"/>
      <c r="P765" s="20"/>
      <c r="Q765" s="20"/>
      <c r="R765" s="20"/>
      <c r="S765" s="20"/>
      <c r="T765" s="62"/>
      <c r="U765" s="62"/>
      <c r="V765" s="20"/>
      <c r="W765" s="20"/>
      <c r="X765" s="20"/>
      <c r="Y765" s="20"/>
      <c r="Z765" s="20"/>
      <c r="AA765" s="20"/>
    </row>
    <row r="766" spans="1:27" ht="15.75" customHeight="1">
      <c r="A766" s="48"/>
      <c r="B766" s="56"/>
      <c r="C766" s="56"/>
      <c r="D766" s="57"/>
      <c r="E766" s="20"/>
      <c r="F766" s="58"/>
      <c r="G766" s="20"/>
      <c r="H766" s="60"/>
      <c r="I766" s="60"/>
      <c r="J766" s="61"/>
      <c r="K766" s="61"/>
      <c r="L766" s="59"/>
      <c r="M766" s="59"/>
      <c r="N766" s="59"/>
      <c r="O766" s="59"/>
      <c r="P766" s="20"/>
      <c r="Q766" s="20"/>
      <c r="R766" s="20"/>
      <c r="S766" s="20"/>
      <c r="T766" s="62"/>
      <c r="U766" s="62"/>
      <c r="V766" s="20"/>
      <c r="W766" s="20"/>
      <c r="X766" s="20"/>
      <c r="Y766" s="20"/>
      <c r="Z766" s="20"/>
      <c r="AA766" s="20"/>
    </row>
    <row r="767" spans="1:27" ht="15.75" customHeight="1">
      <c r="A767" s="48"/>
      <c r="B767" s="56"/>
      <c r="C767" s="56"/>
      <c r="D767" s="57"/>
      <c r="E767" s="20"/>
      <c r="F767" s="58"/>
      <c r="G767" s="20"/>
      <c r="H767" s="60"/>
      <c r="I767" s="60"/>
      <c r="J767" s="61"/>
      <c r="K767" s="61"/>
      <c r="L767" s="59"/>
      <c r="M767" s="59"/>
      <c r="N767" s="59"/>
      <c r="O767" s="59"/>
      <c r="P767" s="20"/>
      <c r="Q767" s="20"/>
      <c r="R767" s="20"/>
      <c r="S767" s="20"/>
      <c r="T767" s="62"/>
      <c r="U767" s="62"/>
      <c r="V767" s="20"/>
      <c r="W767" s="20"/>
      <c r="X767" s="20"/>
      <c r="Y767" s="20"/>
      <c r="Z767" s="20"/>
      <c r="AA767" s="20"/>
    </row>
    <row r="768" spans="1:27" ht="15.75" customHeight="1">
      <c r="A768" s="48"/>
      <c r="B768" s="56"/>
      <c r="C768" s="56"/>
      <c r="D768" s="57"/>
      <c r="E768" s="20"/>
      <c r="F768" s="58"/>
      <c r="G768" s="20"/>
      <c r="H768" s="60"/>
      <c r="I768" s="60"/>
      <c r="J768" s="61"/>
      <c r="K768" s="61"/>
      <c r="L768" s="59"/>
      <c r="M768" s="59"/>
      <c r="N768" s="59"/>
      <c r="O768" s="59"/>
      <c r="P768" s="20"/>
      <c r="Q768" s="20"/>
      <c r="R768" s="20"/>
      <c r="S768" s="20"/>
      <c r="T768" s="62"/>
      <c r="U768" s="62"/>
      <c r="V768" s="20"/>
      <c r="W768" s="20"/>
      <c r="X768" s="20"/>
      <c r="Y768" s="20"/>
      <c r="Z768" s="20"/>
      <c r="AA768" s="20"/>
    </row>
    <row r="769" spans="1:27" ht="15.75" customHeight="1">
      <c r="A769" s="48"/>
      <c r="B769" s="56"/>
      <c r="C769" s="56"/>
      <c r="D769" s="57"/>
      <c r="E769" s="20"/>
      <c r="F769" s="58"/>
      <c r="G769" s="20"/>
      <c r="H769" s="60"/>
      <c r="I769" s="60"/>
      <c r="J769" s="61"/>
      <c r="K769" s="61"/>
      <c r="L769" s="59"/>
      <c r="M769" s="59"/>
      <c r="N769" s="59"/>
      <c r="O769" s="59"/>
      <c r="P769" s="20"/>
      <c r="Q769" s="20"/>
      <c r="R769" s="20"/>
      <c r="S769" s="20"/>
      <c r="T769" s="62"/>
      <c r="U769" s="62"/>
      <c r="V769" s="20"/>
      <c r="W769" s="20"/>
      <c r="X769" s="20"/>
      <c r="Y769" s="20"/>
      <c r="Z769" s="20"/>
      <c r="AA769" s="20"/>
    </row>
    <row r="770" spans="1:27" ht="15.75" customHeight="1">
      <c r="A770" s="48"/>
      <c r="B770" s="56"/>
      <c r="C770" s="56"/>
      <c r="D770" s="57"/>
      <c r="E770" s="20"/>
      <c r="F770" s="58"/>
      <c r="G770" s="20"/>
      <c r="H770" s="60"/>
      <c r="I770" s="60"/>
      <c r="J770" s="61"/>
      <c r="K770" s="61"/>
      <c r="L770" s="59"/>
      <c r="M770" s="59"/>
      <c r="N770" s="59"/>
      <c r="O770" s="59"/>
      <c r="P770" s="20"/>
      <c r="Q770" s="20"/>
      <c r="R770" s="20"/>
      <c r="S770" s="20"/>
      <c r="T770" s="62"/>
      <c r="U770" s="62"/>
      <c r="V770" s="20"/>
      <c r="W770" s="20"/>
      <c r="X770" s="20"/>
      <c r="Y770" s="20"/>
      <c r="Z770" s="20"/>
      <c r="AA770" s="20"/>
    </row>
    <row r="771" spans="1:27" ht="15.75" customHeight="1">
      <c r="A771" s="48"/>
      <c r="B771" s="56"/>
      <c r="C771" s="56"/>
      <c r="D771" s="57"/>
      <c r="E771" s="20"/>
      <c r="F771" s="58"/>
      <c r="G771" s="20"/>
      <c r="H771" s="60"/>
      <c r="I771" s="60"/>
      <c r="J771" s="61"/>
      <c r="K771" s="61"/>
      <c r="L771" s="59"/>
      <c r="M771" s="59"/>
      <c r="N771" s="59"/>
      <c r="O771" s="59"/>
      <c r="P771" s="20"/>
      <c r="Q771" s="20"/>
      <c r="R771" s="20"/>
      <c r="S771" s="20"/>
      <c r="T771" s="62"/>
      <c r="U771" s="62"/>
      <c r="V771" s="20"/>
      <c r="W771" s="20"/>
      <c r="X771" s="20"/>
      <c r="Y771" s="20"/>
      <c r="Z771" s="20"/>
      <c r="AA771" s="20"/>
    </row>
    <row r="772" spans="1:27" ht="15.75" customHeight="1">
      <c r="A772" s="48"/>
      <c r="B772" s="56"/>
      <c r="C772" s="56"/>
      <c r="D772" s="57"/>
      <c r="E772" s="20"/>
      <c r="F772" s="58"/>
      <c r="G772" s="20"/>
      <c r="H772" s="60"/>
      <c r="I772" s="60"/>
      <c r="J772" s="61"/>
      <c r="K772" s="61"/>
      <c r="L772" s="59"/>
      <c r="M772" s="59"/>
      <c r="N772" s="59"/>
      <c r="O772" s="59"/>
      <c r="P772" s="20"/>
      <c r="Q772" s="20"/>
      <c r="R772" s="20"/>
      <c r="S772" s="20"/>
      <c r="T772" s="62"/>
      <c r="U772" s="62"/>
      <c r="V772" s="20"/>
      <c r="W772" s="20"/>
      <c r="X772" s="20"/>
      <c r="Y772" s="20"/>
      <c r="Z772" s="20"/>
      <c r="AA772" s="20"/>
    </row>
    <row r="773" spans="1:27" ht="15.75" customHeight="1">
      <c r="A773" s="48"/>
      <c r="B773" s="56"/>
      <c r="C773" s="56"/>
      <c r="D773" s="57"/>
      <c r="E773" s="20"/>
      <c r="F773" s="58"/>
      <c r="G773" s="20"/>
      <c r="H773" s="60"/>
      <c r="I773" s="60"/>
      <c r="J773" s="61"/>
      <c r="K773" s="61"/>
      <c r="L773" s="59"/>
      <c r="M773" s="59"/>
      <c r="N773" s="59"/>
      <c r="O773" s="59"/>
      <c r="P773" s="20"/>
      <c r="Q773" s="20"/>
      <c r="R773" s="20"/>
      <c r="S773" s="20"/>
      <c r="T773" s="62"/>
      <c r="U773" s="62"/>
      <c r="V773" s="20"/>
      <c r="W773" s="20"/>
      <c r="X773" s="20"/>
      <c r="Y773" s="20"/>
      <c r="Z773" s="20"/>
      <c r="AA773" s="20"/>
    </row>
    <row r="774" spans="1:27" ht="15.75" customHeight="1">
      <c r="A774" s="48"/>
      <c r="B774" s="56"/>
      <c r="C774" s="56"/>
      <c r="D774" s="57"/>
      <c r="E774" s="20"/>
      <c r="F774" s="58"/>
      <c r="G774" s="20"/>
      <c r="H774" s="60"/>
      <c r="I774" s="60"/>
      <c r="J774" s="61"/>
      <c r="K774" s="61"/>
      <c r="L774" s="59"/>
      <c r="M774" s="59"/>
      <c r="N774" s="59"/>
      <c r="O774" s="59"/>
      <c r="P774" s="20"/>
      <c r="Q774" s="20"/>
      <c r="R774" s="20"/>
      <c r="S774" s="20"/>
      <c r="T774" s="62"/>
      <c r="U774" s="62"/>
      <c r="V774" s="20"/>
      <c r="W774" s="20"/>
      <c r="X774" s="20"/>
      <c r="Y774" s="20"/>
      <c r="Z774" s="20"/>
      <c r="AA774" s="20"/>
    </row>
    <row r="775" spans="1:27" ht="15.75" customHeight="1">
      <c r="A775" s="48"/>
      <c r="B775" s="56"/>
      <c r="C775" s="56"/>
      <c r="D775" s="57"/>
      <c r="E775" s="20"/>
      <c r="F775" s="58"/>
      <c r="G775" s="20"/>
      <c r="H775" s="60"/>
      <c r="I775" s="60"/>
      <c r="J775" s="61"/>
      <c r="K775" s="61"/>
      <c r="L775" s="59"/>
      <c r="M775" s="59"/>
      <c r="N775" s="59"/>
      <c r="O775" s="59"/>
      <c r="P775" s="20"/>
      <c r="Q775" s="20"/>
      <c r="R775" s="20"/>
      <c r="S775" s="20"/>
      <c r="T775" s="62"/>
      <c r="U775" s="62"/>
      <c r="V775" s="20"/>
      <c r="W775" s="20"/>
      <c r="X775" s="20"/>
      <c r="Y775" s="20"/>
      <c r="Z775" s="20"/>
      <c r="AA775" s="20"/>
    </row>
    <row r="776" spans="1:27" ht="15.75" customHeight="1">
      <c r="A776" s="48"/>
      <c r="B776" s="56"/>
      <c r="C776" s="56"/>
      <c r="D776" s="57"/>
      <c r="E776" s="20"/>
      <c r="F776" s="58"/>
      <c r="G776" s="20"/>
      <c r="H776" s="60"/>
      <c r="I776" s="60"/>
      <c r="J776" s="61"/>
      <c r="K776" s="61"/>
      <c r="L776" s="59"/>
      <c r="M776" s="59"/>
      <c r="N776" s="59"/>
      <c r="O776" s="59"/>
      <c r="P776" s="20"/>
      <c r="Q776" s="20"/>
      <c r="R776" s="20"/>
      <c r="S776" s="20"/>
      <c r="T776" s="62"/>
      <c r="U776" s="62"/>
      <c r="V776" s="20"/>
      <c r="W776" s="20"/>
      <c r="X776" s="20"/>
      <c r="Y776" s="20"/>
      <c r="Z776" s="20"/>
      <c r="AA776" s="20"/>
    </row>
    <row r="777" spans="1:27" ht="15.75" customHeight="1">
      <c r="A777" s="48"/>
      <c r="B777" s="56"/>
      <c r="C777" s="56"/>
      <c r="D777" s="57"/>
      <c r="E777" s="20"/>
      <c r="F777" s="58"/>
      <c r="G777" s="20"/>
      <c r="H777" s="60"/>
      <c r="I777" s="60"/>
      <c r="J777" s="61"/>
      <c r="K777" s="61"/>
      <c r="L777" s="59"/>
      <c r="M777" s="59"/>
      <c r="N777" s="59"/>
      <c r="O777" s="59"/>
      <c r="P777" s="20"/>
      <c r="Q777" s="20"/>
      <c r="R777" s="20"/>
      <c r="S777" s="20"/>
      <c r="T777" s="62"/>
      <c r="U777" s="62"/>
      <c r="V777" s="20"/>
      <c r="W777" s="20"/>
      <c r="X777" s="20"/>
      <c r="Y777" s="20"/>
      <c r="Z777" s="20"/>
      <c r="AA777" s="20"/>
    </row>
    <row r="778" spans="1:27" ht="15.75" customHeight="1">
      <c r="A778" s="48"/>
      <c r="B778" s="56"/>
      <c r="C778" s="56"/>
      <c r="D778" s="57"/>
      <c r="E778" s="20"/>
      <c r="F778" s="58"/>
      <c r="G778" s="20"/>
      <c r="H778" s="60"/>
      <c r="I778" s="60"/>
      <c r="J778" s="61"/>
      <c r="K778" s="61"/>
      <c r="L778" s="59"/>
      <c r="M778" s="59"/>
      <c r="N778" s="59"/>
      <c r="O778" s="59"/>
      <c r="P778" s="20"/>
      <c r="Q778" s="20"/>
      <c r="R778" s="20"/>
      <c r="S778" s="20"/>
      <c r="T778" s="62"/>
      <c r="U778" s="62"/>
      <c r="V778" s="20"/>
      <c r="W778" s="20"/>
      <c r="X778" s="20"/>
      <c r="Y778" s="20"/>
      <c r="Z778" s="20"/>
      <c r="AA778" s="20"/>
    </row>
    <row r="779" spans="1:27" ht="15.75" customHeight="1">
      <c r="A779" s="48"/>
      <c r="B779" s="56"/>
      <c r="C779" s="56"/>
      <c r="D779" s="57"/>
      <c r="E779" s="20"/>
      <c r="F779" s="58"/>
      <c r="G779" s="20"/>
      <c r="H779" s="60"/>
      <c r="I779" s="60"/>
      <c r="J779" s="61"/>
      <c r="K779" s="61"/>
      <c r="L779" s="59"/>
      <c r="M779" s="59"/>
      <c r="N779" s="59"/>
      <c r="O779" s="59"/>
      <c r="P779" s="20"/>
      <c r="Q779" s="20"/>
      <c r="R779" s="20"/>
      <c r="S779" s="20"/>
      <c r="T779" s="62"/>
      <c r="U779" s="62"/>
      <c r="V779" s="20"/>
      <c r="W779" s="20"/>
      <c r="X779" s="20"/>
      <c r="Y779" s="20"/>
      <c r="Z779" s="20"/>
      <c r="AA779" s="20"/>
    </row>
    <row r="780" spans="1:27" ht="15.75" customHeight="1">
      <c r="A780" s="48"/>
      <c r="B780" s="56"/>
      <c r="C780" s="56"/>
      <c r="D780" s="57"/>
      <c r="E780" s="20"/>
      <c r="F780" s="58"/>
      <c r="G780" s="20"/>
      <c r="H780" s="60"/>
      <c r="I780" s="60"/>
      <c r="J780" s="61"/>
      <c r="K780" s="61"/>
      <c r="L780" s="59"/>
      <c r="M780" s="59"/>
      <c r="N780" s="59"/>
      <c r="O780" s="59"/>
      <c r="P780" s="20"/>
      <c r="Q780" s="20"/>
      <c r="R780" s="20"/>
      <c r="S780" s="20"/>
      <c r="T780" s="62"/>
      <c r="U780" s="62"/>
      <c r="V780" s="20"/>
      <c r="W780" s="20"/>
      <c r="X780" s="20"/>
      <c r="Y780" s="20"/>
      <c r="Z780" s="20"/>
      <c r="AA780" s="20"/>
    </row>
    <row r="781" spans="1:27" ht="15.75" customHeight="1">
      <c r="A781" s="48"/>
      <c r="B781" s="56"/>
      <c r="C781" s="56"/>
      <c r="D781" s="57"/>
      <c r="E781" s="20"/>
      <c r="F781" s="58"/>
      <c r="G781" s="20"/>
      <c r="H781" s="60"/>
      <c r="I781" s="60"/>
      <c r="J781" s="61"/>
      <c r="K781" s="61"/>
      <c r="L781" s="59"/>
      <c r="M781" s="59"/>
      <c r="N781" s="59"/>
      <c r="O781" s="59"/>
      <c r="P781" s="20"/>
      <c r="Q781" s="20"/>
      <c r="R781" s="20"/>
      <c r="S781" s="20"/>
      <c r="T781" s="62"/>
      <c r="U781" s="62"/>
      <c r="V781" s="20"/>
      <c r="W781" s="20"/>
      <c r="X781" s="20"/>
      <c r="Y781" s="20"/>
      <c r="Z781" s="20"/>
      <c r="AA781" s="20"/>
    </row>
    <row r="782" spans="1:27" ht="15.75" customHeight="1">
      <c r="A782" s="48"/>
      <c r="B782" s="56"/>
      <c r="C782" s="56"/>
      <c r="D782" s="57"/>
      <c r="E782" s="20"/>
      <c r="F782" s="58"/>
      <c r="G782" s="20"/>
      <c r="H782" s="60"/>
      <c r="I782" s="60"/>
      <c r="J782" s="61"/>
      <c r="K782" s="61"/>
      <c r="L782" s="59"/>
      <c r="M782" s="59"/>
      <c r="N782" s="59"/>
      <c r="O782" s="59"/>
      <c r="P782" s="20"/>
      <c r="Q782" s="20"/>
      <c r="R782" s="20"/>
      <c r="S782" s="20"/>
      <c r="T782" s="62"/>
      <c r="U782" s="62"/>
      <c r="V782" s="20"/>
      <c r="W782" s="20"/>
      <c r="X782" s="20"/>
      <c r="Y782" s="20"/>
      <c r="Z782" s="20"/>
      <c r="AA782" s="20"/>
    </row>
    <row r="783" spans="1:27" ht="15.75" customHeight="1">
      <c r="A783" s="48"/>
      <c r="B783" s="56"/>
      <c r="C783" s="56"/>
      <c r="D783" s="57"/>
      <c r="E783" s="20"/>
      <c r="F783" s="58"/>
      <c r="G783" s="20"/>
      <c r="H783" s="60"/>
      <c r="I783" s="60"/>
      <c r="J783" s="61"/>
      <c r="K783" s="61"/>
      <c r="L783" s="59"/>
      <c r="M783" s="59"/>
      <c r="N783" s="59"/>
      <c r="O783" s="59"/>
      <c r="P783" s="20"/>
      <c r="Q783" s="20"/>
      <c r="R783" s="20"/>
      <c r="S783" s="20"/>
      <c r="T783" s="62"/>
      <c r="U783" s="62"/>
      <c r="V783" s="20"/>
      <c r="W783" s="20"/>
      <c r="X783" s="20"/>
      <c r="Y783" s="20"/>
      <c r="Z783" s="20"/>
      <c r="AA783" s="20"/>
    </row>
    <row r="784" spans="1:27" ht="15.75" customHeight="1">
      <c r="A784" s="48"/>
      <c r="B784" s="56"/>
      <c r="C784" s="56"/>
      <c r="D784" s="57"/>
      <c r="E784" s="20"/>
      <c r="F784" s="58"/>
      <c r="G784" s="20"/>
      <c r="H784" s="60"/>
      <c r="I784" s="60"/>
      <c r="J784" s="61"/>
      <c r="K784" s="61"/>
      <c r="L784" s="59"/>
      <c r="M784" s="59"/>
      <c r="N784" s="59"/>
      <c r="O784" s="59"/>
      <c r="P784" s="20"/>
      <c r="Q784" s="20"/>
      <c r="R784" s="20"/>
      <c r="S784" s="20"/>
      <c r="T784" s="62"/>
      <c r="U784" s="62"/>
      <c r="V784" s="20"/>
      <c r="W784" s="20"/>
      <c r="X784" s="20"/>
      <c r="Y784" s="20"/>
      <c r="Z784" s="20"/>
      <c r="AA784" s="20"/>
    </row>
    <row r="785" spans="1:27" ht="15.75" customHeight="1">
      <c r="A785" s="48"/>
      <c r="B785" s="56"/>
      <c r="C785" s="56"/>
      <c r="D785" s="57"/>
      <c r="E785" s="20"/>
      <c r="F785" s="58"/>
      <c r="G785" s="20"/>
      <c r="H785" s="60"/>
      <c r="I785" s="60"/>
      <c r="J785" s="61"/>
      <c r="K785" s="61"/>
      <c r="L785" s="59"/>
      <c r="M785" s="59"/>
      <c r="N785" s="59"/>
      <c r="O785" s="59"/>
      <c r="P785" s="20"/>
      <c r="Q785" s="20"/>
      <c r="R785" s="20"/>
      <c r="S785" s="20"/>
      <c r="T785" s="62"/>
      <c r="U785" s="62"/>
      <c r="V785" s="20"/>
      <c r="W785" s="20"/>
      <c r="X785" s="20"/>
      <c r="Y785" s="20"/>
      <c r="Z785" s="20"/>
      <c r="AA785" s="20"/>
    </row>
    <row r="786" spans="1:27" ht="15.75" customHeight="1">
      <c r="A786" s="48"/>
      <c r="B786" s="56"/>
      <c r="C786" s="56"/>
      <c r="D786" s="57"/>
      <c r="E786" s="20"/>
      <c r="F786" s="58"/>
      <c r="G786" s="20"/>
      <c r="H786" s="60"/>
      <c r="I786" s="60"/>
      <c r="J786" s="61"/>
      <c r="K786" s="61"/>
      <c r="L786" s="59"/>
      <c r="M786" s="59"/>
      <c r="N786" s="59"/>
      <c r="O786" s="59"/>
      <c r="P786" s="20"/>
      <c r="Q786" s="20"/>
      <c r="R786" s="20"/>
      <c r="S786" s="20"/>
      <c r="T786" s="62"/>
      <c r="U786" s="62"/>
      <c r="V786" s="20"/>
      <c r="W786" s="20"/>
      <c r="X786" s="20"/>
      <c r="Y786" s="20"/>
      <c r="Z786" s="20"/>
      <c r="AA786" s="20"/>
    </row>
    <row r="787" spans="1:27" ht="15.75" customHeight="1">
      <c r="A787" s="48"/>
      <c r="B787" s="56"/>
      <c r="C787" s="56"/>
      <c r="D787" s="57"/>
      <c r="E787" s="20"/>
      <c r="F787" s="58"/>
      <c r="G787" s="20"/>
      <c r="H787" s="60"/>
      <c r="I787" s="60"/>
      <c r="J787" s="61"/>
      <c r="K787" s="61"/>
      <c r="L787" s="59"/>
      <c r="M787" s="59"/>
      <c r="N787" s="59"/>
      <c r="O787" s="59"/>
      <c r="P787" s="20"/>
      <c r="Q787" s="20"/>
      <c r="R787" s="20"/>
      <c r="S787" s="20"/>
      <c r="T787" s="62"/>
      <c r="U787" s="62"/>
      <c r="V787" s="20"/>
      <c r="W787" s="20"/>
      <c r="X787" s="20"/>
      <c r="Y787" s="20"/>
      <c r="Z787" s="20"/>
      <c r="AA787" s="20"/>
    </row>
    <row r="788" spans="1:27" ht="15.75" customHeight="1">
      <c r="A788" s="48"/>
      <c r="B788" s="56"/>
      <c r="C788" s="56"/>
      <c r="D788" s="57"/>
      <c r="E788" s="20"/>
      <c r="F788" s="58"/>
      <c r="G788" s="20"/>
      <c r="H788" s="60"/>
      <c r="I788" s="60"/>
      <c r="J788" s="61"/>
      <c r="K788" s="61"/>
      <c r="L788" s="59"/>
      <c r="M788" s="59"/>
      <c r="N788" s="59"/>
      <c r="O788" s="59"/>
      <c r="P788" s="20"/>
      <c r="Q788" s="20"/>
      <c r="R788" s="20"/>
      <c r="S788" s="20"/>
      <c r="T788" s="62"/>
      <c r="U788" s="62"/>
      <c r="V788" s="20"/>
      <c r="W788" s="20"/>
      <c r="X788" s="20"/>
      <c r="Y788" s="20"/>
      <c r="Z788" s="20"/>
      <c r="AA788" s="20"/>
    </row>
    <row r="789" spans="1:27" ht="15.75" customHeight="1">
      <c r="A789" s="48"/>
      <c r="B789" s="56"/>
      <c r="C789" s="56"/>
      <c r="D789" s="57"/>
      <c r="E789" s="20"/>
      <c r="F789" s="58"/>
      <c r="G789" s="20"/>
      <c r="H789" s="60"/>
      <c r="I789" s="60"/>
      <c r="J789" s="61"/>
      <c r="K789" s="61"/>
      <c r="L789" s="59"/>
      <c r="M789" s="59"/>
      <c r="N789" s="59"/>
      <c r="O789" s="59"/>
      <c r="P789" s="20"/>
      <c r="Q789" s="20"/>
      <c r="R789" s="20"/>
      <c r="S789" s="20"/>
      <c r="T789" s="62"/>
      <c r="U789" s="62"/>
      <c r="V789" s="20"/>
      <c r="W789" s="20"/>
      <c r="X789" s="20"/>
      <c r="Y789" s="20"/>
      <c r="Z789" s="20"/>
      <c r="AA789" s="20"/>
    </row>
    <row r="790" spans="1:27" ht="15.75" customHeight="1">
      <c r="A790" s="48"/>
      <c r="B790" s="56"/>
      <c r="C790" s="56"/>
      <c r="D790" s="57"/>
      <c r="E790" s="20"/>
      <c r="F790" s="58"/>
      <c r="G790" s="20"/>
      <c r="H790" s="60"/>
      <c r="I790" s="60"/>
      <c r="J790" s="61"/>
      <c r="K790" s="61"/>
      <c r="L790" s="59"/>
      <c r="M790" s="59"/>
      <c r="N790" s="59"/>
      <c r="O790" s="59"/>
      <c r="P790" s="20"/>
      <c r="Q790" s="20"/>
      <c r="R790" s="20"/>
      <c r="S790" s="20"/>
      <c r="T790" s="62"/>
      <c r="U790" s="62"/>
      <c r="V790" s="20"/>
      <c r="W790" s="20"/>
      <c r="X790" s="20"/>
      <c r="Y790" s="20"/>
      <c r="Z790" s="20"/>
      <c r="AA790" s="20"/>
    </row>
    <row r="791" spans="1:27" ht="15.75" customHeight="1">
      <c r="A791" s="48"/>
      <c r="B791" s="56"/>
      <c r="C791" s="56"/>
      <c r="D791" s="57"/>
      <c r="E791" s="20"/>
      <c r="F791" s="58"/>
      <c r="G791" s="20"/>
      <c r="H791" s="60"/>
      <c r="I791" s="60"/>
      <c r="J791" s="61"/>
      <c r="K791" s="61"/>
      <c r="L791" s="59"/>
      <c r="M791" s="59"/>
      <c r="N791" s="59"/>
      <c r="O791" s="59"/>
      <c r="P791" s="20"/>
      <c r="Q791" s="20"/>
      <c r="R791" s="20"/>
      <c r="S791" s="20"/>
      <c r="T791" s="62"/>
      <c r="U791" s="62"/>
      <c r="V791" s="20"/>
      <c r="W791" s="20"/>
      <c r="X791" s="20"/>
      <c r="Y791" s="20"/>
      <c r="Z791" s="20"/>
      <c r="AA791" s="20"/>
    </row>
    <row r="792" spans="1:27" ht="15.75" customHeight="1">
      <c r="A792" s="48"/>
      <c r="B792" s="56"/>
      <c r="C792" s="56"/>
      <c r="D792" s="57"/>
      <c r="E792" s="20"/>
      <c r="F792" s="58"/>
      <c r="G792" s="20"/>
      <c r="H792" s="60"/>
      <c r="I792" s="60"/>
      <c r="J792" s="61"/>
      <c r="K792" s="61"/>
      <c r="L792" s="59"/>
      <c r="M792" s="59"/>
      <c r="N792" s="59"/>
      <c r="O792" s="59"/>
      <c r="P792" s="20"/>
      <c r="Q792" s="20"/>
      <c r="R792" s="20"/>
      <c r="S792" s="20"/>
      <c r="T792" s="62"/>
      <c r="U792" s="62"/>
      <c r="V792" s="20"/>
      <c r="W792" s="20"/>
      <c r="X792" s="20"/>
      <c r="Y792" s="20"/>
      <c r="Z792" s="20"/>
      <c r="AA792" s="20"/>
    </row>
    <row r="793" spans="1:27" ht="15.75" customHeight="1">
      <c r="A793" s="48"/>
      <c r="B793" s="56"/>
      <c r="C793" s="56"/>
      <c r="D793" s="57"/>
      <c r="E793" s="20"/>
      <c r="F793" s="58"/>
      <c r="G793" s="20"/>
      <c r="H793" s="60"/>
      <c r="I793" s="60"/>
      <c r="J793" s="61"/>
      <c r="K793" s="61"/>
      <c r="L793" s="59"/>
      <c r="M793" s="59"/>
      <c r="N793" s="59"/>
      <c r="O793" s="59"/>
      <c r="P793" s="20"/>
      <c r="Q793" s="20"/>
      <c r="R793" s="20"/>
      <c r="S793" s="20"/>
      <c r="T793" s="62"/>
      <c r="U793" s="62"/>
      <c r="V793" s="20"/>
      <c r="W793" s="20"/>
      <c r="X793" s="20"/>
      <c r="Y793" s="20"/>
      <c r="Z793" s="20"/>
      <c r="AA793" s="20"/>
    </row>
    <row r="794" spans="1:27" ht="15.75" customHeight="1">
      <c r="A794" s="48"/>
      <c r="B794" s="56"/>
      <c r="C794" s="56"/>
      <c r="D794" s="57"/>
      <c r="E794" s="20"/>
      <c r="F794" s="58"/>
      <c r="G794" s="20"/>
      <c r="H794" s="60"/>
      <c r="I794" s="60"/>
      <c r="J794" s="61"/>
      <c r="K794" s="61"/>
      <c r="L794" s="59"/>
      <c r="M794" s="59"/>
      <c r="N794" s="59"/>
      <c r="O794" s="59"/>
      <c r="P794" s="20"/>
      <c r="Q794" s="20"/>
      <c r="R794" s="20"/>
      <c r="S794" s="20"/>
      <c r="T794" s="62"/>
      <c r="U794" s="62"/>
      <c r="V794" s="20"/>
      <c r="W794" s="20"/>
      <c r="X794" s="20"/>
      <c r="Y794" s="20"/>
      <c r="Z794" s="20"/>
      <c r="AA794" s="20"/>
    </row>
    <row r="795" spans="1:27" ht="15.75" customHeight="1">
      <c r="A795" s="48"/>
      <c r="B795" s="56"/>
      <c r="C795" s="56"/>
      <c r="D795" s="57"/>
      <c r="E795" s="20"/>
      <c r="F795" s="58"/>
      <c r="G795" s="20"/>
      <c r="H795" s="60"/>
      <c r="I795" s="60"/>
      <c r="J795" s="61"/>
      <c r="K795" s="61"/>
      <c r="L795" s="59"/>
      <c r="M795" s="59"/>
      <c r="N795" s="59"/>
      <c r="O795" s="59"/>
      <c r="P795" s="20"/>
      <c r="Q795" s="20"/>
      <c r="R795" s="20"/>
      <c r="S795" s="20"/>
      <c r="T795" s="62"/>
      <c r="U795" s="62"/>
      <c r="V795" s="20"/>
      <c r="W795" s="20"/>
      <c r="X795" s="20"/>
      <c r="Y795" s="20"/>
      <c r="Z795" s="20"/>
      <c r="AA795" s="20"/>
    </row>
    <row r="796" spans="1:27" ht="15.75" customHeight="1">
      <c r="A796" s="48"/>
      <c r="B796" s="56"/>
      <c r="C796" s="56"/>
      <c r="D796" s="57"/>
      <c r="E796" s="20"/>
      <c r="F796" s="58"/>
      <c r="G796" s="20"/>
      <c r="H796" s="60"/>
      <c r="I796" s="60"/>
      <c r="J796" s="61"/>
      <c r="K796" s="61"/>
      <c r="L796" s="59"/>
      <c r="M796" s="59"/>
      <c r="N796" s="59"/>
      <c r="O796" s="59"/>
      <c r="P796" s="20"/>
      <c r="Q796" s="20"/>
      <c r="R796" s="20"/>
      <c r="S796" s="20"/>
      <c r="T796" s="62"/>
      <c r="U796" s="62"/>
      <c r="V796" s="20"/>
      <c r="W796" s="20"/>
      <c r="X796" s="20"/>
      <c r="Y796" s="20"/>
      <c r="Z796" s="20"/>
      <c r="AA796" s="20"/>
    </row>
    <row r="797" spans="1:27" ht="15.75" customHeight="1">
      <c r="A797" s="48"/>
      <c r="B797" s="56"/>
      <c r="C797" s="56"/>
      <c r="D797" s="57"/>
      <c r="E797" s="20"/>
      <c r="F797" s="58"/>
      <c r="G797" s="20"/>
      <c r="H797" s="60"/>
      <c r="I797" s="60"/>
      <c r="J797" s="61"/>
      <c r="K797" s="61"/>
      <c r="L797" s="59"/>
      <c r="M797" s="59"/>
      <c r="N797" s="59"/>
      <c r="O797" s="59"/>
      <c r="P797" s="20"/>
      <c r="Q797" s="20"/>
      <c r="R797" s="20"/>
      <c r="S797" s="20"/>
      <c r="T797" s="62"/>
      <c r="U797" s="62"/>
      <c r="V797" s="20"/>
      <c r="W797" s="20"/>
      <c r="X797" s="20"/>
      <c r="Y797" s="20"/>
      <c r="Z797" s="20"/>
      <c r="AA797" s="20"/>
    </row>
    <row r="798" spans="1:27" ht="15.75" customHeight="1">
      <c r="A798" s="48"/>
      <c r="B798" s="56"/>
      <c r="C798" s="56"/>
      <c r="D798" s="57"/>
      <c r="E798" s="20"/>
      <c r="F798" s="58"/>
      <c r="G798" s="20"/>
      <c r="H798" s="60"/>
      <c r="I798" s="60"/>
      <c r="J798" s="61"/>
      <c r="K798" s="61"/>
      <c r="L798" s="59"/>
      <c r="M798" s="59"/>
      <c r="N798" s="59"/>
      <c r="O798" s="59"/>
      <c r="P798" s="20"/>
      <c r="Q798" s="20"/>
      <c r="R798" s="20"/>
      <c r="S798" s="20"/>
      <c r="T798" s="62"/>
      <c r="U798" s="62"/>
      <c r="V798" s="20"/>
      <c r="W798" s="20"/>
      <c r="X798" s="20"/>
      <c r="Y798" s="20"/>
      <c r="Z798" s="20"/>
      <c r="AA798" s="20"/>
    </row>
    <row r="799" spans="1:27" ht="15.75" customHeight="1">
      <c r="A799" s="48"/>
      <c r="B799" s="56"/>
      <c r="C799" s="56"/>
      <c r="D799" s="57"/>
      <c r="E799" s="20"/>
      <c r="F799" s="58"/>
      <c r="G799" s="20"/>
      <c r="H799" s="60"/>
      <c r="I799" s="60"/>
      <c r="J799" s="61"/>
      <c r="K799" s="61"/>
      <c r="L799" s="59"/>
      <c r="M799" s="59"/>
      <c r="N799" s="59"/>
      <c r="O799" s="59"/>
      <c r="P799" s="20"/>
      <c r="Q799" s="20"/>
      <c r="R799" s="20"/>
      <c r="S799" s="20"/>
      <c r="T799" s="62"/>
      <c r="U799" s="62"/>
      <c r="V799" s="20"/>
      <c r="W799" s="20"/>
      <c r="X799" s="20"/>
      <c r="Y799" s="20"/>
      <c r="Z799" s="20"/>
      <c r="AA799" s="20"/>
    </row>
    <row r="800" spans="1:27" ht="15.75" customHeight="1">
      <c r="A800" s="48"/>
      <c r="B800" s="56"/>
      <c r="C800" s="56"/>
      <c r="D800" s="57"/>
      <c r="E800" s="20"/>
      <c r="F800" s="58"/>
      <c r="G800" s="20"/>
      <c r="H800" s="60"/>
      <c r="I800" s="60"/>
      <c r="J800" s="61"/>
      <c r="K800" s="61"/>
      <c r="L800" s="59"/>
      <c r="M800" s="59"/>
      <c r="N800" s="59"/>
      <c r="O800" s="59"/>
      <c r="P800" s="20"/>
      <c r="Q800" s="20"/>
      <c r="R800" s="20"/>
      <c r="S800" s="20"/>
      <c r="T800" s="62"/>
      <c r="U800" s="62"/>
      <c r="V800" s="20"/>
      <c r="W800" s="20"/>
      <c r="X800" s="20"/>
      <c r="Y800" s="20"/>
      <c r="Z800" s="20"/>
      <c r="AA800" s="20"/>
    </row>
    <row r="801" spans="1:27" ht="15.75" customHeight="1">
      <c r="A801" s="48"/>
      <c r="B801" s="56"/>
      <c r="C801" s="56"/>
      <c r="D801" s="57"/>
      <c r="E801" s="20"/>
      <c r="F801" s="58"/>
      <c r="G801" s="20"/>
      <c r="H801" s="60"/>
      <c r="I801" s="60"/>
      <c r="J801" s="61"/>
      <c r="K801" s="61"/>
      <c r="L801" s="59"/>
      <c r="M801" s="59"/>
      <c r="N801" s="59"/>
      <c r="O801" s="59"/>
      <c r="P801" s="20"/>
      <c r="Q801" s="20"/>
      <c r="R801" s="20"/>
      <c r="S801" s="20"/>
      <c r="T801" s="62"/>
      <c r="U801" s="62"/>
      <c r="V801" s="20"/>
      <c r="W801" s="20"/>
      <c r="X801" s="20"/>
      <c r="Y801" s="20"/>
      <c r="Z801" s="20"/>
      <c r="AA801" s="20"/>
    </row>
    <row r="802" spans="1:27" ht="15.75" customHeight="1">
      <c r="A802" s="48"/>
      <c r="B802" s="56"/>
      <c r="C802" s="56"/>
      <c r="D802" s="57"/>
      <c r="E802" s="20"/>
      <c r="F802" s="58"/>
      <c r="G802" s="20"/>
      <c r="H802" s="60"/>
      <c r="I802" s="60"/>
      <c r="J802" s="61"/>
      <c r="K802" s="61"/>
      <c r="L802" s="59"/>
      <c r="M802" s="59"/>
      <c r="N802" s="59"/>
      <c r="O802" s="59"/>
      <c r="P802" s="20"/>
      <c r="Q802" s="20"/>
      <c r="R802" s="20"/>
      <c r="S802" s="20"/>
      <c r="T802" s="62"/>
      <c r="U802" s="62"/>
      <c r="V802" s="20"/>
      <c r="W802" s="20"/>
      <c r="X802" s="20"/>
      <c r="Y802" s="20"/>
      <c r="Z802" s="20"/>
      <c r="AA802" s="20"/>
    </row>
    <row r="803" spans="1:27" ht="15.75" customHeight="1">
      <c r="A803" s="48"/>
      <c r="B803" s="56"/>
      <c r="C803" s="56"/>
      <c r="D803" s="57"/>
      <c r="E803" s="20"/>
      <c r="F803" s="58"/>
      <c r="G803" s="20"/>
      <c r="H803" s="60"/>
      <c r="I803" s="60"/>
      <c r="J803" s="61"/>
      <c r="K803" s="61"/>
      <c r="L803" s="59"/>
      <c r="M803" s="59"/>
      <c r="N803" s="59"/>
      <c r="O803" s="59"/>
      <c r="P803" s="20"/>
      <c r="Q803" s="20"/>
      <c r="R803" s="20"/>
      <c r="S803" s="20"/>
      <c r="T803" s="62"/>
      <c r="U803" s="62"/>
      <c r="V803" s="20"/>
      <c r="W803" s="20"/>
      <c r="X803" s="20"/>
      <c r="Y803" s="20"/>
      <c r="Z803" s="20"/>
      <c r="AA803" s="20"/>
    </row>
    <row r="804" spans="1:27" ht="15.75" customHeight="1">
      <c r="A804" s="48"/>
      <c r="B804" s="56"/>
      <c r="C804" s="56"/>
      <c r="D804" s="57"/>
      <c r="E804" s="20"/>
      <c r="F804" s="58"/>
      <c r="G804" s="20"/>
      <c r="H804" s="60"/>
      <c r="I804" s="60"/>
      <c r="J804" s="61"/>
      <c r="K804" s="61"/>
      <c r="L804" s="59"/>
      <c r="M804" s="59"/>
      <c r="N804" s="59"/>
      <c r="O804" s="59"/>
      <c r="P804" s="20"/>
      <c r="Q804" s="20"/>
      <c r="R804" s="20"/>
      <c r="S804" s="20"/>
      <c r="T804" s="62"/>
      <c r="U804" s="62"/>
      <c r="V804" s="20"/>
      <c r="W804" s="20"/>
      <c r="X804" s="20"/>
      <c r="Y804" s="20"/>
      <c r="Z804" s="20"/>
      <c r="AA804" s="20"/>
    </row>
    <row r="805" spans="1:27" ht="15.75" customHeight="1">
      <c r="A805" s="48"/>
      <c r="B805" s="56"/>
      <c r="C805" s="56"/>
      <c r="D805" s="57"/>
      <c r="E805" s="20"/>
      <c r="F805" s="58"/>
      <c r="G805" s="20"/>
      <c r="H805" s="60"/>
      <c r="I805" s="60"/>
      <c r="J805" s="61"/>
      <c r="K805" s="61"/>
      <c r="L805" s="59"/>
      <c r="M805" s="59"/>
      <c r="N805" s="59"/>
      <c r="O805" s="59"/>
      <c r="P805" s="20"/>
      <c r="Q805" s="20"/>
      <c r="R805" s="20"/>
      <c r="S805" s="20"/>
      <c r="T805" s="62"/>
      <c r="U805" s="62"/>
      <c r="V805" s="20"/>
      <c r="W805" s="20"/>
      <c r="X805" s="20"/>
      <c r="Y805" s="20"/>
      <c r="Z805" s="20"/>
      <c r="AA805" s="20"/>
    </row>
    <row r="806" spans="1:27" ht="15.75" customHeight="1">
      <c r="A806" s="48"/>
      <c r="B806" s="56"/>
      <c r="C806" s="56"/>
      <c r="D806" s="57"/>
      <c r="E806" s="20"/>
      <c r="F806" s="58"/>
      <c r="G806" s="20"/>
      <c r="H806" s="60"/>
      <c r="I806" s="60"/>
      <c r="J806" s="61"/>
      <c r="K806" s="61"/>
      <c r="L806" s="59"/>
      <c r="M806" s="59"/>
      <c r="N806" s="59"/>
      <c r="O806" s="59"/>
      <c r="P806" s="20"/>
      <c r="Q806" s="20"/>
      <c r="R806" s="20"/>
      <c r="S806" s="20"/>
      <c r="T806" s="62"/>
      <c r="U806" s="62"/>
      <c r="V806" s="20"/>
      <c r="W806" s="20"/>
      <c r="X806" s="20"/>
      <c r="Y806" s="20"/>
      <c r="Z806" s="20"/>
      <c r="AA806" s="20"/>
    </row>
    <row r="807" spans="1:27" ht="15.75" customHeight="1">
      <c r="A807" s="48"/>
      <c r="B807" s="56"/>
      <c r="C807" s="56"/>
      <c r="D807" s="57"/>
      <c r="E807" s="20"/>
      <c r="F807" s="58"/>
      <c r="G807" s="20"/>
      <c r="H807" s="60"/>
      <c r="I807" s="60"/>
      <c r="J807" s="61"/>
      <c r="K807" s="61"/>
      <c r="L807" s="59"/>
      <c r="M807" s="59"/>
      <c r="N807" s="59"/>
      <c r="O807" s="59"/>
      <c r="P807" s="20"/>
      <c r="Q807" s="20"/>
      <c r="R807" s="20"/>
      <c r="S807" s="20"/>
      <c r="T807" s="62"/>
      <c r="U807" s="62"/>
      <c r="V807" s="20"/>
      <c r="W807" s="20"/>
      <c r="X807" s="20"/>
      <c r="Y807" s="20"/>
      <c r="Z807" s="20"/>
      <c r="AA807" s="20"/>
    </row>
    <row r="808" spans="1:27" ht="15.75" customHeight="1">
      <c r="A808" s="48"/>
      <c r="B808" s="56"/>
      <c r="C808" s="56"/>
      <c r="D808" s="57"/>
      <c r="E808" s="20"/>
      <c r="F808" s="58"/>
      <c r="G808" s="20"/>
      <c r="H808" s="60"/>
      <c r="I808" s="60"/>
      <c r="J808" s="61"/>
      <c r="K808" s="61"/>
      <c r="L808" s="59"/>
      <c r="M808" s="59"/>
      <c r="N808" s="59"/>
      <c r="O808" s="59"/>
      <c r="P808" s="20"/>
      <c r="Q808" s="20"/>
      <c r="R808" s="20"/>
      <c r="S808" s="20"/>
      <c r="T808" s="62"/>
      <c r="U808" s="62"/>
      <c r="V808" s="20"/>
      <c r="W808" s="20"/>
      <c r="X808" s="20"/>
      <c r="Y808" s="20"/>
      <c r="Z808" s="20"/>
      <c r="AA808" s="20"/>
    </row>
    <row r="809" spans="1:27" ht="15.75" customHeight="1">
      <c r="A809" s="48"/>
      <c r="B809" s="56"/>
      <c r="C809" s="56"/>
      <c r="D809" s="57"/>
      <c r="E809" s="20"/>
      <c r="F809" s="58"/>
      <c r="G809" s="20"/>
      <c r="H809" s="60"/>
      <c r="I809" s="60"/>
      <c r="J809" s="61"/>
      <c r="K809" s="61"/>
      <c r="L809" s="59"/>
      <c r="M809" s="59"/>
      <c r="N809" s="59"/>
      <c r="O809" s="59"/>
      <c r="P809" s="20"/>
      <c r="Q809" s="20"/>
      <c r="R809" s="20"/>
      <c r="S809" s="20"/>
      <c r="T809" s="62"/>
      <c r="U809" s="62"/>
      <c r="V809" s="20"/>
      <c r="W809" s="20"/>
      <c r="X809" s="20"/>
      <c r="Y809" s="20"/>
      <c r="Z809" s="20"/>
      <c r="AA809" s="20"/>
    </row>
    <row r="810" spans="1:27" ht="15.75" customHeight="1">
      <c r="A810" s="48"/>
      <c r="B810" s="56"/>
      <c r="C810" s="56"/>
      <c r="D810" s="57"/>
      <c r="E810" s="20"/>
      <c r="F810" s="58"/>
      <c r="G810" s="20"/>
      <c r="H810" s="60"/>
      <c r="I810" s="60"/>
      <c r="J810" s="61"/>
      <c r="K810" s="61"/>
      <c r="L810" s="59"/>
      <c r="M810" s="59"/>
      <c r="N810" s="59"/>
      <c r="O810" s="59"/>
      <c r="P810" s="20"/>
      <c r="Q810" s="20"/>
      <c r="R810" s="20"/>
      <c r="S810" s="20"/>
      <c r="T810" s="62"/>
      <c r="U810" s="62"/>
      <c r="V810" s="20"/>
      <c r="W810" s="20"/>
      <c r="X810" s="20"/>
      <c r="Y810" s="20"/>
      <c r="Z810" s="20"/>
      <c r="AA810" s="20"/>
    </row>
    <row r="811" spans="1:27" ht="15.75" customHeight="1">
      <c r="A811" s="48"/>
      <c r="B811" s="56"/>
      <c r="C811" s="56"/>
      <c r="D811" s="57"/>
      <c r="E811" s="20"/>
      <c r="F811" s="58"/>
      <c r="G811" s="20"/>
      <c r="H811" s="60"/>
      <c r="I811" s="60"/>
      <c r="J811" s="61"/>
      <c r="K811" s="61"/>
      <c r="L811" s="59"/>
      <c r="M811" s="59"/>
      <c r="N811" s="59"/>
      <c r="O811" s="59"/>
      <c r="P811" s="20"/>
      <c r="Q811" s="20"/>
      <c r="R811" s="20"/>
      <c r="S811" s="20"/>
      <c r="T811" s="62"/>
      <c r="U811" s="62"/>
      <c r="V811" s="20"/>
      <c r="W811" s="20"/>
      <c r="X811" s="20"/>
      <c r="Y811" s="20"/>
      <c r="Z811" s="20"/>
      <c r="AA811" s="20"/>
    </row>
    <row r="812" spans="1:27" ht="15.75" customHeight="1">
      <c r="A812" s="48"/>
      <c r="B812" s="56"/>
      <c r="C812" s="56"/>
      <c r="D812" s="57"/>
      <c r="E812" s="20"/>
      <c r="F812" s="58"/>
      <c r="G812" s="20"/>
      <c r="H812" s="60"/>
      <c r="I812" s="60"/>
      <c r="J812" s="61"/>
      <c r="K812" s="61"/>
      <c r="L812" s="59"/>
      <c r="M812" s="59"/>
      <c r="N812" s="59"/>
      <c r="O812" s="59"/>
      <c r="P812" s="20"/>
      <c r="Q812" s="20"/>
      <c r="R812" s="20"/>
      <c r="S812" s="20"/>
      <c r="T812" s="62"/>
      <c r="U812" s="62"/>
      <c r="V812" s="20"/>
      <c r="W812" s="20"/>
      <c r="X812" s="20"/>
      <c r="Y812" s="20"/>
      <c r="Z812" s="20"/>
      <c r="AA812" s="20"/>
    </row>
    <row r="813" spans="1:27" ht="15.75" customHeight="1">
      <c r="A813" s="48"/>
      <c r="B813" s="56"/>
      <c r="C813" s="56"/>
      <c r="D813" s="57"/>
      <c r="E813" s="20"/>
      <c r="F813" s="58"/>
      <c r="G813" s="20"/>
      <c r="H813" s="60"/>
      <c r="I813" s="60"/>
      <c r="J813" s="61"/>
      <c r="K813" s="61"/>
      <c r="L813" s="59"/>
      <c r="M813" s="59"/>
      <c r="N813" s="59"/>
      <c r="O813" s="59"/>
      <c r="P813" s="20"/>
      <c r="Q813" s="20"/>
      <c r="R813" s="20"/>
      <c r="S813" s="20"/>
      <c r="T813" s="62"/>
      <c r="U813" s="62"/>
      <c r="V813" s="20"/>
      <c r="W813" s="20"/>
      <c r="X813" s="20"/>
      <c r="Y813" s="20"/>
      <c r="Z813" s="20"/>
      <c r="AA813" s="20"/>
    </row>
    <row r="814" spans="1:27" ht="15.75" customHeight="1">
      <c r="A814" s="48"/>
      <c r="B814" s="56"/>
      <c r="C814" s="56"/>
      <c r="D814" s="57"/>
      <c r="E814" s="20"/>
      <c r="F814" s="58"/>
      <c r="G814" s="20"/>
      <c r="H814" s="60"/>
      <c r="I814" s="60"/>
      <c r="J814" s="61"/>
      <c r="K814" s="61"/>
      <c r="L814" s="59"/>
      <c r="M814" s="59"/>
      <c r="N814" s="59"/>
      <c r="O814" s="59"/>
      <c r="P814" s="20"/>
      <c r="Q814" s="20"/>
      <c r="R814" s="20"/>
      <c r="S814" s="20"/>
      <c r="T814" s="62"/>
      <c r="U814" s="62"/>
      <c r="V814" s="20"/>
      <c r="W814" s="20"/>
      <c r="X814" s="20"/>
      <c r="Y814" s="20"/>
      <c r="Z814" s="20"/>
      <c r="AA814" s="20"/>
    </row>
    <row r="815" spans="1:27" ht="15.75" customHeight="1">
      <c r="A815" s="48"/>
      <c r="B815" s="56"/>
      <c r="C815" s="56"/>
      <c r="D815" s="57"/>
      <c r="E815" s="20"/>
      <c r="F815" s="58"/>
      <c r="G815" s="20"/>
      <c r="H815" s="60"/>
      <c r="I815" s="60"/>
      <c r="J815" s="61"/>
      <c r="K815" s="61"/>
      <c r="L815" s="59"/>
      <c r="M815" s="59"/>
      <c r="N815" s="59"/>
      <c r="O815" s="59"/>
      <c r="P815" s="20"/>
      <c r="Q815" s="20"/>
      <c r="R815" s="20"/>
      <c r="S815" s="20"/>
      <c r="T815" s="62"/>
      <c r="U815" s="62"/>
      <c r="V815" s="20"/>
      <c r="W815" s="20"/>
      <c r="X815" s="20"/>
      <c r="Y815" s="20"/>
      <c r="Z815" s="20"/>
      <c r="AA815" s="20"/>
    </row>
    <row r="816" spans="1:27" ht="15.75" customHeight="1">
      <c r="A816" s="48"/>
      <c r="B816" s="56"/>
      <c r="C816" s="56"/>
      <c r="D816" s="57"/>
      <c r="E816" s="20"/>
      <c r="F816" s="58"/>
      <c r="G816" s="20"/>
      <c r="H816" s="60"/>
      <c r="I816" s="60"/>
      <c r="J816" s="61"/>
      <c r="K816" s="61"/>
      <c r="L816" s="59"/>
      <c r="M816" s="59"/>
      <c r="N816" s="59"/>
      <c r="O816" s="59"/>
      <c r="P816" s="20"/>
      <c r="Q816" s="20"/>
      <c r="R816" s="20"/>
      <c r="S816" s="20"/>
      <c r="T816" s="62"/>
      <c r="U816" s="62"/>
      <c r="V816" s="20"/>
      <c r="W816" s="20"/>
      <c r="X816" s="20"/>
      <c r="Y816" s="20"/>
      <c r="Z816" s="20"/>
      <c r="AA816" s="20"/>
    </row>
    <row r="817" spans="1:27" ht="15.75" customHeight="1">
      <c r="A817" s="48"/>
      <c r="B817" s="56"/>
      <c r="C817" s="56"/>
      <c r="D817" s="57"/>
      <c r="E817" s="20"/>
      <c r="F817" s="58"/>
      <c r="G817" s="20"/>
      <c r="H817" s="60"/>
      <c r="I817" s="60"/>
      <c r="J817" s="61"/>
      <c r="K817" s="61"/>
      <c r="L817" s="59"/>
      <c r="M817" s="59"/>
      <c r="N817" s="59"/>
      <c r="O817" s="59"/>
      <c r="P817" s="20"/>
      <c r="Q817" s="20"/>
      <c r="R817" s="20"/>
      <c r="S817" s="20"/>
      <c r="T817" s="62"/>
      <c r="U817" s="62"/>
      <c r="V817" s="20"/>
      <c r="W817" s="20"/>
      <c r="X817" s="20"/>
      <c r="Y817" s="20"/>
      <c r="Z817" s="20"/>
      <c r="AA817" s="20"/>
    </row>
    <row r="818" spans="1:27" ht="15.75" customHeight="1">
      <c r="A818" s="48"/>
      <c r="B818" s="56"/>
      <c r="C818" s="56"/>
      <c r="D818" s="57"/>
      <c r="E818" s="20"/>
      <c r="F818" s="58"/>
      <c r="G818" s="20"/>
      <c r="H818" s="60"/>
      <c r="I818" s="60"/>
      <c r="J818" s="61"/>
      <c r="K818" s="61"/>
      <c r="L818" s="59"/>
      <c r="M818" s="59"/>
      <c r="N818" s="59"/>
      <c r="O818" s="59"/>
      <c r="P818" s="20"/>
      <c r="Q818" s="20"/>
      <c r="R818" s="20"/>
      <c r="S818" s="20"/>
      <c r="T818" s="62"/>
      <c r="U818" s="62"/>
      <c r="V818" s="20"/>
      <c r="W818" s="20"/>
      <c r="X818" s="20"/>
      <c r="Y818" s="20"/>
      <c r="Z818" s="20"/>
      <c r="AA818" s="20"/>
    </row>
    <row r="819" spans="1:27" ht="15.75" customHeight="1">
      <c r="A819" s="48"/>
      <c r="B819" s="56"/>
      <c r="C819" s="56"/>
      <c r="D819" s="57"/>
      <c r="E819" s="20"/>
      <c r="F819" s="58"/>
      <c r="G819" s="20"/>
      <c r="H819" s="60"/>
      <c r="I819" s="60"/>
      <c r="J819" s="61"/>
      <c r="K819" s="61"/>
      <c r="L819" s="59"/>
      <c r="M819" s="59"/>
      <c r="N819" s="59"/>
      <c r="O819" s="59"/>
      <c r="P819" s="20"/>
      <c r="Q819" s="20"/>
      <c r="R819" s="20"/>
      <c r="S819" s="20"/>
      <c r="T819" s="62"/>
      <c r="U819" s="62"/>
      <c r="V819" s="20"/>
      <c r="W819" s="20"/>
      <c r="X819" s="20"/>
      <c r="Y819" s="20"/>
      <c r="Z819" s="20"/>
      <c r="AA819" s="20"/>
    </row>
    <row r="820" spans="1:27" ht="15.75" customHeight="1">
      <c r="A820" s="48"/>
      <c r="B820" s="56"/>
      <c r="C820" s="56"/>
      <c r="D820" s="57"/>
      <c r="E820" s="20"/>
      <c r="F820" s="58"/>
      <c r="G820" s="20"/>
      <c r="H820" s="60"/>
      <c r="I820" s="60"/>
      <c r="J820" s="61"/>
      <c r="K820" s="61"/>
      <c r="L820" s="59"/>
      <c r="M820" s="59"/>
      <c r="N820" s="59"/>
      <c r="O820" s="59"/>
      <c r="P820" s="20"/>
      <c r="Q820" s="20"/>
      <c r="R820" s="20"/>
      <c r="S820" s="20"/>
      <c r="T820" s="62"/>
      <c r="U820" s="62"/>
      <c r="V820" s="20"/>
      <c r="W820" s="20"/>
      <c r="X820" s="20"/>
      <c r="Y820" s="20"/>
      <c r="Z820" s="20"/>
      <c r="AA820" s="20"/>
    </row>
    <row r="821" spans="1:27" ht="15.75" customHeight="1">
      <c r="A821" s="48"/>
      <c r="B821" s="56"/>
      <c r="C821" s="56"/>
      <c r="D821" s="57"/>
      <c r="E821" s="20"/>
      <c r="F821" s="58"/>
      <c r="G821" s="20"/>
      <c r="H821" s="60"/>
      <c r="I821" s="60"/>
      <c r="J821" s="61"/>
      <c r="K821" s="61"/>
      <c r="L821" s="59"/>
      <c r="M821" s="59"/>
      <c r="N821" s="59"/>
      <c r="O821" s="59"/>
      <c r="P821" s="20"/>
      <c r="Q821" s="20"/>
      <c r="R821" s="20"/>
      <c r="S821" s="20"/>
      <c r="T821" s="62"/>
      <c r="U821" s="62"/>
      <c r="V821" s="20"/>
      <c r="W821" s="20"/>
      <c r="X821" s="20"/>
      <c r="Y821" s="20"/>
      <c r="Z821" s="20"/>
      <c r="AA821" s="20"/>
    </row>
    <row r="822" spans="1:27" ht="15.75" customHeight="1">
      <c r="A822" s="48"/>
      <c r="B822" s="56"/>
      <c r="C822" s="56"/>
      <c r="D822" s="57"/>
      <c r="E822" s="20"/>
      <c r="F822" s="58"/>
      <c r="G822" s="20"/>
      <c r="H822" s="60"/>
      <c r="I822" s="60"/>
      <c r="J822" s="61"/>
      <c r="K822" s="61"/>
      <c r="L822" s="59"/>
      <c r="M822" s="59"/>
      <c r="N822" s="59"/>
      <c r="O822" s="59"/>
      <c r="P822" s="20"/>
      <c r="Q822" s="20"/>
      <c r="R822" s="20"/>
      <c r="S822" s="20"/>
      <c r="T822" s="62"/>
      <c r="U822" s="62"/>
      <c r="V822" s="20"/>
      <c r="W822" s="20"/>
      <c r="X822" s="20"/>
      <c r="Y822" s="20"/>
      <c r="Z822" s="20"/>
      <c r="AA822" s="20"/>
    </row>
    <row r="823" spans="1:27" ht="15.75" customHeight="1">
      <c r="A823" s="48"/>
      <c r="B823" s="56"/>
      <c r="C823" s="56"/>
      <c r="D823" s="57"/>
      <c r="E823" s="20"/>
      <c r="F823" s="58"/>
      <c r="G823" s="20"/>
      <c r="H823" s="60"/>
      <c r="I823" s="60"/>
      <c r="J823" s="61"/>
      <c r="K823" s="61"/>
      <c r="L823" s="59"/>
      <c r="M823" s="59"/>
      <c r="N823" s="59"/>
      <c r="O823" s="59"/>
      <c r="P823" s="20"/>
      <c r="Q823" s="20"/>
      <c r="R823" s="20"/>
      <c r="S823" s="20"/>
      <c r="T823" s="62"/>
      <c r="U823" s="62"/>
      <c r="V823" s="20"/>
      <c r="W823" s="20"/>
      <c r="X823" s="20"/>
      <c r="Y823" s="20"/>
      <c r="Z823" s="20"/>
      <c r="AA823" s="20"/>
    </row>
    <row r="824" spans="1:27" ht="15.75" customHeight="1">
      <c r="A824" s="48"/>
      <c r="B824" s="56"/>
      <c r="C824" s="56"/>
      <c r="D824" s="57"/>
      <c r="E824" s="20"/>
      <c r="F824" s="58"/>
      <c r="G824" s="20"/>
      <c r="H824" s="60"/>
      <c r="I824" s="60"/>
      <c r="J824" s="61"/>
      <c r="K824" s="61"/>
      <c r="L824" s="59"/>
      <c r="M824" s="59"/>
      <c r="N824" s="59"/>
      <c r="O824" s="59"/>
      <c r="P824" s="20"/>
      <c r="Q824" s="20"/>
      <c r="R824" s="20"/>
      <c r="S824" s="20"/>
      <c r="T824" s="62"/>
      <c r="U824" s="62"/>
      <c r="V824" s="20"/>
      <c r="W824" s="20"/>
      <c r="X824" s="20"/>
      <c r="Y824" s="20"/>
      <c r="Z824" s="20"/>
      <c r="AA824" s="20"/>
    </row>
    <row r="825" spans="1:27" ht="15.75" customHeight="1">
      <c r="A825" s="48"/>
      <c r="B825" s="56"/>
      <c r="C825" s="56"/>
      <c r="D825" s="57"/>
      <c r="E825" s="20"/>
      <c r="F825" s="58"/>
      <c r="G825" s="20"/>
      <c r="H825" s="60"/>
      <c r="I825" s="60"/>
      <c r="J825" s="61"/>
      <c r="K825" s="61"/>
      <c r="L825" s="59"/>
      <c r="M825" s="59"/>
      <c r="N825" s="59"/>
      <c r="O825" s="59"/>
      <c r="P825" s="20"/>
      <c r="Q825" s="20"/>
      <c r="R825" s="20"/>
      <c r="S825" s="20"/>
      <c r="T825" s="62"/>
      <c r="U825" s="62"/>
      <c r="V825" s="20"/>
      <c r="W825" s="20"/>
      <c r="X825" s="20"/>
      <c r="Y825" s="20"/>
      <c r="Z825" s="20"/>
      <c r="AA825" s="20"/>
    </row>
    <row r="826" spans="1:27" ht="15.75" customHeight="1">
      <c r="A826" s="48"/>
      <c r="B826" s="56"/>
      <c r="C826" s="56"/>
      <c r="D826" s="57"/>
      <c r="E826" s="20"/>
      <c r="F826" s="58"/>
      <c r="G826" s="20"/>
      <c r="H826" s="60"/>
      <c r="I826" s="60"/>
      <c r="J826" s="61"/>
      <c r="K826" s="61"/>
      <c r="L826" s="59"/>
      <c r="M826" s="59"/>
      <c r="N826" s="59"/>
      <c r="O826" s="59"/>
      <c r="P826" s="20"/>
      <c r="Q826" s="20"/>
      <c r="R826" s="20"/>
      <c r="S826" s="20"/>
      <c r="T826" s="62"/>
      <c r="U826" s="62"/>
      <c r="V826" s="20"/>
      <c r="W826" s="20"/>
      <c r="X826" s="20"/>
      <c r="Y826" s="20"/>
      <c r="Z826" s="20"/>
      <c r="AA826" s="20"/>
    </row>
    <row r="827" spans="1:27" ht="15.75" customHeight="1">
      <c r="A827" s="48"/>
      <c r="B827" s="56"/>
      <c r="C827" s="56"/>
      <c r="D827" s="57"/>
      <c r="E827" s="20"/>
      <c r="F827" s="58"/>
      <c r="G827" s="20"/>
      <c r="H827" s="60"/>
      <c r="I827" s="60"/>
      <c r="J827" s="61"/>
      <c r="K827" s="61"/>
      <c r="L827" s="59"/>
      <c r="M827" s="59"/>
      <c r="N827" s="59"/>
      <c r="O827" s="59"/>
      <c r="P827" s="20"/>
      <c r="Q827" s="20"/>
      <c r="R827" s="20"/>
      <c r="S827" s="20"/>
      <c r="T827" s="62"/>
      <c r="U827" s="62"/>
      <c r="V827" s="20"/>
      <c r="W827" s="20"/>
      <c r="X827" s="20"/>
      <c r="Y827" s="20"/>
      <c r="Z827" s="20"/>
      <c r="AA827" s="20"/>
    </row>
    <row r="828" spans="1:27" ht="15.75" customHeight="1">
      <c r="A828" s="48"/>
      <c r="B828" s="56"/>
      <c r="C828" s="56"/>
      <c r="D828" s="57"/>
      <c r="E828" s="20"/>
      <c r="F828" s="58"/>
      <c r="G828" s="20"/>
      <c r="H828" s="60"/>
      <c r="I828" s="60"/>
      <c r="J828" s="61"/>
      <c r="K828" s="61"/>
      <c r="L828" s="59"/>
      <c r="M828" s="59"/>
      <c r="N828" s="59"/>
      <c r="O828" s="59"/>
      <c r="P828" s="20"/>
      <c r="Q828" s="20"/>
      <c r="R828" s="20"/>
      <c r="S828" s="20"/>
      <c r="T828" s="62"/>
      <c r="U828" s="62"/>
      <c r="V828" s="20"/>
      <c r="W828" s="20"/>
      <c r="X828" s="20"/>
      <c r="Y828" s="20"/>
      <c r="Z828" s="20"/>
      <c r="AA828" s="20"/>
    </row>
    <row r="829" spans="1:27" ht="15.75" customHeight="1">
      <c r="A829" s="48"/>
      <c r="B829" s="56"/>
      <c r="C829" s="56"/>
      <c r="D829" s="57"/>
      <c r="E829" s="20"/>
      <c r="F829" s="58"/>
      <c r="G829" s="20"/>
      <c r="H829" s="60"/>
      <c r="I829" s="60"/>
      <c r="J829" s="61"/>
      <c r="K829" s="61"/>
      <c r="L829" s="59"/>
      <c r="M829" s="59"/>
      <c r="N829" s="59"/>
      <c r="O829" s="59"/>
      <c r="P829" s="20"/>
      <c r="Q829" s="20"/>
      <c r="R829" s="20"/>
      <c r="S829" s="20"/>
      <c r="T829" s="62"/>
      <c r="U829" s="62"/>
      <c r="V829" s="20"/>
      <c r="W829" s="20"/>
      <c r="X829" s="20"/>
      <c r="Y829" s="20"/>
      <c r="Z829" s="20"/>
      <c r="AA829" s="20"/>
    </row>
    <row r="830" spans="1:27" ht="15.75" customHeight="1">
      <c r="A830" s="48"/>
      <c r="B830" s="56"/>
      <c r="C830" s="56"/>
      <c r="D830" s="57"/>
      <c r="E830" s="20"/>
      <c r="F830" s="58"/>
      <c r="G830" s="20"/>
      <c r="H830" s="60"/>
      <c r="I830" s="60"/>
      <c r="J830" s="61"/>
      <c r="K830" s="61"/>
      <c r="L830" s="59"/>
      <c r="M830" s="59"/>
      <c r="N830" s="59"/>
      <c r="O830" s="59"/>
      <c r="P830" s="20"/>
      <c r="Q830" s="20"/>
      <c r="R830" s="20"/>
      <c r="S830" s="20"/>
      <c r="T830" s="62"/>
      <c r="U830" s="62"/>
      <c r="V830" s="20"/>
      <c r="W830" s="20"/>
      <c r="X830" s="20"/>
      <c r="Y830" s="20"/>
      <c r="Z830" s="20"/>
      <c r="AA830" s="20"/>
    </row>
    <row r="831" spans="1:27" ht="15.75" customHeight="1">
      <c r="A831" s="48"/>
      <c r="B831" s="56"/>
      <c r="C831" s="56"/>
      <c r="D831" s="57"/>
      <c r="E831" s="20"/>
      <c r="F831" s="58"/>
      <c r="G831" s="20"/>
      <c r="H831" s="60"/>
      <c r="I831" s="60"/>
      <c r="J831" s="61"/>
      <c r="K831" s="61"/>
      <c r="L831" s="59"/>
      <c r="M831" s="59"/>
      <c r="N831" s="59"/>
      <c r="O831" s="59"/>
      <c r="P831" s="20"/>
      <c r="Q831" s="20"/>
      <c r="R831" s="20"/>
      <c r="S831" s="20"/>
      <c r="T831" s="62"/>
      <c r="U831" s="62"/>
      <c r="V831" s="20"/>
      <c r="W831" s="20"/>
      <c r="X831" s="20"/>
      <c r="Y831" s="20"/>
      <c r="Z831" s="20"/>
      <c r="AA831" s="20"/>
    </row>
    <row r="832" spans="1:27" ht="15.75" customHeight="1">
      <c r="A832" s="48"/>
      <c r="B832" s="56"/>
      <c r="C832" s="56"/>
      <c r="D832" s="57"/>
      <c r="E832" s="20"/>
      <c r="F832" s="58"/>
      <c r="G832" s="20"/>
      <c r="H832" s="60"/>
      <c r="I832" s="60"/>
      <c r="J832" s="61"/>
      <c r="K832" s="61"/>
      <c r="L832" s="59"/>
      <c r="M832" s="59"/>
      <c r="N832" s="59"/>
      <c r="O832" s="59"/>
      <c r="P832" s="20"/>
      <c r="Q832" s="20"/>
      <c r="R832" s="20"/>
      <c r="S832" s="20"/>
      <c r="T832" s="62"/>
      <c r="U832" s="62"/>
      <c r="V832" s="20"/>
      <c r="W832" s="20"/>
      <c r="X832" s="20"/>
      <c r="Y832" s="20"/>
      <c r="Z832" s="20"/>
      <c r="AA832" s="20"/>
    </row>
    <row r="833" spans="1:27" ht="15.75" customHeight="1">
      <c r="A833" s="48"/>
      <c r="B833" s="56"/>
      <c r="C833" s="56"/>
      <c r="D833" s="57"/>
      <c r="E833" s="20"/>
      <c r="F833" s="58"/>
      <c r="G833" s="20"/>
      <c r="H833" s="60"/>
      <c r="I833" s="60"/>
      <c r="J833" s="61"/>
      <c r="K833" s="61"/>
      <c r="L833" s="59"/>
      <c r="M833" s="59"/>
      <c r="N833" s="59"/>
      <c r="O833" s="59"/>
      <c r="P833" s="20"/>
      <c r="Q833" s="20"/>
      <c r="R833" s="20"/>
      <c r="S833" s="20"/>
      <c r="T833" s="62"/>
      <c r="U833" s="62"/>
      <c r="V833" s="20"/>
      <c r="W833" s="20"/>
      <c r="X833" s="20"/>
      <c r="Y833" s="20"/>
      <c r="Z833" s="20"/>
      <c r="AA833" s="20"/>
    </row>
    <row r="834" spans="1:27" ht="15.75" customHeight="1">
      <c r="A834" s="48"/>
      <c r="B834" s="56"/>
      <c r="C834" s="56"/>
      <c r="D834" s="57"/>
      <c r="E834" s="20"/>
      <c r="F834" s="58"/>
      <c r="G834" s="20"/>
      <c r="H834" s="60"/>
      <c r="I834" s="60"/>
      <c r="J834" s="61"/>
      <c r="K834" s="61"/>
      <c r="L834" s="59"/>
      <c r="M834" s="59"/>
      <c r="N834" s="59"/>
      <c r="O834" s="59"/>
      <c r="P834" s="20"/>
      <c r="Q834" s="20"/>
      <c r="R834" s="20"/>
      <c r="S834" s="20"/>
      <c r="T834" s="62"/>
      <c r="U834" s="62"/>
      <c r="V834" s="20"/>
      <c r="W834" s="20"/>
      <c r="X834" s="20"/>
      <c r="Y834" s="20"/>
      <c r="Z834" s="20"/>
      <c r="AA834" s="20"/>
    </row>
    <row r="835" spans="1:27" ht="15.75" customHeight="1">
      <c r="A835" s="48"/>
      <c r="B835" s="56"/>
      <c r="C835" s="56"/>
      <c r="D835" s="57"/>
      <c r="E835" s="20"/>
      <c r="F835" s="58"/>
      <c r="G835" s="20"/>
      <c r="H835" s="60"/>
      <c r="I835" s="60"/>
      <c r="J835" s="61"/>
      <c r="K835" s="61"/>
      <c r="L835" s="59"/>
      <c r="M835" s="59"/>
      <c r="N835" s="59"/>
      <c r="O835" s="59"/>
      <c r="P835" s="20"/>
      <c r="Q835" s="20"/>
      <c r="R835" s="20"/>
      <c r="S835" s="20"/>
      <c r="T835" s="62"/>
      <c r="U835" s="62"/>
      <c r="V835" s="20"/>
      <c r="W835" s="20"/>
      <c r="X835" s="20"/>
      <c r="Y835" s="20"/>
      <c r="Z835" s="20"/>
      <c r="AA835" s="20"/>
    </row>
    <row r="836" spans="1:27" ht="15.75" customHeight="1">
      <c r="A836" s="48"/>
      <c r="B836" s="56"/>
      <c r="C836" s="56"/>
      <c r="D836" s="57"/>
      <c r="E836" s="20"/>
      <c r="F836" s="58"/>
      <c r="G836" s="20"/>
      <c r="H836" s="60"/>
      <c r="I836" s="60"/>
      <c r="J836" s="61"/>
      <c r="K836" s="61"/>
      <c r="L836" s="59"/>
      <c r="M836" s="59"/>
      <c r="N836" s="59"/>
      <c r="O836" s="59"/>
      <c r="P836" s="20"/>
      <c r="Q836" s="20"/>
      <c r="R836" s="20"/>
      <c r="S836" s="20"/>
      <c r="T836" s="62"/>
      <c r="U836" s="62"/>
      <c r="V836" s="20"/>
      <c r="W836" s="20"/>
      <c r="X836" s="20"/>
      <c r="Y836" s="20"/>
      <c r="Z836" s="20"/>
      <c r="AA836" s="20"/>
    </row>
    <row r="837" spans="1:27" ht="15.75" customHeight="1">
      <c r="A837" s="48"/>
      <c r="B837" s="56"/>
      <c r="C837" s="56"/>
      <c r="D837" s="57"/>
      <c r="E837" s="20"/>
      <c r="F837" s="58"/>
      <c r="G837" s="20"/>
      <c r="H837" s="60"/>
      <c r="I837" s="60"/>
      <c r="J837" s="61"/>
      <c r="K837" s="61"/>
      <c r="L837" s="59"/>
      <c r="M837" s="59"/>
      <c r="N837" s="59"/>
      <c r="O837" s="59"/>
      <c r="P837" s="20"/>
      <c r="Q837" s="20"/>
      <c r="R837" s="20"/>
      <c r="S837" s="20"/>
      <c r="T837" s="62"/>
      <c r="U837" s="62"/>
      <c r="V837" s="20"/>
      <c r="W837" s="20"/>
      <c r="X837" s="20"/>
      <c r="Y837" s="20"/>
      <c r="Z837" s="20"/>
      <c r="AA837" s="20"/>
    </row>
    <row r="838" spans="1:27" ht="15.75" customHeight="1">
      <c r="A838" s="48"/>
      <c r="B838" s="56"/>
      <c r="C838" s="56"/>
      <c r="D838" s="57"/>
      <c r="E838" s="20"/>
      <c r="F838" s="58"/>
      <c r="G838" s="20"/>
      <c r="H838" s="60"/>
      <c r="I838" s="60"/>
      <c r="J838" s="61"/>
      <c r="K838" s="61"/>
      <c r="L838" s="59"/>
      <c r="M838" s="59"/>
      <c r="N838" s="59"/>
      <c r="O838" s="59"/>
      <c r="P838" s="20"/>
      <c r="Q838" s="20"/>
      <c r="R838" s="20"/>
      <c r="S838" s="20"/>
      <c r="T838" s="62"/>
      <c r="U838" s="62"/>
      <c r="V838" s="20"/>
      <c r="W838" s="20"/>
      <c r="X838" s="20"/>
      <c r="Y838" s="20"/>
      <c r="Z838" s="20"/>
      <c r="AA838" s="20"/>
    </row>
    <row r="839" spans="1:27" ht="15.75" customHeight="1">
      <c r="A839" s="48"/>
      <c r="B839" s="56"/>
      <c r="C839" s="56"/>
      <c r="D839" s="57"/>
      <c r="E839" s="20"/>
      <c r="F839" s="58"/>
      <c r="G839" s="20"/>
      <c r="H839" s="60"/>
      <c r="I839" s="60"/>
      <c r="J839" s="61"/>
      <c r="K839" s="61"/>
      <c r="L839" s="59"/>
      <c r="M839" s="59"/>
      <c r="N839" s="59"/>
      <c r="O839" s="59"/>
      <c r="P839" s="20"/>
      <c r="Q839" s="20"/>
      <c r="R839" s="20"/>
      <c r="S839" s="20"/>
      <c r="T839" s="62"/>
      <c r="U839" s="62"/>
      <c r="V839" s="20"/>
      <c r="W839" s="20"/>
      <c r="X839" s="20"/>
      <c r="Y839" s="20"/>
      <c r="Z839" s="20"/>
      <c r="AA839" s="20"/>
    </row>
    <row r="840" spans="1:27" ht="15.75" customHeight="1">
      <c r="A840" s="48"/>
      <c r="B840" s="56"/>
      <c r="C840" s="56"/>
      <c r="D840" s="57"/>
      <c r="E840" s="20"/>
      <c r="F840" s="58"/>
      <c r="G840" s="20"/>
      <c r="H840" s="60"/>
      <c r="I840" s="60"/>
      <c r="J840" s="61"/>
      <c r="K840" s="61"/>
      <c r="L840" s="59"/>
      <c r="M840" s="59"/>
      <c r="N840" s="59"/>
      <c r="O840" s="59"/>
      <c r="P840" s="20"/>
      <c r="Q840" s="20"/>
      <c r="R840" s="20"/>
      <c r="S840" s="20"/>
      <c r="T840" s="62"/>
      <c r="U840" s="62"/>
      <c r="V840" s="20"/>
      <c r="W840" s="20"/>
      <c r="X840" s="20"/>
      <c r="Y840" s="20"/>
      <c r="Z840" s="20"/>
      <c r="AA840" s="20"/>
    </row>
    <row r="841" spans="1:27" ht="15.75" customHeight="1">
      <c r="A841" s="48"/>
      <c r="B841" s="56"/>
      <c r="C841" s="56"/>
      <c r="D841" s="57"/>
      <c r="E841" s="20"/>
      <c r="F841" s="58"/>
      <c r="G841" s="20"/>
      <c r="H841" s="60"/>
      <c r="I841" s="60"/>
      <c r="J841" s="61"/>
      <c r="K841" s="61"/>
      <c r="L841" s="59"/>
      <c r="M841" s="59"/>
      <c r="N841" s="59"/>
      <c r="O841" s="59"/>
      <c r="P841" s="20"/>
      <c r="Q841" s="20"/>
      <c r="R841" s="20"/>
      <c r="S841" s="20"/>
      <c r="T841" s="62"/>
      <c r="U841" s="62"/>
      <c r="V841" s="20"/>
      <c r="W841" s="20"/>
      <c r="X841" s="20"/>
      <c r="Y841" s="20"/>
      <c r="Z841" s="20"/>
      <c r="AA841" s="20"/>
    </row>
    <row r="842" spans="1:27" ht="15.75" customHeight="1">
      <c r="A842" s="48"/>
      <c r="B842" s="56"/>
      <c r="C842" s="56"/>
      <c r="D842" s="57"/>
      <c r="E842" s="20"/>
      <c r="F842" s="58"/>
      <c r="G842" s="20"/>
      <c r="H842" s="60"/>
      <c r="I842" s="60"/>
      <c r="J842" s="61"/>
      <c r="K842" s="61"/>
      <c r="L842" s="59"/>
      <c r="M842" s="59"/>
      <c r="N842" s="59"/>
      <c r="O842" s="59"/>
      <c r="P842" s="20"/>
      <c r="Q842" s="20"/>
      <c r="R842" s="20"/>
      <c r="S842" s="20"/>
      <c r="T842" s="62"/>
      <c r="U842" s="62"/>
      <c r="V842" s="20"/>
      <c r="W842" s="20"/>
      <c r="X842" s="20"/>
      <c r="Y842" s="20"/>
      <c r="Z842" s="20"/>
      <c r="AA842" s="20"/>
    </row>
    <row r="843" spans="1:27" ht="15.75" customHeight="1">
      <c r="A843" s="48"/>
      <c r="B843" s="56"/>
      <c r="C843" s="56"/>
      <c r="D843" s="57"/>
      <c r="E843" s="20"/>
      <c r="F843" s="58"/>
      <c r="G843" s="20"/>
      <c r="H843" s="60"/>
      <c r="I843" s="60"/>
      <c r="J843" s="61"/>
      <c r="K843" s="61"/>
      <c r="L843" s="59"/>
      <c r="M843" s="59"/>
      <c r="N843" s="59"/>
      <c r="O843" s="59"/>
      <c r="P843" s="20"/>
      <c r="Q843" s="20"/>
      <c r="R843" s="20"/>
      <c r="S843" s="20"/>
      <c r="T843" s="62"/>
      <c r="U843" s="62"/>
      <c r="V843" s="20"/>
      <c r="W843" s="20"/>
      <c r="X843" s="20"/>
      <c r="Y843" s="20"/>
      <c r="Z843" s="20"/>
      <c r="AA843" s="20"/>
    </row>
    <row r="844" spans="1:27" ht="15.75" customHeight="1">
      <c r="A844" s="48"/>
      <c r="B844" s="56"/>
      <c r="C844" s="56"/>
      <c r="D844" s="57"/>
      <c r="E844" s="20"/>
      <c r="F844" s="58"/>
      <c r="G844" s="20"/>
      <c r="H844" s="60"/>
      <c r="I844" s="60"/>
      <c r="J844" s="61"/>
      <c r="K844" s="61"/>
      <c r="L844" s="59"/>
      <c r="M844" s="59"/>
      <c r="N844" s="59"/>
      <c r="O844" s="59"/>
      <c r="P844" s="20"/>
      <c r="Q844" s="20"/>
      <c r="R844" s="20"/>
      <c r="S844" s="20"/>
      <c r="T844" s="62"/>
      <c r="U844" s="62"/>
      <c r="V844" s="20"/>
      <c r="W844" s="20"/>
      <c r="X844" s="20"/>
      <c r="Y844" s="20"/>
      <c r="Z844" s="20"/>
      <c r="AA844" s="20"/>
    </row>
    <row r="845" spans="1:27" ht="15.75" customHeight="1">
      <c r="A845" s="48"/>
      <c r="B845" s="56"/>
      <c r="C845" s="56"/>
      <c r="D845" s="57"/>
      <c r="E845" s="20"/>
      <c r="F845" s="58"/>
      <c r="G845" s="20"/>
      <c r="H845" s="60"/>
      <c r="I845" s="60"/>
      <c r="J845" s="61"/>
      <c r="K845" s="61"/>
      <c r="L845" s="59"/>
      <c r="M845" s="59"/>
      <c r="N845" s="59"/>
      <c r="O845" s="59"/>
      <c r="P845" s="20"/>
      <c r="Q845" s="20"/>
      <c r="R845" s="20"/>
      <c r="S845" s="20"/>
      <c r="T845" s="62"/>
      <c r="U845" s="62"/>
      <c r="V845" s="20"/>
      <c r="W845" s="20"/>
      <c r="X845" s="20"/>
      <c r="Y845" s="20"/>
      <c r="Z845" s="20"/>
      <c r="AA845" s="20"/>
    </row>
    <row r="846" spans="1:27" ht="15.75" customHeight="1">
      <c r="A846" s="48"/>
      <c r="B846" s="56"/>
      <c r="C846" s="56"/>
      <c r="D846" s="57"/>
      <c r="E846" s="20"/>
      <c r="F846" s="58"/>
      <c r="G846" s="20"/>
      <c r="H846" s="60"/>
      <c r="I846" s="60"/>
      <c r="J846" s="61"/>
      <c r="K846" s="61"/>
      <c r="L846" s="59"/>
      <c r="M846" s="59"/>
      <c r="N846" s="59"/>
      <c r="O846" s="59"/>
      <c r="P846" s="20"/>
      <c r="Q846" s="20"/>
      <c r="R846" s="20"/>
      <c r="S846" s="20"/>
      <c r="T846" s="62"/>
      <c r="U846" s="62"/>
      <c r="V846" s="20"/>
      <c r="W846" s="20"/>
      <c r="X846" s="20"/>
      <c r="Y846" s="20"/>
      <c r="Z846" s="20"/>
      <c r="AA846" s="20"/>
    </row>
    <row r="847" spans="1:27" ht="15.75" customHeight="1">
      <c r="A847" s="48"/>
      <c r="B847" s="56"/>
      <c r="C847" s="56"/>
      <c r="D847" s="57"/>
      <c r="E847" s="20"/>
      <c r="F847" s="58"/>
      <c r="G847" s="20"/>
      <c r="H847" s="60"/>
      <c r="I847" s="60"/>
      <c r="J847" s="61"/>
      <c r="K847" s="61"/>
      <c r="L847" s="59"/>
      <c r="M847" s="59"/>
      <c r="N847" s="59"/>
      <c r="O847" s="59"/>
      <c r="P847" s="20"/>
      <c r="Q847" s="20"/>
      <c r="R847" s="20"/>
      <c r="S847" s="20"/>
      <c r="T847" s="62"/>
      <c r="U847" s="62"/>
      <c r="V847" s="20"/>
      <c r="W847" s="20"/>
      <c r="X847" s="20"/>
      <c r="Y847" s="20"/>
      <c r="Z847" s="20"/>
      <c r="AA847" s="20"/>
    </row>
    <row r="848" spans="1:27" ht="15.75" customHeight="1">
      <c r="A848" s="48"/>
      <c r="B848" s="56"/>
      <c r="C848" s="56"/>
      <c r="D848" s="57"/>
      <c r="E848" s="20"/>
      <c r="F848" s="58"/>
      <c r="G848" s="20"/>
      <c r="H848" s="60"/>
      <c r="I848" s="60"/>
      <c r="J848" s="61"/>
      <c r="K848" s="61"/>
      <c r="L848" s="59"/>
      <c r="M848" s="59"/>
      <c r="N848" s="59"/>
      <c r="O848" s="59"/>
      <c r="P848" s="20"/>
      <c r="Q848" s="20"/>
      <c r="R848" s="20"/>
      <c r="S848" s="20"/>
      <c r="T848" s="62"/>
      <c r="U848" s="62"/>
      <c r="V848" s="20"/>
      <c r="W848" s="20"/>
      <c r="X848" s="20"/>
      <c r="Y848" s="20"/>
      <c r="Z848" s="20"/>
      <c r="AA848" s="20"/>
    </row>
    <row r="849" spans="1:27" ht="15.75" customHeight="1">
      <c r="A849" s="48"/>
      <c r="B849" s="56"/>
      <c r="C849" s="56"/>
      <c r="D849" s="57"/>
      <c r="E849" s="20"/>
      <c r="F849" s="58"/>
      <c r="G849" s="20"/>
      <c r="H849" s="60"/>
      <c r="I849" s="60"/>
      <c r="J849" s="61"/>
      <c r="K849" s="61"/>
      <c r="L849" s="59"/>
      <c r="M849" s="59"/>
      <c r="N849" s="59"/>
      <c r="O849" s="59"/>
      <c r="P849" s="20"/>
      <c r="Q849" s="20"/>
      <c r="R849" s="20"/>
      <c r="S849" s="20"/>
      <c r="T849" s="62"/>
      <c r="U849" s="62"/>
      <c r="V849" s="20"/>
      <c r="W849" s="20"/>
      <c r="X849" s="20"/>
      <c r="Y849" s="20"/>
      <c r="Z849" s="20"/>
      <c r="AA849" s="20"/>
    </row>
    <row r="850" spans="1:27" ht="15.75" customHeight="1">
      <c r="A850" s="48"/>
      <c r="B850" s="56"/>
      <c r="C850" s="56"/>
      <c r="D850" s="57"/>
      <c r="E850" s="20"/>
      <c r="F850" s="58"/>
      <c r="G850" s="20"/>
      <c r="H850" s="60"/>
      <c r="I850" s="60"/>
      <c r="J850" s="61"/>
      <c r="K850" s="61"/>
      <c r="L850" s="59"/>
      <c r="M850" s="59"/>
      <c r="N850" s="59"/>
      <c r="O850" s="59"/>
      <c r="P850" s="20"/>
      <c r="Q850" s="20"/>
      <c r="R850" s="20"/>
      <c r="S850" s="20"/>
      <c r="T850" s="62"/>
      <c r="U850" s="62"/>
      <c r="V850" s="20"/>
      <c r="W850" s="20"/>
      <c r="X850" s="20"/>
      <c r="Y850" s="20"/>
      <c r="Z850" s="20"/>
      <c r="AA850" s="20"/>
    </row>
    <row r="851" spans="1:27" ht="15.75" customHeight="1">
      <c r="A851" s="48"/>
      <c r="B851" s="56"/>
      <c r="C851" s="56"/>
      <c r="D851" s="57"/>
      <c r="E851" s="20"/>
      <c r="F851" s="58"/>
      <c r="G851" s="20"/>
      <c r="H851" s="60"/>
      <c r="I851" s="60"/>
      <c r="J851" s="61"/>
      <c r="K851" s="61"/>
      <c r="L851" s="59"/>
      <c r="M851" s="59"/>
      <c r="N851" s="59"/>
      <c r="O851" s="59"/>
      <c r="P851" s="20"/>
      <c r="Q851" s="20"/>
      <c r="R851" s="20"/>
      <c r="S851" s="20"/>
      <c r="T851" s="62"/>
      <c r="U851" s="62"/>
      <c r="V851" s="20"/>
      <c r="W851" s="20"/>
      <c r="X851" s="20"/>
      <c r="Y851" s="20"/>
      <c r="Z851" s="20"/>
      <c r="AA851" s="20"/>
    </row>
    <row r="852" spans="1:27" ht="15.75" customHeight="1">
      <c r="A852" s="48"/>
      <c r="B852" s="56"/>
      <c r="C852" s="56"/>
      <c r="D852" s="57"/>
      <c r="E852" s="20"/>
      <c r="F852" s="58"/>
      <c r="G852" s="20"/>
      <c r="H852" s="60"/>
      <c r="I852" s="60"/>
      <c r="J852" s="61"/>
      <c r="K852" s="61"/>
      <c r="L852" s="59"/>
      <c r="M852" s="59"/>
      <c r="N852" s="59"/>
      <c r="O852" s="59"/>
      <c r="P852" s="20"/>
      <c r="Q852" s="20"/>
      <c r="R852" s="20"/>
      <c r="S852" s="20"/>
      <c r="T852" s="62"/>
      <c r="U852" s="62"/>
      <c r="V852" s="20"/>
      <c r="W852" s="20"/>
      <c r="X852" s="20"/>
      <c r="Y852" s="20"/>
      <c r="Z852" s="20"/>
      <c r="AA852" s="20"/>
    </row>
    <row r="853" spans="1:27" ht="15.75" customHeight="1">
      <c r="A853" s="48"/>
      <c r="B853" s="56"/>
      <c r="C853" s="56"/>
      <c r="D853" s="57"/>
      <c r="E853" s="20"/>
      <c r="F853" s="58"/>
      <c r="G853" s="20"/>
      <c r="H853" s="60"/>
      <c r="I853" s="60"/>
      <c r="J853" s="61"/>
      <c r="K853" s="61"/>
      <c r="L853" s="59"/>
      <c r="M853" s="59"/>
      <c r="N853" s="59"/>
      <c r="O853" s="59"/>
      <c r="P853" s="20"/>
      <c r="Q853" s="20"/>
      <c r="R853" s="20"/>
      <c r="S853" s="20"/>
      <c r="T853" s="62"/>
      <c r="U853" s="62"/>
      <c r="V853" s="20"/>
      <c r="W853" s="20"/>
      <c r="X853" s="20"/>
      <c r="Y853" s="20"/>
      <c r="Z853" s="20"/>
      <c r="AA853" s="20"/>
    </row>
    <row r="854" spans="1:27" ht="15.75" customHeight="1">
      <c r="A854" s="48"/>
      <c r="B854" s="56"/>
      <c r="C854" s="56"/>
      <c r="D854" s="57"/>
      <c r="E854" s="20"/>
      <c r="F854" s="58"/>
      <c r="G854" s="20"/>
      <c r="H854" s="60"/>
      <c r="I854" s="60"/>
      <c r="J854" s="61"/>
      <c r="K854" s="61"/>
      <c r="L854" s="59"/>
      <c r="M854" s="59"/>
      <c r="N854" s="59"/>
      <c r="O854" s="59"/>
      <c r="P854" s="20"/>
      <c r="Q854" s="20"/>
      <c r="R854" s="20"/>
      <c r="S854" s="20"/>
      <c r="T854" s="62"/>
      <c r="U854" s="62"/>
      <c r="V854" s="20"/>
      <c r="W854" s="20"/>
      <c r="X854" s="20"/>
      <c r="Y854" s="20"/>
      <c r="Z854" s="20"/>
      <c r="AA854" s="20"/>
    </row>
    <row r="855" spans="1:27" ht="15.75" customHeight="1">
      <c r="A855" s="48"/>
      <c r="B855" s="56"/>
      <c r="C855" s="56"/>
      <c r="D855" s="57"/>
      <c r="E855" s="20"/>
      <c r="F855" s="58"/>
      <c r="G855" s="20"/>
      <c r="H855" s="60"/>
      <c r="I855" s="60"/>
      <c r="J855" s="61"/>
      <c r="K855" s="61"/>
      <c r="L855" s="59"/>
      <c r="M855" s="59"/>
      <c r="N855" s="59"/>
      <c r="O855" s="59"/>
      <c r="P855" s="20"/>
      <c r="Q855" s="20"/>
      <c r="R855" s="20"/>
      <c r="S855" s="20"/>
      <c r="T855" s="62"/>
      <c r="U855" s="62"/>
      <c r="V855" s="20"/>
      <c r="W855" s="20"/>
      <c r="X855" s="20"/>
      <c r="Y855" s="20"/>
      <c r="Z855" s="20"/>
      <c r="AA855" s="20"/>
    </row>
    <row r="856" spans="1:27" ht="15.75" customHeight="1">
      <c r="A856" s="48"/>
      <c r="B856" s="56"/>
      <c r="C856" s="56"/>
      <c r="D856" s="57"/>
      <c r="E856" s="20"/>
      <c r="F856" s="58"/>
      <c r="G856" s="20"/>
      <c r="H856" s="60"/>
      <c r="I856" s="60"/>
      <c r="J856" s="61"/>
      <c r="K856" s="61"/>
      <c r="L856" s="59"/>
      <c r="M856" s="59"/>
      <c r="N856" s="59"/>
      <c r="O856" s="59"/>
      <c r="P856" s="20"/>
      <c r="Q856" s="20"/>
      <c r="R856" s="20"/>
      <c r="S856" s="20"/>
      <c r="T856" s="62"/>
      <c r="U856" s="62"/>
      <c r="V856" s="20"/>
      <c r="W856" s="20"/>
      <c r="X856" s="20"/>
      <c r="Y856" s="20"/>
      <c r="Z856" s="20"/>
      <c r="AA856" s="20"/>
    </row>
    <row r="857" spans="1:27" ht="15.75" customHeight="1">
      <c r="A857" s="48"/>
      <c r="B857" s="56"/>
      <c r="C857" s="56"/>
      <c r="D857" s="57"/>
      <c r="E857" s="20"/>
      <c r="F857" s="58"/>
      <c r="G857" s="20"/>
      <c r="H857" s="60"/>
      <c r="I857" s="60"/>
      <c r="J857" s="61"/>
      <c r="K857" s="61"/>
      <c r="L857" s="59"/>
      <c r="M857" s="59"/>
      <c r="N857" s="59"/>
      <c r="O857" s="59"/>
      <c r="P857" s="20"/>
      <c r="Q857" s="20"/>
      <c r="R857" s="20"/>
      <c r="S857" s="20"/>
      <c r="T857" s="62"/>
      <c r="U857" s="62"/>
      <c r="V857" s="20"/>
      <c r="W857" s="20"/>
      <c r="X857" s="20"/>
      <c r="Y857" s="20"/>
      <c r="Z857" s="20"/>
      <c r="AA857" s="20"/>
    </row>
    <row r="858" spans="1:27" ht="15.75" customHeight="1">
      <c r="A858" s="48"/>
      <c r="B858" s="56"/>
      <c r="C858" s="56"/>
      <c r="D858" s="57"/>
      <c r="E858" s="20"/>
      <c r="F858" s="58"/>
      <c r="G858" s="20"/>
      <c r="H858" s="60"/>
      <c r="I858" s="60"/>
      <c r="J858" s="61"/>
      <c r="K858" s="61"/>
      <c r="L858" s="59"/>
      <c r="M858" s="59"/>
      <c r="N858" s="59"/>
      <c r="O858" s="59"/>
      <c r="P858" s="20"/>
      <c r="Q858" s="20"/>
      <c r="R858" s="20"/>
      <c r="S858" s="20"/>
      <c r="T858" s="62"/>
      <c r="U858" s="62"/>
      <c r="V858" s="20"/>
      <c r="W858" s="20"/>
      <c r="X858" s="20"/>
      <c r="Y858" s="20"/>
      <c r="Z858" s="20"/>
      <c r="AA858" s="20"/>
    </row>
    <row r="859" spans="1:27" ht="15.75" customHeight="1">
      <c r="A859" s="48"/>
      <c r="B859" s="56"/>
      <c r="C859" s="56"/>
      <c r="D859" s="57"/>
      <c r="E859" s="20"/>
      <c r="F859" s="58"/>
      <c r="G859" s="20"/>
      <c r="H859" s="60"/>
      <c r="I859" s="60"/>
      <c r="J859" s="61"/>
      <c r="K859" s="61"/>
      <c r="L859" s="59"/>
      <c r="M859" s="59"/>
      <c r="N859" s="59"/>
      <c r="O859" s="59"/>
      <c r="P859" s="20"/>
      <c r="Q859" s="20"/>
      <c r="R859" s="20"/>
      <c r="S859" s="20"/>
      <c r="T859" s="62"/>
      <c r="U859" s="62"/>
      <c r="V859" s="20"/>
      <c r="W859" s="20"/>
      <c r="X859" s="20"/>
      <c r="Y859" s="20"/>
      <c r="Z859" s="20"/>
      <c r="AA859" s="20"/>
    </row>
    <row r="860" spans="1:27" ht="15.75" customHeight="1">
      <c r="A860" s="48"/>
      <c r="B860" s="56"/>
      <c r="C860" s="56"/>
      <c r="D860" s="57"/>
      <c r="E860" s="20"/>
      <c r="F860" s="58"/>
      <c r="G860" s="20"/>
      <c r="H860" s="60"/>
      <c r="I860" s="60"/>
      <c r="J860" s="61"/>
      <c r="K860" s="61"/>
      <c r="L860" s="59"/>
      <c r="M860" s="59"/>
      <c r="N860" s="59"/>
      <c r="O860" s="59"/>
      <c r="P860" s="20"/>
      <c r="Q860" s="20"/>
      <c r="R860" s="20"/>
      <c r="S860" s="20"/>
      <c r="T860" s="62"/>
      <c r="U860" s="62"/>
      <c r="V860" s="20"/>
      <c r="W860" s="20"/>
      <c r="X860" s="20"/>
      <c r="Y860" s="20"/>
      <c r="Z860" s="20"/>
      <c r="AA860" s="20"/>
    </row>
    <row r="861" spans="1:27" ht="15.75" customHeight="1">
      <c r="A861" s="48"/>
      <c r="B861" s="56"/>
      <c r="C861" s="56"/>
      <c r="D861" s="57"/>
      <c r="E861" s="20"/>
      <c r="F861" s="58"/>
      <c r="G861" s="20"/>
      <c r="H861" s="60"/>
      <c r="I861" s="60"/>
      <c r="J861" s="61"/>
      <c r="K861" s="61"/>
      <c r="L861" s="59"/>
      <c r="M861" s="59"/>
      <c r="N861" s="59"/>
      <c r="O861" s="59"/>
      <c r="P861" s="20"/>
      <c r="Q861" s="20"/>
      <c r="R861" s="20"/>
      <c r="S861" s="20"/>
      <c r="T861" s="62"/>
      <c r="U861" s="62"/>
      <c r="V861" s="20"/>
      <c r="W861" s="20"/>
      <c r="X861" s="20"/>
      <c r="Y861" s="20"/>
      <c r="Z861" s="20"/>
      <c r="AA861" s="20"/>
    </row>
    <row r="862" spans="1:27" ht="15.75" customHeight="1">
      <c r="A862" s="48"/>
      <c r="B862" s="56"/>
      <c r="C862" s="56"/>
      <c r="D862" s="57"/>
      <c r="E862" s="20"/>
      <c r="F862" s="58"/>
      <c r="G862" s="20"/>
      <c r="H862" s="60"/>
      <c r="I862" s="60"/>
      <c r="J862" s="61"/>
      <c r="K862" s="61"/>
      <c r="L862" s="59"/>
      <c r="M862" s="59"/>
      <c r="N862" s="59"/>
      <c r="O862" s="59"/>
      <c r="P862" s="20"/>
      <c r="Q862" s="20"/>
      <c r="R862" s="20"/>
      <c r="S862" s="20"/>
      <c r="T862" s="62"/>
      <c r="U862" s="62"/>
      <c r="V862" s="20"/>
      <c r="W862" s="20"/>
      <c r="X862" s="20"/>
      <c r="Y862" s="20"/>
      <c r="Z862" s="20"/>
      <c r="AA862" s="20"/>
    </row>
    <row r="863" spans="1:27" ht="15.75" customHeight="1">
      <c r="A863" s="48"/>
      <c r="B863" s="56"/>
      <c r="C863" s="56"/>
      <c r="D863" s="57"/>
      <c r="E863" s="20"/>
      <c r="F863" s="58"/>
      <c r="G863" s="20"/>
      <c r="H863" s="60"/>
      <c r="I863" s="60"/>
      <c r="J863" s="61"/>
      <c r="K863" s="61"/>
      <c r="L863" s="59"/>
      <c r="M863" s="59"/>
      <c r="N863" s="59"/>
      <c r="O863" s="59"/>
      <c r="P863" s="20"/>
      <c r="Q863" s="20"/>
      <c r="R863" s="20"/>
      <c r="S863" s="20"/>
      <c r="T863" s="62"/>
      <c r="U863" s="62"/>
      <c r="V863" s="20"/>
      <c r="W863" s="20"/>
      <c r="X863" s="20"/>
      <c r="Y863" s="20"/>
      <c r="Z863" s="20"/>
      <c r="AA863" s="20"/>
    </row>
    <row r="864" spans="1:27" ht="15.75" customHeight="1">
      <c r="A864" s="48"/>
      <c r="B864" s="56"/>
      <c r="C864" s="56"/>
      <c r="D864" s="57"/>
      <c r="E864" s="20"/>
      <c r="F864" s="58"/>
      <c r="G864" s="20"/>
      <c r="H864" s="60"/>
      <c r="I864" s="60"/>
      <c r="J864" s="61"/>
      <c r="K864" s="61"/>
      <c r="L864" s="59"/>
      <c r="M864" s="59"/>
      <c r="N864" s="59"/>
      <c r="O864" s="59"/>
      <c r="P864" s="20"/>
      <c r="Q864" s="20"/>
      <c r="R864" s="20"/>
      <c r="S864" s="20"/>
      <c r="T864" s="62"/>
      <c r="U864" s="62"/>
      <c r="V864" s="20"/>
      <c r="W864" s="20"/>
      <c r="X864" s="20"/>
      <c r="Y864" s="20"/>
      <c r="Z864" s="20"/>
      <c r="AA864" s="20"/>
    </row>
    <row r="865" spans="1:27" ht="15.75" customHeight="1">
      <c r="A865" s="48"/>
      <c r="B865" s="56"/>
      <c r="C865" s="56"/>
      <c r="D865" s="57"/>
      <c r="E865" s="20"/>
      <c r="F865" s="58"/>
      <c r="G865" s="20"/>
      <c r="H865" s="60"/>
      <c r="I865" s="60"/>
      <c r="J865" s="61"/>
      <c r="K865" s="61"/>
      <c r="L865" s="59"/>
      <c r="M865" s="59"/>
      <c r="N865" s="59"/>
      <c r="O865" s="59"/>
      <c r="P865" s="20"/>
      <c r="Q865" s="20"/>
      <c r="R865" s="20"/>
      <c r="S865" s="20"/>
      <c r="T865" s="62"/>
      <c r="U865" s="62"/>
      <c r="V865" s="20"/>
      <c r="W865" s="20"/>
      <c r="X865" s="20"/>
      <c r="Y865" s="20"/>
      <c r="Z865" s="20"/>
      <c r="AA865" s="20"/>
    </row>
    <row r="866" spans="1:27" ht="15.75" customHeight="1">
      <c r="A866" s="48"/>
      <c r="B866" s="56"/>
      <c r="C866" s="56"/>
      <c r="D866" s="57"/>
      <c r="E866" s="20"/>
      <c r="F866" s="58"/>
      <c r="G866" s="20"/>
      <c r="H866" s="60"/>
      <c r="I866" s="60"/>
      <c r="J866" s="61"/>
      <c r="K866" s="61"/>
      <c r="L866" s="59"/>
      <c r="M866" s="59"/>
      <c r="N866" s="59"/>
      <c r="O866" s="59"/>
      <c r="P866" s="20"/>
      <c r="Q866" s="20"/>
      <c r="R866" s="20"/>
      <c r="S866" s="20"/>
      <c r="T866" s="62"/>
      <c r="U866" s="62"/>
      <c r="V866" s="20"/>
      <c r="W866" s="20"/>
      <c r="X866" s="20"/>
      <c r="Y866" s="20"/>
      <c r="Z866" s="20"/>
      <c r="AA866" s="20"/>
    </row>
    <row r="867" spans="1:27" ht="15.75" customHeight="1">
      <c r="A867" s="48"/>
      <c r="B867" s="56"/>
      <c r="C867" s="56"/>
      <c r="D867" s="57"/>
      <c r="E867" s="20"/>
      <c r="F867" s="58"/>
      <c r="G867" s="20"/>
      <c r="H867" s="60"/>
      <c r="I867" s="60"/>
      <c r="J867" s="61"/>
      <c r="K867" s="61"/>
      <c r="L867" s="59"/>
      <c r="M867" s="59"/>
      <c r="N867" s="59"/>
      <c r="O867" s="59"/>
      <c r="P867" s="20"/>
      <c r="Q867" s="20"/>
      <c r="R867" s="20"/>
      <c r="S867" s="20"/>
      <c r="T867" s="62"/>
      <c r="U867" s="62"/>
      <c r="V867" s="20"/>
      <c r="W867" s="20"/>
      <c r="X867" s="20"/>
      <c r="Y867" s="20"/>
      <c r="Z867" s="20"/>
      <c r="AA867" s="20"/>
    </row>
    <row r="868" spans="1:27" ht="15.75" customHeight="1">
      <c r="A868" s="48"/>
      <c r="B868" s="56"/>
      <c r="C868" s="56"/>
      <c r="D868" s="57"/>
      <c r="E868" s="20"/>
      <c r="F868" s="58"/>
      <c r="G868" s="20"/>
      <c r="H868" s="60"/>
      <c r="I868" s="60"/>
      <c r="J868" s="61"/>
      <c r="K868" s="61"/>
      <c r="L868" s="59"/>
      <c r="M868" s="59"/>
      <c r="N868" s="59"/>
      <c r="O868" s="59"/>
      <c r="P868" s="20"/>
      <c r="Q868" s="20"/>
      <c r="R868" s="20"/>
      <c r="S868" s="20"/>
      <c r="T868" s="62"/>
      <c r="U868" s="62"/>
      <c r="V868" s="20"/>
      <c r="W868" s="20"/>
      <c r="X868" s="20"/>
      <c r="Y868" s="20"/>
      <c r="Z868" s="20"/>
      <c r="AA868" s="20"/>
    </row>
    <row r="869" spans="1:27" ht="15.75" customHeight="1">
      <c r="A869" s="48"/>
      <c r="B869" s="56"/>
      <c r="C869" s="56"/>
      <c r="D869" s="57"/>
      <c r="E869" s="20"/>
      <c r="F869" s="58"/>
      <c r="G869" s="20"/>
      <c r="H869" s="60"/>
      <c r="I869" s="60"/>
      <c r="J869" s="61"/>
      <c r="K869" s="61"/>
      <c r="L869" s="59"/>
      <c r="M869" s="59"/>
      <c r="N869" s="59"/>
      <c r="O869" s="59"/>
      <c r="P869" s="20"/>
      <c r="Q869" s="20"/>
      <c r="R869" s="20"/>
      <c r="S869" s="20"/>
      <c r="T869" s="62"/>
      <c r="U869" s="62"/>
      <c r="V869" s="20"/>
      <c r="W869" s="20"/>
      <c r="X869" s="20"/>
      <c r="Y869" s="20"/>
      <c r="Z869" s="20"/>
      <c r="AA869" s="20"/>
    </row>
    <row r="870" spans="1:27" ht="15.75" customHeight="1">
      <c r="A870" s="48"/>
      <c r="B870" s="56"/>
      <c r="C870" s="56"/>
      <c r="D870" s="57"/>
      <c r="E870" s="20"/>
      <c r="F870" s="58"/>
      <c r="G870" s="20"/>
      <c r="H870" s="60"/>
      <c r="I870" s="60"/>
      <c r="J870" s="61"/>
      <c r="K870" s="61"/>
      <c r="L870" s="59"/>
      <c r="M870" s="59"/>
      <c r="N870" s="59"/>
      <c r="O870" s="59"/>
      <c r="P870" s="20"/>
      <c r="Q870" s="20"/>
      <c r="R870" s="20"/>
      <c r="S870" s="20"/>
      <c r="T870" s="62"/>
      <c r="U870" s="62"/>
      <c r="V870" s="20"/>
      <c r="W870" s="20"/>
      <c r="X870" s="20"/>
      <c r="Y870" s="20"/>
      <c r="Z870" s="20"/>
      <c r="AA870" s="20"/>
    </row>
    <row r="871" spans="1:27" ht="15.75" customHeight="1">
      <c r="A871" s="48"/>
      <c r="B871" s="56"/>
      <c r="C871" s="56"/>
      <c r="D871" s="57"/>
      <c r="E871" s="20"/>
      <c r="F871" s="58"/>
      <c r="G871" s="20"/>
      <c r="H871" s="60"/>
      <c r="I871" s="60"/>
      <c r="J871" s="61"/>
      <c r="K871" s="61"/>
      <c r="L871" s="59"/>
      <c r="M871" s="59"/>
      <c r="N871" s="59"/>
      <c r="O871" s="59"/>
      <c r="P871" s="20"/>
      <c r="Q871" s="20"/>
      <c r="R871" s="20"/>
      <c r="S871" s="20"/>
      <c r="T871" s="62"/>
      <c r="U871" s="62"/>
      <c r="V871" s="20"/>
      <c r="W871" s="20"/>
      <c r="X871" s="20"/>
      <c r="Y871" s="20"/>
      <c r="Z871" s="20"/>
      <c r="AA871" s="20"/>
    </row>
    <row r="872" spans="1:27" ht="15.75" customHeight="1">
      <c r="A872" s="48"/>
      <c r="B872" s="56"/>
      <c r="C872" s="56"/>
      <c r="D872" s="57"/>
      <c r="E872" s="20"/>
      <c r="F872" s="58"/>
      <c r="G872" s="20"/>
      <c r="H872" s="60"/>
      <c r="I872" s="60"/>
      <c r="J872" s="61"/>
      <c r="K872" s="61"/>
      <c r="L872" s="59"/>
      <c r="M872" s="59"/>
      <c r="N872" s="59"/>
      <c r="O872" s="59"/>
      <c r="P872" s="20"/>
      <c r="Q872" s="20"/>
      <c r="R872" s="20"/>
      <c r="S872" s="20"/>
      <c r="T872" s="62"/>
      <c r="U872" s="62"/>
      <c r="V872" s="20"/>
      <c r="W872" s="20"/>
      <c r="X872" s="20"/>
      <c r="Y872" s="20"/>
      <c r="Z872" s="20"/>
      <c r="AA872" s="20"/>
    </row>
    <row r="873" spans="1:27" ht="15.75" customHeight="1">
      <c r="A873" s="48"/>
      <c r="B873" s="56"/>
      <c r="C873" s="56"/>
      <c r="D873" s="57"/>
      <c r="E873" s="20"/>
      <c r="F873" s="58"/>
      <c r="G873" s="20"/>
      <c r="H873" s="60"/>
      <c r="I873" s="60"/>
      <c r="J873" s="61"/>
      <c r="K873" s="61"/>
      <c r="L873" s="59"/>
      <c r="M873" s="59"/>
      <c r="N873" s="59"/>
      <c r="O873" s="59"/>
      <c r="P873" s="20"/>
      <c r="Q873" s="20"/>
      <c r="R873" s="20"/>
      <c r="S873" s="20"/>
      <c r="T873" s="62"/>
      <c r="U873" s="62"/>
      <c r="V873" s="20"/>
      <c r="W873" s="20"/>
      <c r="X873" s="20"/>
      <c r="Y873" s="20"/>
      <c r="Z873" s="20"/>
      <c r="AA873" s="20"/>
    </row>
    <row r="874" spans="1:27" ht="15.75" customHeight="1">
      <c r="A874" s="48"/>
      <c r="B874" s="56"/>
      <c r="C874" s="56"/>
      <c r="D874" s="57"/>
      <c r="E874" s="20"/>
      <c r="F874" s="58"/>
      <c r="G874" s="20"/>
      <c r="H874" s="60"/>
      <c r="I874" s="60"/>
      <c r="J874" s="61"/>
      <c r="K874" s="61"/>
      <c r="L874" s="59"/>
      <c r="M874" s="59"/>
      <c r="N874" s="59"/>
      <c r="O874" s="59"/>
      <c r="P874" s="20"/>
      <c r="Q874" s="20"/>
      <c r="R874" s="20"/>
      <c r="S874" s="20"/>
      <c r="T874" s="62"/>
      <c r="U874" s="62"/>
      <c r="V874" s="20"/>
      <c r="W874" s="20"/>
      <c r="X874" s="20"/>
      <c r="Y874" s="20"/>
      <c r="Z874" s="20"/>
      <c r="AA874" s="20"/>
    </row>
    <row r="875" spans="1:27" ht="15.75" customHeight="1">
      <c r="A875" s="48"/>
      <c r="B875" s="56"/>
      <c r="C875" s="56"/>
      <c r="D875" s="57"/>
      <c r="E875" s="20"/>
      <c r="F875" s="58"/>
      <c r="G875" s="20"/>
      <c r="H875" s="60"/>
      <c r="I875" s="60"/>
      <c r="J875" s="61"/>
      <c r="K875" s="61"/>
      <c r="L875" s="59"/>
      <c r="M875" s="59"/>
      <c r="N875" s="59"/>
      <c r="O875" s="59"/>
      <c r="P875" s="20"/>
      <c r="Q875" s="20"/>
      <c r="R875" s="20"/>
      <c r="S875" s="20"/>
      <c r="T875" s="62"/>
      <c r="U875" s="62"/>
      <c r="V875" s="20"/>
      <c r="W875" s="20"/>
      <c r="X875" s="20"/>
      <c r="Y875" s="20"/>
      <c r="Z875" s="20"/>
      <c r="AA875" s="20"/>
    </row>
    <row r="876" spans="1:27" ht="15.75" customHeight="1">
      <c r="A876" s="48"/>
      <c r="B876" s="56"/>
      <c r="C876" s="56"/>
      <c r="D876" s="57"/>
      <c r="E876" s="20"/>
      <c r="F876" s="58"/>
      <c r="G876" s="20"/>
      <c r="H876" s="60"/>
      <c r="I876" s="60"/>
      <c r="J876" s="61"/>
      <c r="K876" s="61"/>
      <c r="L876" s="59"/>
      <c r="M876" s="59"/>
      <c r="N876" s="59"/>
      <c r="O876" s="59"/>
      <c r="P876" s="20"/>
      <c r="Q876" s="20"/>
      <c r="R876" s="20"/>
      <c r="S876" s="20"/>
      <c r="T876" s="62"/>
      <c r="U876" s="62"/>
      <c r="V876" s="20"/>
      <c r="W876" s="20"/>
      <c r="X876" s="20"/>
      <c r="Y876" s="20"/>
      <c r="Z876" s="20"/>
      <c r="AA876" s="20"/>
    </row>
    <row r="877" spans="1:27" ht="15.75" customHeight="1">
      <c r="A877" s="48"/>
      <c r="B877" s="56"/>
      <c r="C877" s="56"/>
      <c r="D877" s="57"/>
      <c r="E877" s="20"/>
      <c r="F877" s="58"/>
      <c r="G877" s="20"/>
      <c r="H877" s="60"/>
      <c r="I877" s="60"/>
      <c r="J877" s="61"/>
      <c r="K877" s="61"/>
      <c r="L877" s="59"/>
      <c r="M877" s="59"/>
      <c r="N877" s="59"/>
      <c r="O877" s="59"/>
      <c r="P877" s="20"/>
      <c r="Q877" s="20"/>
      <c r="R877" s="20"/>
      <c r="S877" s="20"/>
      <c r="T877" s="62"/>
      <c r="U877" s="62"/>
      <c r="V877" s="20"/>
      <c r="W877" s="20"/>
      <c r="X877" s="20"/>
      <c r="Y877" s="20"/>
      <c r="Z877" s="20"/>
      <c r="AA877" s="20"/>
    </row>
    <row r="878" spans="1:27" ht="15.75" customHeight="1">
      <c r="A878" s="48"/>
      <c r="B878" s="56"/>
      <c r="C878" s="56"/>
      <c r="D878" s="57"/>
      <c r="E878" s="20"/>
      <c r="F878" s="58"/>
      <c r="G878" s="20"/>
      <c r="H878" s="60"/>
      <c r="I878" s="60"/>
      <c r="J878" s="61"/>
      <c r="K878" s="61"/>
      <c r="L878" s="59"/>
      <c r="M878" s="59"/>
      <c r="N878" s="59"/>
      <c r="O878" s="59"/>
      <c r="P878" s="20"/>
      <c r="Q878" s="20"/>
      <c r="R878" s="20"/>
      <c r="S878" s="20"/>
      <c r="T878" s="62"/>
      <c r="U878" s="62"/>
      <c r="V878" s="20"/>
      <c r="W878" s="20"/>
      <c r="X878" s="20"/>
      <c r="Y878" s="20"/>
      <c r="Z878" s="20"/>
      <c r="AA878" s="20"/>
    </row>
    <row r="879" spans="1:27" ht="15.75" customHeight="1">
      <c r="A879" s="48"/>
      <c r="B879" s="56"/>
      <c r="C879" s="56"/>
      <c r="D879" s="57"/>
      <c r="E879" s="20"/>
      <c r="F879" s="58"/>
      <c r="G879" s="20"/>
      <c r="H879" s="60"/>
      <c r="I879" s="60"/>
      <c r="J879" s="61"/>
      <c r="K879" s="61"/>
      <c r="L879" s="59"/>
      <c r="M879" s="59"/>
      <c r="N879" s="59"/>
      <c r="O879" s="59"/>
      <c r="P879" s="20"/>
      <c r="Q879" s="20"/>
      <c r="R879" s="20"/>
      <c r="S879" s="20"/>
      <c r="T879" s="62"/>
      <c r="U879" s="62"/>
      <c r="V879" s="20"/>
      <c r="W879" s="20"/>
      <c r="X879" s="20"/>
      <c r="Y879" s="20"/>
      <c r="Z879" s="20"/>
      <c r="AA879" s="20"/>
    </row>
    <row r="880" spans="1:27" ht="15.75" customHeight="1">
      <c r="A880" s="48"/>
      <c r="B880" s="56"/>
      <c r="C880" s="56"/>
      <c r="D880" s="57"/>
      <c r="E880" s="20"/>
      <c r="F880" s="58"/>
      <c r="G880" s="20"/>
      <c r="H880" s="60"/>
      <c r="I880" s="60"/>
      <c r="J880" s="61"/>
      <c r="K880" s="61"/>
      <c r="L880" s="59"/>
      <c r="M880" s="59"/>
      <c r="N880" s="59"/>
      <c r="O880" s="59"/>
      <c r="P880" s="20"/>
      <c r="Q880" s="20"/>
      <c r="R880" s="20"/>
      <c r="S880" s="20"/>
      <c r="T880" s="62"/>
      <c r="U880" s="62"/>
      <c r="V880" s="20"/>
      <c r="W880" s="20"/>
      <c r="X880" s="20"/>
      <c r="Y880" s="20"/>
      <c r="Z880" s="20"/>
      <c r="AA880" s="20"/>
    </row>
    <row r="881" spans="1:27" ht="15.75" customHeight="1">
      <c r="A881" s="48"/>
      <c r="B881" s="56"/>
      <c r="C881" s="56"/>
      <c r="D881" s="57"/>
      <c r="E881" s="20"/>
      <c r="F881" s="58"/>
      <c r="G881" s="20"/>
      <c r="H881" s="60"/>
      <c r="I881" s="60"/>
      <c r="J881" s="61"/>
      <c r="K881" s="61"/>
      <c r="L881" s="59"/>
      <c r="M881" s="59"/>
      <c r="N881" s="59"/>
      <c r="O881" s="59"/>
      <c r="P881" s="20"/>
      <c r="Q881" s="20"/>
      <c r="R881" s="20"/>
      <c r="S881" s="20"/>
      <c r="T881" s="62"/>
      <c r="U881" s="62"/>
      <c r="V881" s="20"/>
      <c r="W881" s="20"/>
      <c r="X881" s="20"/>
      <c r="Y881" s="20"/>
      <c r="Z881" s="20"/>
      <c r="AA881" s="20"/>
    </row>
    <row r="882" spans="1:27" ht="15.75" customHeight="1">
      <c r="A882" s="48"/>
      <c r="B882" s="56"/>
      <c r="C882" s="56"/>
      <c r="D882" s="57"/>
      <c r="E882" s="20"/>
      <c r="F882" s="58"/>
      <c r="G882" s="20"/>
      <c r="H882" s="60"/>
      <c r="I882" s="60"/>
      <c r="J882" s="61"/>
      <c r="K882" s="61"/>
      <c r="L882" s="59"/>
      <c r="M882" s="59"/>
      <c r="N882" s="59"/>
      <c r="O882" s="59"/>
      <c r="P882" s="20"/>
      <c r="Q882" s="20"/>
      <c r="R882" s="20"/>
      <c r="S882" s="20"/>
      <c r="T882" s="62"/>
      <c r="U882" s="62"/>
      <c r="V882" s="20"/>
      <c r="W882" s="20"/>
      <c r="X882" s="20"/>
      <c r="Y882" s="20"/>
      <c r="Z882" s="20"/>
      <c r="AA882" s="20"/>
    </row>
    <row r="883" spans="1:27" ht="15.75" customHeight="1">
      <c r="A883" s="48"/>
      <c r="B883" s="56"/>
      <c r="C883" s="56"/>
      <c r="D883" s="57"/>
      <c r="E883" s="20"/>
      <c r="F883" s="58"/>
      <c r="G883" s="20"/>
      <c r="H883" s="60"/>
      <c r="I883" s="60"/>
      <c r="J883" s="61"/>
      <c r="K883" s="61"/>
      <c r="L883" s="59"/>
      <c r="M883" s="59"/>
      <c r="N883" s="59"/>
      <c r="O883" s="59"/>
      <c r="P883" s="20"/>
      <c r="Q883" s="20"/>
      <c r="R883" s="20"/>
      <c r="S883" s="20"/>
      <c r="T883" s="62"/>
      <c r="U883" s="62"/>
      <c r="V883" s="20"/>
      <c r="W883" s="20"/>
      <c r="X883" s="20"/>
      <c r="Y883" s="20"/>
      <c r="Z883" s="20"/>
      <c r="AA883" s="20"/>
    </row>
    <row r="884" spans="1:27" ht="15.75" customHeight="1">
      <c r="A884" s="48"/>
      <c r="B884" s="56"/>
      <c r="C884" s="56"/>
      <c r="D884" s="57"/>
      <c r="E884" s="20"/>
      <c r="F884" s="58"/>
      <c r="G884" s="20"/>
      <c r="H884" s="60"/>
      <c r="I884" s="60"/>
      <c r="J884" s="61"/>
      <c r="K884" s="61"/>
      <c r="L884" s="59"/>
      <c r="M884" s="59"/>
      <c r="N884" s="59"/>
      <c r="O884" s="59"/>
      <c r="P884" s="20"/>
      <c r="Q884" s="20"/>
      <c r="R884" s="20"/>
      <c r="S884" s="20"/>
      <c r="T884" s="62"/>
      <c r="U884" s="62"/>
      <c r="V884" s="20"/>
      <c r="W884" s="20"/>
      <c r="X884" s="20"/>
      <c r="Y884" s="20"/>
      <c r="Z884" s="20"/>
      <c r="AA884" s="20"/>
    </row>
    <row r="885" spans="1:27" ht="15.75" customHeight="1">
      <c r="A885" s="48"/>
      <c r="B885" s="56"/>
      <c r="C885" s="56"/>
      <c r="D885" s="57"/>
      <c r="E885" s="20"/>
      <c r="F885" s="58"/>
      <c r="G885" s="20"/>
      <c r="H885" s="60"/>
      <c r="I885" s="60"/>
      <c r="J885" s="61"/>
      <c r="K885" s="61"/>
      <c r="L885" s="59"/>
      <c r="M885" s="59"/>
      <c r="N885" s="59"/>
      <c r="O885" s="59"/>
      <c r="P885" s="20"/>
      <c r="Q885" s="20"/>
      <c r="R885" s="20"/>
      <c r="S885" s="20"/>
      <c r="T885" s="62"/>
      <c r="U885" s="62"/>
      <c r="V885" s="20"/>
      <c r="W885" s="20"/>
      <c r="X885" s="20"/>
      <c r="Y885" s="20"/>
      <c r="Z885" s="20"/>
      <c r="AA885" s="20"/>
    </row>
    <row r="886" spans="1:27" ht="15.75" customHeight="1">
      <c r="A886" s="48"/>
      <c r="B886" s="56"/>
      <c r="C886" s="56"/>
      <c r="D886" s="57"/>
      <c r="E886" s="20"/>
      <c r="F886" s="58"/>
      <c r="G886" s="20"/>
      <c r="H886" s="60"/>
      <c r="I886" s="60"/>
      <c r="J886" s="61"/>
      <c r="K886" s="61"/>
      <c r="L886" s="59"/>
      <c r="M886" s="59"/>
      <c r="N886" s="59"/>
      <c r="O886" s="59"/>
      <c r="P886" s="20"/>
      <c r="Q886" s="20"/>
      <c r="R886" s="20"/>
      <c r="S886" s="20"/>
      <c r="T886" s="62"/>
      <c r="U886" s="62"/>
      <c r="V886" s="20"/>
      <c r="W886" s="20"/>
      <c r="X886" s="20"/>
      <c r="Y886" s="20"/>
      <c r="Z886" s="20"/>
      <c r="AA886" s="20"/>
    </row>
    <row r="887" spans="1:27" ht="15.75" customHeight="1">
      <c r="A887" s="48"/>
      <c r="B887" s="56"/>
      <c r="C887" s="56"/>
      <c r="D887" s="57"/>
      <c r="E887" s="20"/>
      <c r="F887" s="58"/>
      <c r="G887" s="20"/>
      <c r="H887" s="60"/>
      <c r="I887" s="60"/>
      <c r="J887" s="61"/>
      <c r="K887" s="61"/>
      <c r="L887" s="59"/>
      <c r="M887" s="59"/>
      <c r="N887" s="59"/>
      <c r="O887" s="59"/>
      <c r="P887" s="20"/>
      <c r="Q887" s="20"/>
      <c r="R887" s="20"/>
      <c r="S887" s="20"/>
      <c r="T887" s="62"/>
      <c r="U887" s="62"/>
      <c r="V887" s="20"/>
      <c r="W887" s="20"/>
      <c r="X887" s="20"/>
      <c r="Y887" s="20"/>
      <c r="Z887" s="20"/>
      <c r="AA887" s="20"/>
    </row>
    <row r="888" spans="1:27" ht="15.75" customHeight="1">
      <c r="A888" s="48"/>
      <c r="B888" s="56"/>
      <c r="C888" s="56"/>
      <c r="D888" s="57"/>
      <c r="E888" s="20"/>
      <c r="F888" s="58"/>
      <c r="G888" s="20"/>
      <c r="H888" s="60"/>
      <c r="I888" s="60"/>
      <c r="J888" s="61"/>
      <c r="K888" s="61"/>
      <c r="L888" s="59"/>
      <c r="M888" s="59"/>
      <c r="N888" s="59"/>
      <c r="O888" s="59"/>
      <c r="P888" s="20"/>
      <c r="Q888" s="20"/>
      <c r="R888" s="20"/>
      <c r="S888" s="20"/>
      <c r="T888" s="62"/>
      <c r="U888" s="62"/>
      <c r="V888" s="20"/>
      <c r="W888" s="20"/>
      <c r="X888" s="20"/>
      <c r="Y888" s="20"/>
      <c r="Z888" s="20"/>
      <c r="AA888" s="20"/>
    </row>
    <row r="889" spans="1:27" ht="15.75" customHeight="1">
      <c r="A889" s="48"/>
      <c r="B889" s="56"/>
      <c r="C889" s="56"/>
      <c r="D889" s="57"/>
      <c r="E889" s="20"/>
      <c r="F889" s="58"/>
      <c r="G889" s="20"/>
      <c r="H889" s="60"/>
      <c r="I889" s="60"/>
      <c r="J889" s="61"/>
      <c r="K889" s="61"/>
      <c r="L889" s="59"/>
      <c r="M889" s="59"/>
      <c r="N889" s="59"/>
      <c r="O889" s="59"/>
      <c r="P889" s="20"/>
      <c r="Q889" s="20"/>
      <c r="R889" s="20"/>
      <c r="S889" s="20"/>
      <c r="T889" s="62"/>
      <c r="U889" s="62"/>
      <c r="V889" s="20"/>
      <c r="W889" s="20"/>
      <c r="X889" s="20"/>
      <c r="Y889" s="20"/>
      <c r="Z889" s="20"/>
      <c r="AA889" s="20"/>
    </row>
    <row r="890" spans="1:27" ht="15.75" customHeight="1">
      <c r="A890" s="48"/>
      <c r="B890" s="56"/>
      <c r="C890" s="56"/>
      <c r="D890" s="57"/>
      <c r="E890" s="20"/>
      <c r="F890" s="58"/>
      <c r="G890" s="20"/>
      <c r="H890" s="60"/>
      <c r="I890" s="60"/>
      <c r="J890" s="61"/>
      <c r="K890" s="61"/>
      <c r="L890" s="59"/>
      <c r="M890" s="59"/>
      <c r="N890" s="59"/>
      <c r="O890" s="59"/>
      <c r="P890" s="20"/>
      <c r="Q890" s="20"/>
      <c r="R890" s="20"/>
      <c r="S890" s="20"/>
      <c r="T890" s="62"/>
      <c r="U890" s="62"/>
      <c r="V890" s="20"/>
      <c r="W890" s="20"/>
      <c r="X890" s="20"/>
      <c r="Y890" s="20"/>
      <c r="Z890" s="20"/>
      <c r="AA890" s="20"/>
    </row>
    <row r="891" spans="1:27" ht="15.75" customHeight="1">
      <c r="A891" s="48"/>
      <c r="B891" s="56"/>
      <c r="C891" s="56"/>
      <c r="D891" s="57"/>
      <c r="E891" s="20"/>
      <c r="F891" s="58"/>
      <c r="G891" s="20"/>
      <c r="H891" s="60"/>
      <c r="I891" s="60"/>
      <c r="J891" s="61"/>
      <c r="K891" s="61"/>
      <c r="L891" s="59"/>
      <c r="M891" s="59"/>
      <c r="N891" s="59"/>
      <c r="O891" s="59"/>
      <c r="P891" s="20"/>
      <c r="Q891" s="20"/>
      <c r="R891" s="20"/>
      <c r="S891" s="20"/>
      <c r="T891" s="62"/>
      <c r="U891" s="62"/>
      <c r="V891" s="20"/>
      <c r="W891" s="20"/>
      <c r="X891" s="20"/>
      <c r="Y891" s="20"/>
      <c r="Z891" s="20"/>
      <c r="AA891" s="20"/>
    </row>
    <row r="892" spans="1:27" ht="15.75" customHeight="1">
      <c r="A892" s="48"/>
      <c r="B892" s="56"/>
      <c r="C892" s="56"/>
      <c r="D892" s="57"/>
      <c r="E892" s="20"/>
      <c r="F892" s="58"/>
      <c r="G892" s="20"/>
      <c r="H892" s="60"/>
      <c r="I892" s="60"/>
      <c r="J892" s="61"/>
      <c r="K892" s="61"/>
      <c r="L892" s="59"/>
      <c r="M892" s="59"/>
      <c r="N892" s="59"/>
      <c r="O892" s="59"/>
      <c r="P892" s="20"/>
      <c r="Q892" s="20"/>
      <c r="R892" s="20"/>
      <c r="S892" s="20"/>
      <c r="T892" s="62"/>
      <c r="U892" s="62"/>
      <c r="V892" s="20"/>
      <c r="W892" s="20"/>
      <c r="X892" s="20"/>
      <c r="Y892" s="20"/>
      <c r="Z892" s="20"/>
      <c r="AA892" s="20"/>
    </row>
    <row r="893" spans="1:27" ht="15.75" customHeight="1">
      <c r="A893" s="48"/>
      <c r="B893" s="56"/>
      <c r="C893" s="56"/>
      <c r="D893" s="57"/>
      <c r="E893" s="20"/>
      <c r="F893" s="58"/>
      <c r="G893" s="20"/>
      <c r="H893" s="60"/>
      <c r="I893" s="60"/>
      <c r="J893" s="61"/>
      <c r="K893" s="61"/>
      <c r="L893" s="59"/>
      <c r="M893" s="59"/>
      <c r="N893" s="59"/>
      <c r="O893" s="59"/>
      <c r="P893" s="20"/>
      <c r="Q893" s="20"/>
      <c r="R893" s="20"/>
      <c r="S893" s="20"/>
      <c r="T893" s="62"/>
      <c r="U893" s="62"/>
      <c r="V893" s="20"/>
      <c r="W893" s="20"/>
      <c r="X893" s="20"/>
      <c r="Y893" s="20"/>
      <c r="Z893" s="20"/>
      <c r="AA893" s="20"/>
    </row>
    <row r="894" spans="1:27" ht="15.75" customHeight="1">
      <c r="A894" s="48"/>
      <c r="B894" s="56"/>
      <c r="C894" s="56"/>
      <c r="D894" s="57"/>
      <c r="E894" s="20"/>
      <c r="F894" s="58"/>
      <c r="G894" s="20"/>
      <c r="H894" s="60"/>
      <c r="I894" s="60"/>
      <c r="J894" s="61"/>
      <c r="K894" s="61"/>
      <c r="L894" s="59"/>
      <c r="M894" s="59"/>
      <c r="N894" s="59"/>
      <c r="O894" s="59"/>
      <c r="P894" s="20"/>
      <c r="Q894" s="20"/>
      <c r="R894" s="20"/>
      <c r="S894" s="20"/>
      <c r="T894" s="62"/>
      <c r="U894" s="62"/>
      <c r="V894" s="20"/>
      <c r="W894" s="20"/>
      <c r="X894" s="20"/>
      <c r="Y894" s="20"/>
      <c r="Z894" s="20"/>
      <c r="AA894" s="20"/>
    </row>
    <row r="895" spans="1:27" ht="15.75" customHeight="1">
      <c r="A895" s="48"/>
      <c r="B895" s="56"/>
      <c r="C895" s="56"/>
      <c r="D895" s="57"/>
      <c r="E895" s="20"/>
      <c r="F895" s="58"/>
      <c r="G895" s="20"/>
      <c r="H895" s="60"/>
      <c r="I895" s="60"/>
      <c r="J895" s="61"/>
      <c r="K895" s="61"/>
      <c r="L895" s="59"/>
      <c r="M895" s="59"/>
      <c r="N895" s="59"/>
      <c r="O895" s="59"/>
      <c r="P895" s="20"/>
      <c r="Q895" s="20"/>
      <c r="R895" s="20"/>
      <c r="S895" s="20"/>
      <c r="T895" s="62"/>
      <c r="U895" s="62"/>
      <c r="V895" s="20"/>
      <c r="W895" s="20"/>
      <c r="X895" s="20"/>
      <c r="Y895" s="20"/>
      <c r="Z895" s="20"/>
      <c r="AA895" s="20"/>
    </row>
    <row r="896" spans="1:27" ht="15.75" customHeight="1">
      <c r="A896" s="48"/>
      <c r="B896" s="56"/>
      <c r="C896" s="56"/>
      <c r="D896" s="57"/>
      <c r="E896" s="20"/>
      <c r="F896" s="58"/>
      <c r="G896" s="20"/>
      <c r="H896" s="60"/>
      <c r="I896" s="60"/>
      <c r="J896" s="61"/>
      <c r="K896" s="61"/>
      <c r="L896" s="59"/>
      <c r="M896" s="59"/>
      <c r="N896" s="59"/>
      <c r="O896" s="59"/>
      <c r="P896" s="20"/>
      <c r="Q896" s="20"/>
      <c r="R896" s="20"/>
      <c r="S896" s="20"/>
      <c r="T896" s="62"/>
      <c r="U896" s="62"/>
      <c r="V896" s="20"/>
      <c r="W896" s="20"/>
      <c r="X896" s="20"/>
      <c r="Y896" s="20"/>
      <c r="Z896" s="20"/>
      <c r="AA896" s="20"/>
    </row>
    <row r="897" spans="1:27" ht="15.75" customHeight="1">
      <c r="A897" s="48"/>
      <c r="B897" s="56"/>
      <c r="C897" s="56"/>
      <c r="D897" s="57"/>
      <c r="E897" s="20"/>
      <c r="F897" s="58"/>
      <c r="G897" s="20"/>
      <c r="H897" s="60"/>
      <c r="I897" s="60"/>
      <c r="J897" s="61"/>
      <c r="K897" s="61"/>
      <c r="L897" s="59"/>
      <c r="M897" s="59"/>
      <c r="N897" s="59"/>
      <c r="O897" s="59"/>
      <c r="P897" s="20"/>
      <c r="Q897" s="20"/>
      <c r="R897" s="20"/>
      <c r="S897" s="20"/>
      <c r="T897" s="62"/>
      <c r="U897" s="62"/>
      <c r="V897" s="20"/>
      <c r="W897" s="20"/>
      <c r="X897" s="20"/>
      <c r="Y897" s="20"/>
      <c r="Z897" s="20"/>
      <c r="AA897" s="20"/>
    </row>
    <row r="898" spans="1:27" ht="15.75" customHeight="1">
      <c r="A898" s="48"/>
      <c r="B898" s="56"/>
      <c r="C898" s="56"/>
      <c r="D898" s="57"/>
      <c r="E898" s="20"/>
      <c r="F898" s="58"/>
      <c r="G898" s="20"/>
      <c r="H898" s="60"/>
      <c r="I898" s="60"/>
      <c r="J898" s="61"/>
      <c r="K898" s="61"/>
      <c r="L898" s="59"/>
      <c r="M898" s="59"/>
      <c r="N898" s="59"/>
      <c r="O898" s="59"/>
      <c r="P898" s="20"/>
      <c r="Q898" s="20"/>
      <c r="R898" s="20"/>
      <c r="S898" s="20"/>
      <c r="T898" s="62"/>
      <c r="U898" s="62"/>
      <c r="V898" s="20"/>
      <c r="W898" s="20"/>
      <c r="X898" s="20"/>
      <c r="Y898" s="20"/>
      <c r="Z898" s="20"/>
      <c r="AA898" s="20"/>
    </row>
    <row r="899" spans="1:27" ht="15.75" customHeight="1">
      <c r="A899" s="48"/>
      <c r="B899" s="56"/>
      <c r="C899" s="56"/>
      <c r="D899" s="57"/>
      <c r="E899" s="20"/>
      <c r="F899" s="58"/>
      <c r="G899" s="20"/>
      <c r="H899" s="60"/>
      <c r="I899" s="60"/>
      <c r="J899" s="61"/>
      <c r="K899" s="61"/>
      <c r="L899" s="59"/>
      <c r="M899" s="59"/>
      <c r="N899" s="59"/>
      <c r="O899" s="59"/>
      <c r="P899" s="20"/>
      <c r="Q899" s="20"/>
      <c r="R899" s="20"/>
      <c r="S899" s="20"/>
      <c r="T899" s="62"/>
      <c r="U899" s="62"/>
      <c r="V899" s="20"/>
      <c r="W899" s="20"/>
      <c r="X899" s="20"/>
      <c r="Y899" s="20"/>
      <c r="Z899" s="20"/>
      <c r="AA899" s="20"/>
    </row>
    <row r="900" spans="1:27" ht="15.75" customHeight="1">
      <c r="A900" s="48"/>
      <c r="B900" s="56"/>
      <c r="C900" s="56"/>
      <c r="D900" s="57"/>
      <c r="E900" s="20"/>
      <c r="F900" s="58"/>
      <c r="G900" s="20"/>
      <c r="H900" s="60"/>
      <c r="I900" s="60"/>
      <c r="J900" s="61"/>
      <c r="K900" s="61"/>
      <c r="L900" s="59"/>
      <c r="M900" s="59"/>
      <c r="N900" s="59"/>
      <c r="O900" s="59"/>
      <c r="P900" s="20"/>
      <c r="Q900" s="20"/>
      <c r="R900" s="20"/>
      <c r="S900" s="20"/>
      <c r="T900" s="62"/>
      <c r="U900" s="62"/>
      <c r="V900" s="20"/>
      <c r="W900" s="20"/>
      <c r="X900" s="20"/>
      <c r="Y900" s="20"/>
      <c r="Z900" s="20"/>
      <c r="AA900" s="20"/>
    </row>
    <row r="901" spans="1:27" ht="15.75" customHeight="1">
      <c r="A901" s="48"/>
      <c r="B901" s="56"/>
      <c r="C901" s="56"/>
      <c r="D901" s="57"/>
      <c r="E901" s="20"/>
      <c r="F901" s="58"/>
      <c r="G901" s="20"/>
      <c r="H901" s="60"/>
      <c r="I901" s="60"/>
      <c r="J901" s="61"/>
      <c r="K901" s="61"/>
      <c r="L901" s="59"/>
      <c r="M901" s="59"/>
      <c r="N901" s="59"/>
      <c r="O901" s="59"/>
      <c r="P901" s="20"/>
      <c r="Q901" s="20"/>
      <c r="R901" s="20"/>
      <c r="S901" s="20"/>
      <c r="T901" s="62"/>
      <c r="U901" s="62"/>
      <c r="V901" s="20"/>
      <c r="W901" s="20"/>
      <c r="X901" s="20"/>
      <c r="Y901" s="20"/>
      <c r="Z901" s="20"/>
      <c r="AA901" s="20"/>
    </row>
    <row r="902" spans="1:27" ht="15.75" customHeight="1">
      <c r="A902" s="48"/>
      <c r="B902" s="56"/>
      <c r="C902" s="56"/>
      <c r="D902" s="57"/>
      <c r="E902" s="20"/>
      <c r="F902" s="58"/>
      <c r="G902" s="20"/>
      <c r="H902" s="60"/>
      <c r="I902" s="60"/>
      <c r="J902" s="61"/>
      <c r="K902" s="61"/>
      <c r="L902" s="59"/>
      <c r="M902" s="59"/>
      <c r="N902" s="59"/>
      <c r="O902" s="59"/>
      <c r="P902" s="20"/>
      <c r="Q902" s="20"/>
      <c r="R902" s="20"/>
      <c r="S902" s="20"/>
      <c r="T902" s="62"/>
      <c r="U902" s="62"/>
      <c r="V902" s="20"/>
      <c r="W902" s="20"/>
      <c r="X902" s="20"/>
      <c r="Y902" s="20"/>
      <c r="Z902" s="20"/>
      <c r="AA902" s="20"/>
    </row>
    <row r="903" spans="1:27" ht="15.75" customHeight="1">
      <c r="A903" s="48"/>
      <c r="B903" s="56"/>
      <c r="C903" s="56"/>
      <c r="D903" s="57"/>
      <c r="E903" s="20"/>
      <c r="F903" s="58"/>
      <c r="G903" s="20"/>
      <c r="H903" s="60"/>
      <c r="I903" s="60"/>
      <c r="J903" s="61"/>
      <c r="K903" s="61"/>
      <c r="L903" s="59"/>
      <c r="M903" s="59"/>
      <c r="N903" s="59"/>
      <c r="O903" s="59"/>
      <c r="P903" s="20"/>
      <c r="Q903" s="20"/>
      <c r="R903" s="20"/>
      <c r="S903" s="20"/>
      <c r="T903" s="62"/>
      <c r="U903" s="62"/>
      <c r="V903" s="20"/>
      <c r="W903" s="20"/>
      <c r="X903" s="20"/>
      <c r="Y903" s="20"/>
      <c r="Z903" s="20"/>
      <c r="AA903" s="20"/>
    </row>
    <row r="904" spans="1:27" ht="15.75" customHeight="1">
      <c r="A904" s="48"/>
      <c r="B904" s="56"/>
      <c r="C904" s="56"/>
      <c r="D904" s="57"/>
      <c r="E904" s="20"/>
      <c r="F904" s="58"/>
      <c r="G904" s="20"/>
      <c r="H904" s="60"/>
      <c r="I904" s="60"/>
      <c r="J904" s="61"/>
      <c r="K904" s="61"/>
      <c r="L904" s="59"/>
      <c r="M904" s="59"/>
      <c r="N904" s="59"/>
      <c r="O904" s="59"/>
      <c r="P904" s="20"/>
      <c r="Q904" s="20"/>
      <c r="R904" s="20"/>
      <c r="S904" s="20"/>
      <c r="T904" s="62"/>
      <c r="U904" s="62"/>
      <c r="V904" s="20"/>
      <c r="W904" s="20"/>
      <c r="X904" s="20"/>
      <c r="Y904" s="20"/>
      <c r="Z904" s="20"/>
      <c r="AA904" s="20"/>
    </row>
    <row r="905" spans="1:27" ht="15.75" customHeight="1">
      <c r="A905" s="48"/>
      <c r="B905" s="56"/>
      <c r="C905" s="56"/>
      <c r="D905" s="57"/>
      <c r="E905" s="20"/>
      <c r="F905" s="58"/>
      <c r="G905" s="20"/>
      <c r="H905" s="60"/>
      <c r="I905" s="60"/>
      <c r="J905" s="61"/>
      <c r="K905" s="61"/>
      <c r="L905" s="59"/>
      <c r="M905" s="59"/>
      <c r="N905" s="59"/>
      <c r="O905" s="59"/>
      <c r="P905" s="20"/>
      <c r="Q905" s="20"/>
      <c r="R905" s="20"/>
      <c r="S905" s="20"/>
      <c r="T905" s="62"/>
      <c r="U905" s="62"/>
      <c r="V905" s="20"/>
      <c r="W905" s="20"/>
      <c r="X905" s="20"/>
      <c r="Y905" s="20"/>
      <c r="Z905" s="20"/>
      <c r="AA905" s="20"/>
    </row>
    <row r="906" spans="1:27" ht="15.75" customHeight="1">
      <c r="A906" s="48"/>
      <c r="B906" s="56"/>
      <c r="C906" s="56"/>
      <c r="D906" s="57"/>
      <c r="E906" s="20"/>
      <c r="F906" s="58"/>
      <c r="G906" s="20"/>
      <c r="H906" s="60"/>
      <c r="I906" s="60"/>
      <c r="J906" s="61"/>
      <c r="K906" s="61"/>
      <c r="L906" s="59"/>
      <c r="M906" s="59"/>
      <c r="N906" s="59"/>
      <c r="O906" s="59"/>
      <c r="P906" s="20"/>
      <c r="Q906" s="20"/>
      <c r="R906" s="20"/>
      <c r="S906" s="20"/>
      <c r="T906" s="62"/>
      <c r="U906" s="62"/>
      <c r="V906" s="20"/>
      <c r="W906" s="20"/>
      <c r="X906" s="20"/>
      <c r="Y906" s="20"/>
      <c r="Z906" s="20"/>
      <c r="AA906" s="20"/>
    </row>
    <row r="907" spans="1:27" ht="15.75" customHeight="1">
      <c r="A907" s="48"/>
      <c r="B907" s="56"/>
      <c r="C907" s="56"/>
      <c r="D907" s="57"/>
      <c r="E907" s="20"/>
      <c r="F907" s="58"/>
      <c r="G907" s="20"/>
      <c r="H907" s="60"/>
      <c r="I907" s="60"/>
      <c r="J907" s="61"/>
      <c r="K907" s="61"/>
      <c r="L907" s="59"/>
      <c r="M907" s="59"/>
      <c r="N907" s="59"/>
      <c r="O907" s="59"/>
      <c r="P907" s="20"/>
      <c r="Q907" s="20"/>
      <c r="R907" s="20"/>
      <c r="S907" s="20"/>
      <c r="T907" s="62"/>
      <c r="U907" s="62"/>
      <c r="V907" s="20"/>
      <c r="W907" s="20"/>
      <c r="X907" s="20"/>
      <c r="Y907" s="20"/>
      <c r="Z907" s="20"/>
      <c r="AA907" s="20"/>
    </row>
    <row r="908" spans="1:27" ht="15.75" customHeight="1">
      <c r="A908" s="48"/>
      <c r="B908" s="56"/>
      <c r="C908" s="56"/>
      <c r="D908" s="57"/>
      <c r="E908" s="20"/>
      <c r="F908" s="58"/>
      <c r="G908" s="20"/>
      <c r="H908" s="60"/>
      <c r="I908" s="60"/>
      <c r="J908" s="61"/>
      <c r="K908" s="61"/>
      <c r="L908" s="59"/>
      <c r="M908" s="59"/>
      <c r="N908" s="59"/>
      <c r="O908" s="59"/>
      <c r="P908" s="20"/>
      <c r="Q908" s="20"/>
      <c r="R908" s="20"/>
      <c r="S908" s="20"/>
      <c r="T908" s="62"/>
      <c r="U908" s="62"/>
      <c r="V908" s="20"/>
      <c r="W908" s="20"/>
      <c r="X908" s="20"/>
      <c r="Y908" s="20"/>
      <c r="Z908" s="20"/>
      <c r="AA908" s="20"/>
    </row>
    <row r="909" spans="1:27" ht="15.75" customHeight="1">
      <c r="A909" s="48"/>
      <c r="B909" s="56"/>
      <c r="C909" s="56"/>
      <c r="D909" s="57"/>
      <c r="E909" s="20"/>
      <c r="F909" s="58"/>
      <c r="G909" s="20"/>
      <c r="H909" s="60"/>
      <c r="I909" s="60"/>
      <c r="J909" s="61"/>
      <c r="K909" s="61"/>
      <c r="L909" s="59"/>
      <c r="M909" s="59"/>
      <c r="N909" s="59"/>
      <c r="O909" s="59"/>
      <c r="P909" s="20"/>
      <c r="Q909" s="20"/>
      <c r="R909" s="20"/>
      <c r="S909" s="20"/>
      <c r="T909" s="62"/>
      <c r="U909" s="62"/>
      <c r="V909" s="20"/>
      <c r="W909" s="20"/>
      <c r="X909" s="20"/>
      <c r="Y909" s="20"/>
      <c r="Z909" s="20"/>
      <c r="AA909" s="20"/>
    </row>
    <row r="910" spans="1:27" ht="15.75" customHeight="1">
      <c r="A910" s="48"/>
      <c r="B910" s="56"/>
      <c r="C910" s="56"/>
      <c r="D910" s="57"/>
      <c r="E910" s="20"/>
      <c r="F910" s="58"/>
      <c r="G910" s="20"/>
      <c r="H910" s="60"/>
      <c r="I910" s="60"/>
      <c r="J910" s="61"/>
      <c r="K910" s="61"/>
      <c r="L910" s="59"/>
      <c r="M910" s="59"/>
      <c r="N910" s="59"/>
      <c r="O910" s="59"/>
      <c r="P910" s="20"/>
      <c r="Q910" s="20"/>
      <c r="R910" s="20"/>
      <c r="S910" s="20"/>
      <c r="T910" s="62"/>
      <c r="U910" s="62"/>
      <c r="V910" s="20"/>
      <c r="W910" s="20"/>
      <c r="X910" s="20"/>
      <c r="Y910" s="20"/>
      <c r="Z910" s="20"/>
      <c r="AA910" s="20"/>
    </row>
    <row r="911" spans="1:27" ht="15.75" customHeight="1">
      <c r="A911" s="48"/>
      <c r="B911" s="56"/>
      <c r="C911" s="56"/>
      <c r="D911" s="57"/>
      <c r="E911" s="20"/>
      <c r="F911" s="58"/>
      <c r="G911" s="20"/>
      <c r="H911" s="60"/>
      <c r="I911" s="60"/>
      <c r="J911" s="61"/>
      <c r="K911" s="61"/>
      <c r="L911" s="59"/>
      <c r="M911" s="59"/>
      <c r="N911" s="59"/>
      <c r="O911" s="59"/>
      <c r="P911" s="20"/>
      <c r="Q911" s="20"/>
      <c r="R911" s="20"/>
      <c r="S911" s="20"/>
      <c r="T911" s="62"/>
      <c r="U911" s="62"/>
      <c r="V911" s="20"/>
      <c r="W911" s="20"/>
      <c r="X911" s="20"/>
      <c r="Y911" s="20"/>
      <c r="Z911" s="20"/>
      <c r="AA911" s="20"/>
    </row>
    <row r="912" spans="1:27" ht="15.75" customHeight="1">
      <c r="A912" s="48"/>
      <c r="B912" s="56"/>
      <c r="C912" s="56"/>
      <c r="D912" s="57"/>
      <c r="E912" s="20"/>
      <c r="F912" s="58"/>
      <c r="G912" s="20"/>
      <c r="H912" s="60"/>
      <c r="I912" s="60"/>
      <c r="J912" s="61"/>
      <c r="K912" s="61"/>
      <c r="L912" s="59"/>
      <c r="M912" s="59"/>
      <c r="N912" s="59"/>
      <c r="O912" s="59"/>
      <c r="P912" s="20"/>
      <c r="Q912" s="20"/>
      <c r="R912" s="20"/>
      <c r="S912" s="20"/>
      <c r="T912" s="62"/>
      <c r="U912" s="62"/>
      <c r="V912" s="20"/>
      <c r="W912" s="20"/>
      <c r="X912" s="20"/>
      <c r="Y912" s="20"/>
      <c r="Z912" s="20"/>
      <c r="AA912" s="20"/>
    </row>
    <row r="913" spans="1:27" ht="15.75" customHeight="1">
      <c r="A913" s="48"/>
      <c r="B913" s="56"/>
      <c r="C913" s="56"/>
      <c r="D913" s="57"/>
      <c r="E913" s="20"/>
      <c r="F913" s="58"/>
      <c r="G913" s="20"/>
      <c r="H913" s="60"/>
      <c r="I913" s="60"/>
      <c r="J913" s="61"/>
      <c r="K913" s="61"/>
      <c r="L913" s="59"/>
      <c r="M913" s="59"/>
      <c r="N913" s="59"/>
      <c r="O913" s="59"/>
      <c r="P913" s="20"/>
      <c r="Q913" s="20"/>
      <c r="R913" s="20"/>
      <c r="S913" s="20"/>
      <c r="T913" s="62"/>
      <c r="U913" s="62"/>
      <c r="V913" s="20"/>
      <c r="W913" s="20"/>
      <c r="X913" s="20"/>
      <c r="Y913" s="20"/>
      <c r="Z913" s="20"/>
      <c r="AA913" s="20"/>
    </row>
    <row r="914" spans="1:27" ht="15.75" customHeight="1">
      <c r="A914" s="48"/>
      <c r="B914" s="56"/>
      <c r="C914" s="56"/>
      <c r="D914" s="57"/>
      <c r="E914" s="20"/>
      <c r="F914" s="58"/>
      <c r="G914" s="20"/>
      <c r="H914" s="60"/>
      <c r="I914" s="60"/>
      <c r="J914" s="61"/>
      <c r="K914" s="61"/>
      <c r="L914" s="59"/>
      <c r="M914" s="59"/>
      <c r="N914" s="59"/>
      <c r="O914" s="59"/>
      <c r="P914" s="20"/>
      <c r="Q914" s="20"/>
      <c r="R914" s="20"/>
      <c r="S914" s="20"/>
      <c r="T914" s="62"/>
      <c r="U914" s="62"/>
      <c r="V914" s="20"/>
      <c r="W914" s="20"/>
      <c r="X914" s="20"/>
      <c r="Y914" s="20"/>
      <c r="Z914" s="20"/>
      <c r="AA914" s="20"/>
    </row>
    <row r="915" spans="1:27" ht="15.75" customHeight="1">
      <c r="A915" s="48"/>
      <c r="B915" s="56"/>
      <c r="C915" s="56"/>
      <c r="D915" s="57"/>
      <c r="E915" s="20"/>
      <c r="F915" s="58"/>
      <c r="G915" s="20"/>
      <c r="H915" s="60"/>
      <c r="I915" s="60"/>
      <c r="J915" s="61"/>
      <c r="K915" s="61"/>
      <c r="L915" s="59"/>
      <c r="M915" s="59"/>
      <c r="N915" s="59"/>
      <c r="O915" s="59"/>
      <c r="P915" s="20"/>
      <c r="Q915" s="20"/>
      <c r="R915" s="20"/>
      <c r="S915" s="20"/>
      <c r="T915" s="62"/>
      <c r="U915" s="62"/>
      <c r="V915" s="20"/>
      <c r="W915" s="20"/>
      <c r="X915" s="20"/>
      <c r="Y915" s="20"/>
      <c r="Z915" s="20"/>
      <c r="AA915" s="20"/>
    </row>
    <row r="916" spans="1:27" ht="15.75" customHeight="1">
      <c r="A916" s="48"/>
      <c r="B916" s="56"/>
      <c r="C916" s="56"/>
      <c r="D916" s="57"/>
      <c r="E916" s="20"/>
      <c r="F916" s="58"/>
      <c r="G916" s="20"/>
      <c r="H916" s="60"/>
      <c r="I916" s="60"/>
      <c r="J916" s="61"/>
      <c r="K916" s="61"/>
      <c r="L916" s="59"/>
      <c r="M916" s="59"/>
      <c r="N916" s="59"/>
      <c r="O916" s="59"/>
      <c r="P916" s="20"/>
      <c r="Q916" s="20"/>
      <c r="R916" s="20"/>
      <c r="S916" s="20"/>
      <c r="T916" s="62"/>
      <c r="U916" s="62"/>
      <c r="V916" s="20"/>
      <c r="W916" s="20"/>
      <c r="X916" s="20"/>
      <c r="Y916" s="20"/>
      <c r="Z916" s="20"/>
      <c r="AA916" s="20"/>
    </row>
    <row r="917" spans="1:27" ht="15.75" customHeight="1">
      <c r="A917" s="48"/>
      <c r="B917" s="56"/>
      <c r="C917" s="56"/>
      <c r="D917" s="57"/>
      <c r="E917" s="20"/>
      <c r="F917" s="58"/>
      <c r="G917" s="20"/>
      <c r="H917" s="60"/>
      <c r="I917" s="60"/>
      <c r="J917" s="61"/>
      <c r="K917" s="61"/>
      <c r="L917" s="59"/>
      <c r="M917" s="59"/>
      <c r="N917" s="59"/>
      <c r="O917" s="59"/>
      <c r="P917" s="20"/>
      <c r="Q917" s="20"/>
      <c r="R917" s="20"/>
      <c r="S917" s="20"/>
      <c r="T917" s="62"/>
      <c r="U917" s="62"/>
      <c r="V917" s="20"/>
      <c r="W917" s="20"/>
      <c r="X917" s="20"/>
      <c r="Y917" s="20"/>
      <c r="Z917" s="20"/>
      <c r="AA917" s="20"/>
    </row>
    <row r="918" spans="1:27" ht="15.75" customHeight="1">
      <c r="A918" s="48"/>
      <c r="B918" s="56"/>
      <c r="C918" s="56"/>
      <c r="D918" s="57"/>
      <c r="E918" s="20"/>
      <c r="F918" s="58"/>
      <c r="G918" s="20"/>
      <c r="H918" s="60"/>
      <c r="I918" s="60"/>
      <c r="J918" s="61"/>
      <c r="K918" s="61"/>
      <c r="L918" s="59"/>
      <c r="M918" s="59"/>
      <c r="N918" s="59"/>
      <c r="O918" s="59"/>
      <c r="P918" s="20"/>
      <c r="Q918" s="20"/>
      <c r="R918" s="20"/>
      <c r="S918" s="20"/>
      <c r="T918" s="62"/>
      <c r="U918" s="62"/>
      <c r="V918" s="20"/>
      <c r="W918" s="20"/>
      <c r="X918" s="20"/>
      <c r="Y918" s="20"/>
      <c r="Z918" s="20"/>
      <c r="AA918" s="20"/>
    </row>
    <row r="919" spans="1:27" ht="15.75" customHeight="1">
      <c r="A919" s="48"/>
      <c r="B919" s="56"/>
      <c r="C919" s="56"/>
      <c r="D919" s="57"/>
      <c r="E919" s="20"/>
      <c r="F919" s="58"/>
      <c r="G919" s="20"/>
      <c r="H919" s="60"/>
      <c r="I919" s="60"/>
      <c r="J919" s="61"/>
      <c r="K919" s="61"/>
      <c r="L919" s="59"/>
      <c r="M919" s="59"/>
      <c r="N919" s="59"/>
      <c r="O919" s="59"/>
      <c r="P919" s="20"/>
      <c r="Q919" s="20"/>
      <c r="R919" s="20"/>
      <c r="S919" s="20"/>
      <c r="T919" s="62"/>
      <c r="U919" s="62"/>
      <c r="V919" s="20"/>
      <c r="W919" s="20"/>
      <c r="X919" s="20"/>
      <c r="Y919" s="20"/>
      <c r="Z919" s="20"/>
      <c r="AA919" s="20"/>
    </row>
    <row r="920" spans="1:27" ht="15.75" customHeight="1">
      <c r="A920" s="48"/>
      <c r="B920" s="56"/>
      <c r="C920" s="56"/>
      <c r="D920" s="57"/>
      <c r="E920" s="20"/>
      <c r="F920" s="58"/>
      <c r="G920" s="20"/>
      <c r="H920" s="60"/>
      <c r="I920" s="60"/>
      <c r="J920" s="61"/>
      <c r="K920" s="61"/>
      <c r="L920" s="59"/>
      <c r="M920" s="59"/>
      <c r="N920" s="59"/>
      <c r="O920" s="59"/>
      <c r="P920" s="20"/>
      <c r="Q920" s="20"/>
      <c r="R920" s="20"/>
      <c r="S920" s="20"/>
      <c r="T920" s="62"/>
      <c r="U920" s="62"/>
      <c r="V920" s="20"/>
      <c r="W920" s="20"/>
      <c r="X920" s="20"/>
      <c r="Y920" s="20"/>
      <c r="Z920" s="20"/>
      <c r="AA920" s="20"/>
    </row>
    <row r="921" spans="1:27" ht="15.75" customHeight="1">
      <c r="A921" s="48"/>
      <c r="B921" s="56"/>
      <c r="C921" s="56"/>
      <c r="D921" s="57"/>
      <c r="E921" s="20"/>
      <c r="F921" s="58"/>
      <c r="G921" s="20"/>
      <c r="H921" s="60"/>
      <c r="I921" s="60"/>
      <c r="J921" s="61"/>
      <c r="K921" s="61"/>
      <c r="L921" s="59"/>
      <c r="M921" s="59"/>
      <c r="N921" s="59"/>
      <c r="O921" s="59"/>
      <c r="P921" s="20"/>
      <c r="Q921" s="20"/>
      <c r="R921" s="20"/>
      <c r="S921" s="20"/>
      <c r="T921" s="62"/>
      <c r="U921" s="62"/>
      <c r="V921" s="20"/>
      <c r="W921" s="20"/>
      <c r="X921" s="20"/>
      <c r="Y921" s="20"/>
      <c r="Z921" s="20"/>
      <c r="AA921" s="20"/>
    </row>
    <row r="922" spans="1:27" ht="15.75" customHeight="1">
      <c r="A922" s="48"/>
      <c r="B922" s="56"/>
      <c r="C922" s="56"/>
      <c r="D922" s="57"/>
      <c r="E922" s="20"/>
      <c r="F922" s="58"/>
      <c r="G922" s="20"/>
      <c r="H922" s="60"/>
      <c r="I922" s="60"/>
      <c r="J922" s="61"/>
      <c r="K922" s="61"/>
      <c r="L922" s="59"/>
      <c r="M922" s="59"/>
      <c r="N922" s="59"/>
      <c r="O922" s="59"/>
      <c r="P922" s="20"/>
      <c r="Q922" s="20"/>
      <c r="R922" s="20"/>
      <c r="S922" s="20"/>
      <c r="T922" s="62"/>
      <c r="U922" s="62"/>
      <c r="V922" s="20"/>
      <c r="W922" s="20"/>
      <c r="X922" s="20"/>
      <c r="Y922" s="20"/>
      <c r="Z922" s="20"/>
      <c r="AA922" s="20"/>
    </row>
    <row r="923" spans="1:27" ht="15.75" customHeight="1">
      <c r="A923" s="48"/>
      <c r="B923" s="56"/>
      <c r="C923" s="56"/>
      <c r="D923" s="57"/>
      <c r="E923" s="20"/>
      <c r="F923" s="58"/>
      <c r="G923" s="20"/>
      <c r="H923" s="60"/>
      <c r="I923" s="60"/>
      <c r="J923" s="61"/>
      <c r="K923" s="61"/>
      <c r="L923" s="59"/>
      <c r="M923" s="59"/>
      <c r="N923" s="59"/>
      <c r="O923" s="59"/>
      <c r="P923" s="20"/>
      <c r="Q923" s="20"/>
      <c r="R923" s="20"/>
      <c r="S923" s="20"/>
      <c r="T923" s="62"/>
      <c r="U923" s="62"/>
      <c r="V923" s="20"/>
      <c r="W923" s="20"/>
      <c r="X923" s="20"/>
      <c r="Y923" s="20"/>
      <c r="Z923" s="20"/>
      <c r="AA923" s="20"/>
    </row>
    <row r="924" spans="1:27" ht="15.75" customHeight="1">
      <c r="A924" s="48"/>
      <c r="B924" s="56"/>
      <c r="C924" s="56"/>
      <c r="D924" s="57"/>
      <c r="E924" s="20"/>
      <c r="F924" s="58"/>
      <c r="G924" s="20"/>
      <c r="H924" s="60"/>
      <c r="I924" s="60"/>
      <c r="J924" s="61"/>
      <c r="K924" s="61"/>
      <c r="L924" s="59"/>
      <c r="M924" s="59"/>
      <c r="N924" s="59"/>
      <c r="O924" s="59"/>
      <c r="P924" s="20"/>
      <c r="Q924" s="20"/>
      <c r="R924" s="20"/>
      <c r="S924" s="20"/>
      <c r="T924" s="62"/>
      <c r="U924" s="62"/>
      <c r="V924" s="20"/>
      <c r="W924" s="20"/>
      <c r="X924" s="20"/>
      <c r="Y924" s="20"/>
      <c r="Z924" s="20"/>
      <c r="AA924" s="20"/>
    </row>
    <row r="925" spans="1:27" ht="15.75" customHeight="1">
      <c r="A925" s="48"/>
      <c r="B925" s="56"/>
      <c r="C925" s="56"/>
      <c r="D925" s="57"/>
      <c r="E925" s="20"/>
      <c r="F925" s="58"/>
      <c r="G925" s="20"/>
      <c r="H925" s="60"/>
      <c r="I925" s="60"/>
      <c r="J925" s="61"/>
      <c r="K925" s="61"/>
      <c r="L925" s="59"/>
      <c r="M925" s="59"/>
      <c r="N925" s="59"/>
      <c r="O925" s="59"/>
      <c r="P925" s="20"/>
      <c r="Q925" s="20"/>
      <c r="R925" s="20"/>
      <c r="S925" s="20"/>
      <c r="T925" s="62"/>
      <c r="U925" s="62"/>
      <c r="V925" s="20"/>
      <c r="W925" s="20"/>
      <c r="X925" s="20"/>
      <c r="Y925" s="20"/>
      <c r="Z925" s="20"/>
      <c r="AA925" s="20"/>
    </row>
    <row r="926" spans="1:27" ht="15.75" customHeight="1">
      <c r="A926" s="48"/>
      <c r="B926" s="56"/>
      <c r="C926" s="56"/>
      <c r="D926" s="57"/>
      <c r="E926" s="20"/>
      <c r="F926" s="58"/>
      <c r="G926" s="20"/>
      <c r="H926" s="60"/>
      <c r="I926" s="60"/>
      <c r="J926" s="61"/>
      <c r="K926" s="61"/>
      <c r="L926" s="59"/>
      <c r="M926" s="59"/>
      <c r="N926" s="59"/>
      <c r="O926" s="59"/>
      <c r="P926" s="20"/>
      <c r="Q926" s="20"/>
      <c r="R926" s="20"/>
      <c r="S926" s="20"/>
      <c r="T926" s="62"/>
      <c r="U926" s="62"/>
      <c r="V926" s="20"/>
      <c r="W926" s="20"/>
      <c r="X926" s="20"/>
      <c r="Y926" s="20"/>
      <c r="Z926" s="20"/>
      <c r="AA926" s="20"/>
    </row>
    <row r="927" spans="1:27" ht="15.75" customHeight="1">
      <c r="A927" s="48"/>
      <c r="B927" s="56"/>
      <c r="C927" s="56"/>
      <c r="D927" s="57"/>
      <c r="E927" s="20"/>
      <c r="F927" s="58"/>
      <c r="G927" s="20"/>
      <c r="H927" s="60"/>
      <c r="I927" s="60"/>
      <c r="J927" s="61"/>
      <c r="K927" s="61"/>
      <c r="L927" s="59"/>
      <c r="M927" s="59"/>
      <c r="N927" s="59"/>
      <c r="O927" s="59"/>
      <c r="P927" s="20"/>
      <c r="Q927" s="20"/>
      <c r="R927" s="20"/>
      <c r="S927" s="20"/>
      <c r="T927" s="62"/>
      <c r="U927" s="62"/>
      <c r="V927" s="20"/>
      <c r="W927" s="20"/>
      <c r="X927" s="20"/>
      <c r="Y927" s="20"/>
      <c r="Z927" s="20"/>
      <c r="AA927" s="20"/>
    </row>
    <row r="928" spans="1:27" ht="15.75" customHeight="1">
      <c r="A928" s="48"/>
      <c r="B928" s="56"/>
      <c r="C928" s="56"/>
      <c r="D928" s="57"/>
      <c r="E928" s="20"/>
      <c r="F928" s="58"/>
      <c r="G928" s="20"/>
      <c r="H928" s="60"/>
      <c r="I928" s="60"/>
      <c r="J928" s="61"/>
      <c r="K928" s="61"/>
      <c r="L928" s="59"/>
      <c r="M928" s="59"/>
      <c r="N928" s="59"/>
      <c r="O928" s="59"/>
      <c r="P928" s="20"/>
      <c r="Q928" s="20"/>
      <c r="R928" s="20"/>
      <c r="S928" s="20"/>
      <c r="T928" s="62"/>
      <c r="U928" s="62"/>
      <c r="V928" s="20"/>
      <c r="W928" s="20"/>
      <c r="X928" s="20"/>
      <c r="Y928" s="20"/>
      <c r="Z928" s="20"/>
      <c r="AA928" s="20"/>
    </row>
    <row r="929" spans="1:27" ht="15.75" customHeight="1">
      <c r="A929" s="48"/>
      <c r="B929" s="56"/>
      <c r="C929" s="56"/>
      <c r="D929" s="57"/>
      <c r="E929" s="20"/>
      <c r="F929" s="58"/>
      <c r="G929" s="20"/>
      <c r="H929" s="60"/>
      <c r="I929" s="60"/>
      <c r="J929" s="61"/>
      <c r="K929" s="61"/>
      <c r="L929" s="59"/>
      <c r="M929" s="59"/>
      <c r="N929" s="59"/>
      <c r="O929" s="59"/>
      <c r="P929" s="20"/>
      <c r="Q929" s="20"/>
      <c r="R929" s="20"/>
      <c r="S929" s="20"/>
      <c r="T929" s="62"/>
      <c r="U929" s="62"/>
      <c r="V929" s="20"/>
      <c r="W929" s="20"/>
      <c r="X929" s="20"/>
      <c r="Y929" s="20"/>
      <c r="Z929" s="20"/>
      <c r="AA929" s="20"/>
    </row>
    <row r="930" spans="1:27" ht="15.75" customHeight="1">
      <c r="A930" s="48"/>
      <c r="B930" s="56"/>
      <c r="C930" s="56"/>
      <c r="D930" s="57"/>
      <c r="E930" s="20"/>
      <c r="F930" s="58"/>
      <c r="G930" s="20"/>
      <c r="H930" s="60"/>
      <c r="I930" s="60"/>
      <c r="J930" s="61"/>
      <c r="K930" s="61"/>
      <c r="L930" s="59"/>
      <c r="M930" s="59"/>
      <c r="N930" s="59"/>
      <c r="O930" s="59"/>
      <c r="P930" s="20"/>
      <c r="Q930" s="20"/>
      <c r="R930" s="20"/>
      <c r="S930" s="20"/>
      <c r="T930" s="62"/>
      <c r="U930" s="62"/>
      <c r="V930" s="20"/>
      <c r="W930" s="20"/>
      <c r="X930" s="20"/>
      <c r="Y930" s="20"/>
      <c r="Z930" s="20"/>
      <c r="AA930" s="20"/>
    </row>
    <row r="931" spans="1:27" ht="15.75" customHeight="1">
      <c r="A931" s="48"/>
      <c r="B931" s="56"/>
      <c r="C931" s="56"/>
      <c r="D931" s="57"/>
      <c r="E931" s="20"/>
      <c r="F931" s="58"/>
      <c r="G931" s="20"/>
      <c r="H931" s="60"/>
      <c r="I931" s="60"/>
      <c r="J931" s="61"/>
      <c r="K931" s="61"/>
      <c r="L931" s="59"/>
      <c r="M931" s="59"/>
      <c r="N931" s="59"/>
      <c r="O931" s="59"/>
      <c r="P931" s="20"/>
      <c r="Q931" s="20"/>
      <c r="R931" s="20"/>
      <c r="S931" s="20"/>
      <c r="T931" s="62"/>
      <c r="U931" s="62"/>
      <c r="V931" s="20"/>
      <c r="W931" s="20"/>
      <c r="X931" s="20"/>
      <c r="Y931" s="20"/>
      <c r="Z931" s="20"/>
      <c r="AA931" s="20"/>
    </row>
    <row r="932" spans="1:27" ht="15.75" customHeight="1">
      <c r="A932" s="48"/>
      <c r="B932" s="56"/>
      <c r="C932" s="56"/>
      <c r="D932" s="57"/>
      <c r="E932" s="20"/>
      <c r="F932" s="58"/>
      <c r="G932" s="20"/>
      <c r="H932" s="60"/>
      <c r="I932" s="60"/>
      <c r="J932" s="61"/>
      <c r="K932" s="61"/>
      <c r="L932" s="59"/>
      <c r="M932" s="59"/>
      <c r="N932" s="59"/>
      <c r="O932" s="59"/>
      <c r="P932" s="20"/>
      <c r="Q932" s="20"/>
      <c r="R932" s="20"/>
      <c r="S932" s="20"/>
      <c r="T932" s="62"/>
      <c r="U932" s="62"/>
      <c r="V932" s="20"/>
      <c r="W932" s="20"/>
      <c r="X932" s="20"/>
      <c r="Y932" s="20"/>
      <c r="Z932" s="20"/>
      <c r="AA932" s="20"/>
    </row>
    <row r="933" spans="1:27" ht="15.75" customHeight="1">
      <c r="A933" s="48"/>
      <c r="B933" s="56"/>
      <c r="C933" s="56"/>
      <c r="D933" s="57"/>
      <c r="E933" s="20"/>
      <c r="F933" s="58"/>
      <c r="G933" s="20"/>
      <c r="H933" s="60"/>
      <c r="I933" s="60"/>
      <c r="J933" s="61"/>
      <c r="K933" s="61"/>
      <c r="L933" s="59"/>
      <c r="M933" s="59"/>
      <c r="N933" s="59"/>
      <c r="O933" s="59"/>
      <c r="P933" s="20"/>
      <c r="Q933" s="20"/>
      <c r="R933" s="20"/>
      <c r="S933" s="20"/>
      <c r="T933" s="62"/>
      <c r="U933" s="62"/>
      <c r="V933" s="20"/>
      <c r="W933" s="20"/>
      <c r="X933" s="20"/>
      <c r="Y933" s="20"/>
      <c r="Z933" s="20"/>
      <c r="AA933" s="20"/>
    </row>
    <row r="934" spans="1:27" ht="15.75" customHeight="1">
      <c r="A934" s="48"/>
      <c r="B934" s="56"/>
      <c r="C934" s="56"/>
      <c r="D934" s="57"/>
      <c r="E934" s="20"/>
      <c r="F934" s="58"/>
      <c r="G934" s="20"/>
      <c r="H934" s="60"/>
      <c r="I934" s="60"/>
      <c r="J934" s="61"/>
      <c r="K934" s="61"/>
      <c r="L934" s="59"/>
      <c r="M934" s="59"/>
      <c r="N934" s="59"/>
      <c r="O934" s="59"/>
      <c r="P934" s="20"/>
      <c r="Q934" s="20"/>
      <c r="R934" s="20"/>
      <c r="S934" s="20"/>
      <c r="T934" s="62"/>
      <c r="U934" s="62"/>
      <c r="V934" s="20"/>
      <c r="W934" s="20"/>
      <c r="X934" s="20"/>
      <c r="Y934" s="20"/>
      <c r="Z934" s="20"/>
      <c r="AA934" s="20"/>
    </row>
    <row r="935" spans="1:27" ht="15.75" customHeight="1">
      <c r="A935" s="48"/>
      <c r="B935" s="56"/>
      <c r="C935" s="56"/>
      <c r="D935" s="57"/>
      <c r="E935" s="20"/>
      <c r="F935" s="58"/>
      <c r="G935" s="20"/>
      <c r="H935" s="60"/>
      <c r="I935" s="60"/>
      <c r="J935" s="61"/>
      <c r="K935" s="61"/>
      <c r="L935" s="59"/>
      <c r="M935" s="59"/>
      <c r="N935" s="59"/>
      <c r="O935" s="59"/>
      <c r="P935" s="20"/>
      <c r="Q935" s="20"/>
      <c r="R935" s="20"/>
      <c r="S935" s="20"/>
      <c r="T935" s="62"/>
      <c r="U935" s="62"/>
      <c r="V935" s="20"/>
      <c r="W935" s="20"/>
      <c r="X935" s="20"/>
      <c r="Y935" s="20"/>
      <c r="Z935" s="20"/>
      <c r="AA935" s="20"/>
    </row>
    <row r="936" spans="1:27" ht="15.75" customHeight="1">
      <c r="A936" s="48"/>
      <c r="B936" s="56"/>
      <c r="C936" s="56"/>
      <c r="D936" s="57"/>
      <c r="E936" s="20"/>
      <c r="F936" s="58"/>
      <c r="G936" s="20"/>
      <c r="H936" s="60"/>
      <c r="I936" s="60"/>
      <c r="J936" s="61"/>
      <c r="K936" s="61"/>
      <c r="L936" s="59"/>
      <c r="M936" s="59"/>
      <c r="N936" s="59"/>
      <c r="O936" s="59"/>
      <c r="P936" s="20"/>
      <c r="Q936" s="20"/>
      <c r="R936" s="20"/>
      <c r="S936" s="20"/>
      <c r="T936" s="62"/>
      <c r="U936" s="62"/>
      <c r="V936" s="20"/>
      <c r="W936" s="20"/>
      <c r="X936" s="20"/>
      <c r="Y936" s="20"/>
      <c r="Z936" s="20"/>
      <c r="AA936" s="20"/>
    </row>
    <row r="937" spans="1:27" ht="15.75" customHeight="1">
      <c r="A937" s="48"/>
      <c r="B937" s="56"/>
      <c r="C937" s="56"/>
      <c r="D937" s="57"/>
      <c r="E937" s="20"/>
      <c r="F937" s="58"/>
      <c r="G937" s="20"/>
      <c r="H937" s="60"/>
      <c r="I937" s="60"/>
      <c r="J937" s="61"/>
      <c r="K937" s="61"/>
      <c r="L937" s="59"/>
      <c r="M937" s="59"/>
      <c r="N937" s="59"/>
      <c r="O937" s="59"/>
      <c r="P937" s="20"/>
      <c r="Q937" s="20"/>
      <c r="R937" s="20"/>
      <c r="S937" s="20"/>
      <c r="T937" s="62"/>
      <c r="U937" s="62"/>
      <c r="V937" s="20"/>
      <c r="W937" s="20"/>
      <c r="X937" s="20"/>
      <c r="Y937" s="20"/>
      <c r="Z937" s="20"/>
      <c r="AA937" s="20"/>
    </row>
    <row r="938" spans="1:27" ht="15.75" customHeight="1">
      <c r="A938" s="48"/>
      <c r="B938" s="56"/>
      <c r="C938" s="56"/>
      <c r="D938" s="57"/>
      <c r="E938" s="20"/>
      <c r="F938" s="58"/>
      <c r="G938" s="20"/>
      <c r="H938" s="60"/>
      <c r="I938" s="60"/>
      <c r="J938" s="61"/>
      <c r="K938" s="61"/>
      <c r="L938" s="59"/>
      <c r="M938" s="59"/>
      <c r="N938" s="59"/>
      <c r="O938" s="59"/>
      <c r="P938" s="20"/>
      <c r="Q938" s="20"/>
      <c r="R938" s="20"/>
      <c r="S938" s="20"/>
      <c r="T938" s="62"/>
      <c r="U938" s="62"/>
      <c r="V938" s="20"/>
      <c r="W938" s="20"/>
      <c r="X938" s="20"/>
      <c r="Y938" s="20"/>
      <c r="Z938" s="20"/>
      <c r="AA938" s="20"/>
    </row>
    <row r="939" spans="1:27" ht="15.75" customHeight="1">
      <c r="A939" s="48"/>
      <c r="B939" s="56"/>
      <c r="C939" s="56"/>
      <c r="D939" s="57"/>
      <c r="E939" s="20"/>
      <c r="F939" s="58"/>
      <c r="G939" s="20"/>
      <c r="H939" s="60"/>
      <c r="I939" s="60"/>
      <c r="J939" s="61"/>
      <c r="K939" s="61"/>
      <c r="L939" s="59"/>
      <c r="M939" s="59"/>
      <c r="N939" s="59"/>
      <c r="O939" s="59"/>
      <c r="P939" s="20"/>
      <c r="Q939" s="20"/>
      <c r="R939" s="20"/>
      <c r="S939" s="20"/>
      <c r="T939" s="62"/>
      <c r="U939" s="62"/>
      <c r="V939" s="20"/>
      <c r="W939" s="20"/>
      <c r="X939" s="20"/>
      <c r="Y939" s="20"/>
      <c r="Z939" s="20"/>
      <c r="AA939" s="20"/>
    </row>
    <row r="940" spans="1:27" ht="15.75" customHeight="1">
      <c r="A940" s="48"/>
      <c r="B940" s="56"/>
      <c r="C940" s="56"/>
      <c r="D940" s="57"/>
      <c r="E940" s="20"/>
      <c r="F940" s="58"/>
      <c r="G940" s="20"/>
      <c r="H940" s="60"/>
      <c r="I940" s="60"/>
      <c r="J940" s="61"/>
      <c r="K940" s="61"/>
      <c r="L940" s="59"/>
      <c r="M940" s="59"/>
      <c r="N940" s="59"/>
      <c r="O940" s="59"/>
      <c r="P940" s="20"/>
      <c r="Q940" s="20"/>
      <c r="R940" s="20"/>
      <c r="S940" s="20"/>
      <c r="T940" s="62"/>
      <c r="U940" s="62"/>
      <c r="V940" s="20"/>
      <c r="W940" s="20"/>
      <c r="X940" s="20"/>
      <c r="Y940" s="20"/>
      <c r="Z940" s="20"/>
      <c r="AA940" s="20"/>
    </row>
    <row r="941" spans="1:27" ht="15.75" customHeight="1">
      <c r="A941" s="48"/>
      <c r="B941" s="56"/>
      <c r="C941" s="56"/>
      <c r="D941" s="57"/>
      <c r="E941" s="20"/>
      <c r="F941" s="58"/>
      <c r="G941" s="20"/>
      <c r="H941" s="60"/>
      <c r="I941" s="60"/>
      <c r="J941" s="61"/>
      <c r="K941" s="61"/>
      <c r="L941" s="59"/>
      <c r="M941" s="59"/>
      <c r="N941" s="59"/>
      <c r="O941" s="59"/>
      <c r="P941" s="20"/>
      <c r="Q941" s="20"/>
      <c r="R941" s="20"/>
      <c r="S941" s="20"/>
      <c r="T941" s="62"/>
      <c r="U941" s="62"/>
      <c r="V941" s="20"/>
      <c r="W941" s="20"/>
      <c r="X941" s="20"/>
      <c r="Y941" s="20"/>
      <c r="Z941" s="20"/>
      <c r="AA941" s="20"/>
    </row>
    <row r="942" spans="1:27" ht="15.75" customHeight="1">
      <c r="A942" s="48"/>
      <c r="B942" s="56"/>
      <c r="C942" s="56"/>
      <c r="D942" s="57"/>
      <c r="E942" s="20"/>
      <c r="F942" s="58"/>
      <c r="G942" s="20"/>
      <c r="H942" s="60"/>
      <c r="I942" s="60"/>
      <c r="J942" s="61"/>
      <c r="K942" s="61"/>
      <c r="L942" s="59"/>
      <c r="M942" s="59"/>
      <c r="N942" s="59"/>
      <c r="O942" s="59"/>
      <c r="P942" s="20"/>
      <c r="Q942" s="20"/>
      <c r="R942" s="20"/>
      <c r="S942" s="20"/>
      <c r="T942" s="62"/>
      <c r="U942" s="62"/>
      <c r="V942" s="20"/>
      <c r="W942" s="20"/>
      <c r="X942" s="20"/>
      <c r="Y942" s="20"/>
      <c r="Z942" s="20"/>
      <c r="AA942" s="20"/>
    </row>
    <row r="943" spans="1:27" ht="15.75" customHeight="1">
      <c r="A943" s="48"/>
      <c r="B943" s="56"/>
      <c r="C943" s="56"/>
      <c r="D943" s="57"/>
      <c r="E943" s="20"/>
      <c r="F943" s="58"/>
      <c r="G943" s="20"/>
      <c r="H943" s="60"/>
      <c r="I943" s="60"/>
      <c r="J943" s="61"/>
      <c r="K943" s="61"/>
      <c r="L943" s="59"/>
      <c r="M943" s="59"/>
      <c r="N943" s="59"/>
      <c r="O943" s="59"/>
      <c r="P943" s="20"/>
      <c r="Q943" s="20"/>
      <c r="R943" s="20"/>
      <c r="S943" s="20"/>
      <c r="T943" s="62"/>
      <c r="U943" s="62"/>
      <c r="V943" s="20"/>
      <c r="W943" s="20"/>
      <c r="X943" s="20"/>
      <c r="Y943" s="20"/>
      <c r="Z943" s="20"/>
      <c r="AA943" s="20"/>
    </row>
    <row r="944" spans="1:27" ht="15.75" customHeight="1">
      <c r="A944" s="48"/>
      <c r="B944" s="56"/>
      <c r="C944" s="56"/>
      <c r="D944" s="57"/>
      <c r="E944" s="20"/>
      <c r="F944" s="58"/>
      <c r="G944" s="20"/>
      <c r="H944" s="60"/>
      <c r="I944" s="60"/>
      <c r="J944" s="61"/>
      <c r="K944" s="61"/>
      <c r="L944" s="59"/>
      <c r="M944" s="59"/>
      <c r="N944" s="59"/>
      <c r="O944" s="59"/>
      <c r="P944" s="20"/>
      <c r="Q944" s="20"/>
      <c r="R944" s="20"/>
      <c r="S944" s="20"/>
      <c r="T944" s="62"/>
      <c r="U944" s="62"/>
      <c r="V944" s="20"/>
      <c r="W944" s="20"/>
      <c r="X944" s="20"/>
      <c r="Y944" s="20"/>
      <c r="Z944" s="20"/>
      <c r="AA944" s="20"/>
    </row>
    <row r="945" spans="1:27" ht="15.75" customHeight="1">
      <c r="A945" s="48"/>
      <c r="B945" s="56"/>
      <c r="C945" s="56"/>
      <c r="D945" s="57"/>
      <c r="E945" s="20"/>
      <c r="F945" s="58"/>
      <c r="G945" s="20"/>
      <c r="H945" s="60"/>
      <c r="I945" s="60"/>
      <c r="J945" s="61"/>
      <c r="K945" s="61"/>
      <c r="L945" s="59"/>
      <c r="M945" s="59"/>
      <c r="N945" s="59"/>
      <c r="O945" s="59"/>
      <c r="P945" s="20"/>
      <c r="Q945" s="20"/>
      <c r="R945" s="20"/>
      <c r="S945" s="20"/>
      <c r="T945" s="62"/>
      <c r="U945" s="62"/>
      <c r="V945" s="20"/>
      <c r="W945" s="20"/>
      <c r="X945" s="20"/>
      <c r="Y945" s="20"/>
      <c r="Z945" s="20"/>
      <c r="AA945" s="20"/>
    </row>
    <row r="946" spans="1:27" ht="15.75" customHeight="1">
      <c r="A946" s="48"/>
      <c r="B946" s="56"/>
      <c r="C946" s="56"/>
      <c r="D946" s="57"/>
      <c r="E946" s="20"/>
      <c r="F946" s="58"/>
      <c r="G946" s="20"/>
      <c r="H946" s="60"/>
      <c r="I946" s="60"/>
      <c r="J946" s="61"/>
      <c r="K946" s="61"/>
      <c r="L946" s="59"/>
      <c r="M946" s="59"/>
      <c r="N946" s="59"/>
      <c r="O946" s="59"/>
      <c r="P946" s="20"/>
      <c r="Q946" s="20"/>
      <c r="R946" s="20"/>
      <c r="S946" s="20"/>
      <c r="T946" s="62"/>
      <c r="U946" s="62"/>
      <c r="V946" s="20"/>
      <c r="W946" s="20"/>
      <c r="X946" s="20"/>
      <c r="Y946" s="20"/>
      <c r="Z946" s="20"/>
      <c r="AA946" s="20"/>
    </row>
    <row r="947" spans="1:27" ht="15.75" customHeight="1">
      <c r="A947" s="48"/>
      <c r="B947" s="56"/>
      <c r="C947" s="56"/>
      <c r="D947" s="57"/>
      <c r="E947" s="20"/>
      <c r="F947" s="58"/>
      <c r="G947" s="20"/>
      <c r="H947" s="60"/>
      <c r="I947" s="60"/>
      <c r="J947" s="61"/>
      <c r="K947" s="61"/>
      <c r="L947" s="59"/>
      <c r="M947" s="59"/>
      <c r="N947" s="59"/>
      <c r="O947" s="59"/>
      <c r="P947" s="20"/>
      <c r="Q947" s="20"/>
      <c r="R947" s="20"/>
      <c r="S947" s="20"/>
      <c r="T947" s="62"/>
      <c r="U947" s="62"/>
      <c r="V947" s="20"/>
      <c r="W947" s="20"/>
      <c r="X947" s="20"/>
      <c r="Y947" s="20"/>
      <c r="Z947" s="20"/>
      <c r="AA947" s="20"/>
    </row>
    <row r="948" spans="1:27" ht="15.75" customHeight="1">
      <c r="A948" s="48"/>
      <c r="B948" s="56"/>
      <c r="C948" s="56"/>
      <c r="D948" s="57"/>
      <c r="E948" s="20"/>
      <c r="F948" s="58"/>
      <c r="G948" s="20"/>
      <c r="H948" s="60"/>
      <c r="I948" s="60"/>
      <c r="J948" s="61"/>
      <c r="K948" s="61"/>
      <c r="L948" s="59"/>
      <c r="M948" s="59"/>
      <c r="N948" s="59"/>
      <c r="O948" s="59"/>
      <c r="P948" s="20"/>
      <c r="Q948" s="20"/>
      <c r="R948" s="20"/>
      <c r="S948" s="20"/>
      <c r="T948" s="62"/>
      <c r="U948" s="62"/>
      <c r="V948" s="20"/>
      <c r="W948" s="20"/>
      <c r="X948" s="20"/>
      <c r="Y948" s="20"/>
      <c r="Z948" s="20"/>
      <c r="AA948" s="20"/>
    </row>
    <row r="949" spans="1:27" ht="15.75" customHeight="1">
      <c r="A949" s="48"/>
      <c r="B949" s="56"/>
      <c r="C949" s="56"/>
      <c r="D949" s="57"/>
      <c r="E949" s="20"/>
      <c r="F949" s="58"/>
      <c r="G949" s="20"/>
      <c r="H949" s="60"/>
      <c r="I949" s="60"/>
      <c r="J949" s="61"/>
      <c r="K949" s="61"/>
      <c r="L949" s="59"/>
      <c r="M949" s="59"/>
      <c r="N949" s="59"/>
      <c r="O949" s="59"/>
      <c r="P949" s="20"/>
      <c r="Q949" s="20"/>
      <c r="R949" s="20"/>
      <c r="S949" s="20"/>
      <c r="T949" s="62"/>
      <c r="U949" s="62"/>
      <c r="V949" s="20"/>
      <c r="W949" s="20"/>
      <c r="X949" s="20"/>
      <c r="Y949" s="20"/>
      <c r="Z949" s="20"/>
      <c r="AA949" s="20"/>
    </row>
    <row r="950" spans="1:27" ht="15.75" customHeight="1">
      <c r="A950" s="48"/>
      <c r="B950" s="56"/>
      <c r="C950" s="56"/>
      <c r="D950" s="57"/>
      <c r="E950" s="20"/>
      <c r="F950" s="58"/>
      <c r="G950" s="20"/>
      <c r="H950" s="60"/>
      <c r="I950" s="60"/>
      <c r="J950" s="61"/>
      <c r="K950" s="61"/>
      <c r="L950" s="59"/>
      <c r="M950" s="59"/>
      <c r="N950" s="59"/>
      <c r="O950" s="59"/>
      <c r="P950" s="20"/>
      <c r="Q950" s="20"/>
      <c r="R950" s="20"/>
      <c r="S950" s="20"/>
      <c r="T950" s="62"/>
      <c r="U950" s="62"/>
      <c r="V950" s="20"/>
      <c r="W950" s="20"/>
      <c r="X950" s="20"/>
      <c r="Y950" s="20"/>
      <c r="Z950" s="20"/>
      <c r="AA950" s="20"/>
    </row>
    <row r="951" spans="1:27" ht="15.75" customHeight="1">
      <c r="A951" s="48"/>
      <c r="B951" s="56"/>
      <c r="C951" s="56"/>
      <c r="D951" s="57"/>
      <c r="E951" s="20"/>
      <c r="F951" s="58"/>
      <c r="G951" s="20"/>
      <c r="H951" s="60"/>
      <c r="I951" s="60"/>
      <c r="J951" s="61"/>
      <c r="K951" s="61"/>
      <c r="L951" s="59"/>
      <c r="M951" s="59"/>
      <c r="N951" s="59"/>
      <c r="O951" s="59"/>
      <c r="P951" s="20"/>
      <c r="Q951" s="20"/>
      <c r="R951" s="20"/>
      <c r="S951" s="20"/>
      <c r="T951" s="62"/>
      <c r="U951" s="62"/>
      <c r="V951" s="20"/>
      <c r="W951" s="20"/>
      <c r="X951" s="20"/>
      <c r="Y951" s="20"/>
      <c r="Z951" s="20"/>
      <c r="AA951" s="20"/>
    </row>
    <row r="952" spans="1:27" ht="15.75" customHeight="1">
      <c r="A952" s="48"/>
      <c r="B952" s="56"/>
      <c r="C952" s="56"/>
      <c r="D952" s="57"/>
      <c r="E952" s="20"/>
      <c r="F952" s="58"/>
      <c r="G952" s="20"/>
      <c r="H952" s="60"/>
      <c r="I952" s="60"/>
      <c r="J952" s="61"/>
      <c r="K952" s="61"/>
      <c r="L952" s="59"/>
      <c r="M952" s="59"/>
      <c r="N952" s="59"/>
      <c r="O952" s="59"/>
      <c r="P952" s="20"/>
      <c r="Q952" s="20"/>
      <c r="R952" s="20"/>
      <c r="S952" s="20"/>
      <c r="T952" s="62"/>
      <c r="U952" s="62"/>
      <c r="V952" s="20"/>
      <c r="W952" s="20"/>
      <c r="X952" s="20"/>
      <c r="Y952" s="20"/>
      <c r="Z952" s="20"/>
      <c r="AA952" s="20"/>
    </row>
    <row r="953" spans="1:27" ht="15.75" customHeight="1">
      <c r="A953" s="48"/>
      <c r="B953" s="56"/>
      <c r="C953" s="56"/>
      <c r="D953" s="57"/>
      <c r="E953" s="20"/>
      <c r="F953" s="58"/>
      <c r="G953" s="20"/>
      <c r="H953" s="60"/>
      <c r="I953" s="60"/>
      <c r="J953" s="61"/>
      <c r="K953" s="61"/>
      <c r="L953" s="59"/>
      <c r="M953" s="59"/>
      <c r="N953" s="59"/>
      <c r="O953" s="59"/>
      <c r="P953" s="20"/>
      <c r="Q953" s="20"/>
      <c r="R953" s="20"/>
      <c r="S953" s="20"/>
      <c r="T953" s="62"/>
      <c r="U953" s="62"/>
      <c r="V953" s="20"/>
      <c r="W953" s="20"/>
      <c r="X953" s="20"/>
      <c r="Y953" s="20"/>
      <c r="Z953" s="20"/>
      <c r="AA953" s="20"/>
    </row>
    <row r="954" spans="1:27" ht="15.75" customHeight="1">
      <c r="A954" s="48"/>
      <c r="B954" s="56"/>
      <c r="C954" s="56"/>
      <c r="D954" s="57"/>
      <c r="E954" s="20"/>
      <c r="F954" s="58"/>
      <c r="G954" s="20"/>
      <c r="H954" s="60"/>
      <c r="I954" s="60"/>
      <c r="J954" s="61"/>
      <c r="K954" s="61"/>
      <c r="L954" s="59"/>
      <c r="M954" s="59"/>
      <c r="N954" s="59"/>
      <c r="O954" s="59"/>
      <c r="P954" s="20"/>
      <c r="Q954" s="20"/>
      <c r="R954" s="20"/>
      <c r="S954" s="20"/>
      <c r="T954" s="62"/>
      <c r="U954" s="62"/>
      <c r="V954" s="20"/>
      <c r="W954" s="20"/>
      <c r="X954" s="20"/>
      <c r="Y954" s="20"/>
      <c r="Z954" s="20"/>
      <c r="AA954" s="20"/>
    </row>
    <row r="955" spans="1:27" ht="15.75" customHeight="1">
      <c r="A955" s="48"/>
      <c r="B955" s="56"/>
      <c r="C955" s="56"/>
      <c r="D955" s="57"/>
      <c r="E955" s="20"/>
      <c r="F955" s="58"/>
      <c r="G955" s="20"/>
      <c r="H955" s="60"/>
      <c r="I955" s="60"/>
      <c r="J955" s="61"/>
      <c r="K955" s="61"/>
      <c r="L955" s="59"/>
      <c r="M955" s="59"/>
      <c r="N955" s="59"/>
      <c r="O955" s="59"/>
      <c r="P955" s="20"/>
      <c r="Q955" s="20"/>
      <c r="R955" s="20"/>
      <c r="S955" s="20"/>
      <c r="T955" s="62"/>
      <c r="U955" s="62"/>
      <c r="V955" s="20"/>
      <c r="W955" s="20"/>
      <c r="X955" s="20"/>
      <c r="Y955" s="20"/>
      <c r="Z955" s="20"/>
      <c r="AA955" s="20"/>
    </row>
    <row r="956" spans="1:27" ht="15.75" customHeight="1">
      <c r="A956" s="48"/>
      <c r="B956" s="56"/>
      <c r="C956" s="56"/>
      <c r="D956" s="57"/>
      <c r="E956" s="20"/>
      <c r="F956" s="58"/>
      <c r="G956" s="20"/>
      <c r="H956" s="60"/>
      <c r="I956" s="60"/>
      <c r="J956" s="61"/>
      <c r="K956" s="61"/>
      <c r="L956" s="59"/>
      <c r="M956" s="59"/>
      <c r="N956" s="59"/>
      <c r="O956" s="59"/>
      <c r="P956" s="20"/>
      <c r="Q956" s="20"/>
      <c r="R956" s="20"/>
      <c r="S956" s="20"/>
      <c r="T956" s="62"/>
      <c r="U956" s="62"/>
      <c r="V956" s="20"/>
      <c r="W956" s="20"/>
      <c r="X956" s="20"/>
      <c r="Y956" s="20"/>
      <c r="Z956" s="20"/>
      <c r="AA956" s="20"/>
    </row>
    <row r="957" spans="1:27" ht="15.75" customHeight="1">
      <c r="A957" s="48"/>
      <c r="B957" s="56"/>
      <c r="C957" s="56"/>
      <c r="D957" s="57"/>
      <c r="E957" s="20"/>
      <c r="F957" s="58"/>
      <c r="G957" s="20"/>
      <c r="H957" s="60"/>
      <c r="I957" s="60"/>
      <c r="J957" s="61"/>
      <c r="K957" s="61"/>
      <c r="L957" s="59"/>
      <c r="M957" s="59"/>
      <c r="N957" s="59"/>
      <c r="O957" s="59"/>
      <c r="P957" s="20"/>
      <c r="Q957" s="20"/>
      <c r="R957" s="20"/>
      <c r="S957" s="20"/>
      <c r="T957" s="62"/>
      <c r="U957" s="62"/>
      <c r="V957" s="20"/>
      <c r="W957" s="20"/>
      <c r="X957" s="20"/>
      <c r="Y957" s="20"/>
      <c r="Z957" s="20"/>
      <c r="AA957" s="20"/>
    </row>
    <row r="958" spans="1:27" ht="15.75" customHeight="1">
      <c r="A958" s="48"/>
      <c r="B958" s="56"/>
      <c r="C958" s="56"/>
      <c r="D958" s="57"/>
      <c r="E958" s="20"/>
      <c r="F958" s="58"/>
      <c r="G958" s="20"/>
      <c r="H958" s="60"/>
      <c r="I958" s="60"/>
      <c r="J958" s="61"/>
      <c r="K958" s="61"/>
      <c r="L958" s="59"/>
      <c r="M958" s="59"/>
      <c r="N958" s="59"/>
      <c r="O958" s="59"/>
      <c r="P958" s="20"/>
      <c r="Q958" s="20"/>
      <c r="R958" s="20"/>
      <c r="S958" s="20"/>
      <c r="T958" s="62"/>
      <c r="U958" s="62"/>
      <c r="V958" s="20"/>
      <c r="W958" s="20"/>
      <c r="X958" s="20"/>
      <c r="Y958" s="20"/>
      <c r="Z958" s="20"/>
      <c r="AA958" s="20"/>
    </row>
    <row r="959" spans="1:27" ht="15.75" customHeight="1">
      <c r="A959" s="48"/>
      <c r="B959" s="56"/>
      <c r="C959" s="56"/>
      <c r="D959" s="57"/>
      <c r="E959" s="20"/>
      <c r="F959" s="58"/>
      <c r="G959" s="20"/>
      <c r="H959" s="60"/>
      <c r="I959" s="60"/>
      <c r="J959" s="61"/>
      <c r="K959" s="61"/>
      <c r="L959" s="59"/>
      <c r="M959" s="59"/>
      <c r="N959" s="59"/>
      <c r="O959" s="59"/>
      <c r="P959" s="20"/>
      <c r="Q959" s="20"/>
      <c r="R959" s="20"/>
      <c r="S959" s="20"/>
      <c r="T959" s="62"/>
      <c r="U959" s="62"/>
      <c r="V959" s="20"/>
      <c r="W959" s="20"/>
      <c r="X959" s="20"/>
      <c r="Y959" s="20"/>
      <c r="Z959" s="20"/>
      <c r="AA959" s="20"/>
    </row>
    <row r="960" spans="1:27" ht="15.75" customHeight="1">
      <c r="A960" s="48"/>
      <c r="B960" s="56"/>
      <c r="C960" s="56"/>
      <c r="D960" s="57"/>
      <c r="E960" s="20"/>
      <c r="F960" s="58"/>
      <c r="G960" s="20"/>
      <c r="H960" s="60"/>
      <c r="I960" s="60"/>
      <c r="J960" s="61"/>
      <c r="K960" s="61"/>
      <c r="L960" s="59"/>
      <c r="M960" s="59"/>
      <c r="N960" s="59"/>
      <c r="O960" s="59"/>
      <c r="P960" s="20"/>
      <c r="Q960" s="20"/>
      <c r="R960" s="20"/>
      <c r="S960" s="20"/>
      <c r="T960" s="62"/>
      <c r="U960" s="62"/>
      <c r="V960" s="20"/>
      <c r="W960" s="20"/>
      <c r="X960" s="20"/>
      <c r="Y960" s="20"/>
      <c r="Z960" s="20"/>
      <c r="AA960" s="20"/>
    </row>
    <row r="961" spans="1:27" ht="15.75" customHeight="1">
      <c r="A961" s="48"/>
      <c r="B961" s="56"/>
      <c r="C961" s="56"/>
      <c r="D961" s="57"/>
      <c r="E961" s="20"/>
      <c r="F961" s="58"/>
      <c r="G961" s="20"/>
      <c r="H961" s="60"/>
      <c r="I961" s="60"/>
      <c r="J961" s="61"/>
      <c r="K961" s="61"/>
      <c r="L961" s="59"/>
      <c r="M961" s="59"/>
      <c r="N961" s="59"/>
      <c r="O961" s="59"/>
      <c r="P961" s="20"/>
      <c r="Q961" s="20"/>
      <c r="R961" s="20"/>
      <c r="S961" s="20"/>
      <c r="T961" s="62"/>
      <c r="U961" s="62"/>
      <c r="V961" s="20"/>
      <c r="W961" s="20"/>
      <c r="X961" s="20"/>
      <c r="Y961" s="20"/>
      <c r="Z961" s="20"/>
      <c r="AA961" s="20"/>
    </row>
    <row r="962" spans="1:27" ht="15.75" customHeight="1">
      <c r="A962" s="48"/>
      <c r="B962" s="56"/>
      <c r="C962" s="56"/>
      <c r="D962" s="57"/>
      <c r="E962" s="20"/>
      <c r="F962" s="58"/>
      <c r="G962" s="20"/>
      <c r="H962" s="60"/>
      <c r="I962" s="60"/>
      <c r="J962" s="61"/>
      <c r="K962" s="61"/>
      <c r="L962" s="59"/>
      <c r="M962" s="59"/>
      <c r="N962" s="59"/>
      <c r="O962" s="59"/>
      <c r="P962" s="20"/>
      <c r="Q962" s="20"/>
      <c r="R962" s="20"/>
      <c r="S962" s="20"/>
      <c r="T962" s="62"/>
      <c r="U962" s="62"/>
      <c r="V962" s="20"/>
      <c r="W962" s="20"/>
      <c r="X962" s="20"/>
      <c r="Y962" s="20"/>
      <c r="Z962" s="20"/>
      <c r="AA962" s="20"/>
    </row>
    <row r="963" spans="1:27" ht="15.75" customHeight="1">
      <c r="A963" s="48"/>
      <c r="B963" s="56"/>
      <c r="C963" s="56"/>
      <c r="D963" s="57"/>
      <c r="E963" s="20"/>
      <c r="F963" s="58"/>
      <c r="G963" s="20"/>
      <c r="H963" s="60"/>
      <c r="I963" s="60"/>
      <c r="J963" s="61"/>
      <c r="K963" s="61"/>
      <c r="L963" s="59"/>
      <c r="M963" s="59"/>
      <c r="N963" s="59"/>
      <c r="O963" s="59"/>
      <c r="P963" s="20"/>
      <c r="Q963" s="20"/>
      <c r="R963" s="20"/>
      <c r="S963" s="20"/>
      <c r="T963" s="62"/>
      <c r="U963" s="62"/>
      <c r="V963" s="20"/>
      <c r="W963" s="20"/>
      <c r="X963" s="20"/>
      <c r="Y963" s="20"/>
      <c r="Z963" s="20"/>
      <c r="AA963" s="20"/>
    </row>
    <row r="964" spans="1:27" ht="15.75" customHeight="1">
      <c r="A964" s="48"/>
      <c r="B964" s="56"/>
      <c r="C964" s="56"/>
      <c r="D964" s="57"/>
      <c r="E964" s="20"/>
      <c r="F964" s="58"/>
      <c r="G964" s="20"/>
      <c r="H964" s="60"/>
      <c r="I964" s="60"/>
      <c r="J964" s="61"/>
      <c r="K964" s="61"/>
      <c r="L964" s="59"/>
      <c r="M964" s="59"/>
      <c r="N964" s="59"/>
      <c r="O964" s="59"/>
      <c r="P964" s="20"/>
      <c r="Q964" s="20"/>
      <c r="R964" s="20"/>
      <c r="S964" s="20"/>
      <c r="T964" s="62"/>
      <c r="U964" s="62"/>
      <c r="V964" s="20"/>
      <c r="W964" s="20"/>
      <c r="X964" s="20"/>
      <c r="Y964" s="20"/>
      <c r="Z964" s="20"/>
      <c r="AA964" s="20"/>
    </row>
    <row r="965" spans="1:27" ht="15.75" customHeight="1">
      <c r="A965" s="48"/>
      <c r="B965" s="56"/>
      <c r="C965" s="56"/>
      <c r="D965" s="57"/>
      <c r="E965" s="20"/>
      <c r="F965" s="58"/>
      <c r="G965" s="20"/>
      <c r="H965" s="60"/>
      <c r="I965" s="60"/>
      <c r="J965" s="61"/>
      <c r="K965" s="61"/>
      <c r="L965" s="59"/>
      <c r="M965" s="59"/>
      <c r="N965" s="59"/>
      <c r="O965" s="59"/>
      <c r="P965" s="20"/>
      <c r="Q965" s="20"/>
      <c r="R965" s="20"/>
      <c r="S965" s="20"/>
      <c r="T965" s="62"/>
      <c r="U965" s="62"/>
      <c r="V965" s="20"/>
      <c r="W965" s="20"/>
      <c r="X965" s="20"/>
      <c r="Y965" s="20"/>
      <c r="Z965" s="20"/>
      <c r="AA965" s="20"/>
    </row>
    <row r="966" spans="1:27" ht="15.75" customHeight="1">
      <c r="A966" s="48"/>
      <c r="B966" s="56"/>
      <c r="C966" s="56"/>
      <c r="D966" s="57"/>
      <c r="E966" s="20"/>
      <c r="F966" s="58"/>
      <c r="G966" s="20"/>
      <c r="H966" s="60"/>
      <c r="I966" s="60"/>
      <c r="J966" s="61"/>
      <c r="K966" s="61"/>
      <c r="L966" s="59"/>
      <c r="M966" s="59"/>
      <c r="N966" s="59"/>
      <c r="O966" s="59"/>
      <c r="P966" s="20"/>
      <c r="Q966" s="20"/>
      <c r="R966" s="20"/>
      <c r="S966" s="20"/>
      <c r="T966" s="62"/>
      <c r="U966" s="62"/>
      <c r="V966" s="20"/>
      <c r="W966" s="20"/>
      <c r="X966" s="20"/>
      <c r="Y966" s="20"/>
      <c r="Z966" s="20"/>
      <c r="AA966" s="20"/>
    </row>
    <row r="967" spans="1:27" ht="15.75" customHeight="1">
      <c r="A967" s="48"/>
      <c r="B967" s="56"/>
      <c r="C967" s="56"/>
      <c r="D967" s="57"/>
      <c r="E967" s="20"/>
      <c r="F967" s="58"/>
      <c r="G967" s="20"/>
      <c r="H967" s="60"/>
      <c r="I967" s="60"/>
      <c r="J967" s="61"/>
      <c r="K967" s="61"/>
      <c r="L967" s="59"/>
      <c r="M967" s="59"/>
      <c r="N967" s="59"/>
      <c r="O967" s="59"/>
      <c r="P967" s="20"/>
      <c r="Q967" s="20"/>
      <c r="R967" s="20"/>
      <c r="S967" s="20"/>
      <c r="T967" s="62"/>
      <c r="U967" s="62"/>
      <c r="V967" s="20"/>
      <c r="W967" s="20"/>
      <c r="X967" s="20"/>
      <c r="Y967" s="20"/>
      <c r="Z967" s="20"/>
      <c r="AA967" s="20"/>
    </row>
    <row r="968" spans="1:27" ht="15.75" customHeight="1">
      <c r="A968" s="48"/>
      <c r="B968" s="56"/>
      <c r="C968" s="56"/>
      <c r="D968" s="57"/>
      <c r="E968" s="20"/>
      <c r="F968" s="58"/>
      <c r="G968" s="20"/>
      <c r="H968" s="60"/>
      <c r="I968" s="60"/>
      <c r="J968" s="61"/>
      <c r="K968" s="61"/>
      <c r="L968" s="59"/>
      <c r="M968" s="59"/>
      <c r="N968" s="59"/>
      <c r="O968" s="59"/>
      <c r="P968" s="20"/>
      <c r="Q968" s="20"/>
      <c r="R968" s="20"/>
      <c r="S968" s="20"/>
      <c r="T968" s="62"/>
      <c r="U968" s="62"/>
      <c r="V968" s="20"/>
      <c r="W968" s="20"/>
      <c r="X968" s="20"/>
      <c r="Y968" s="20"/>
      <c r="Z968" s="20"/>
      <c r="AA968" s="20"/>
    </row>
    <row r="969" spans="1:27" ht="15.75" customHeight="1">
      <c r="A969" s="48"/>
      <c r="B969" s="56"/>
      <c r="C969" s="56"/>
      <c r="D969" s="57"/>
      <c r="E969" s="20"/>
      <c r="F969" s="58"/>
      <c r="G969" s="20"/>
      <c r="H969" s="60"/>
      <c r="I969" s="60"/>
      <c r="J969" s="61"/>
      <c r="K969" s="61"/>
      <c r="L969" s="59"/>
      <c r="M969" s="59"/>
      <c r="N969" s="59"/>
      <c r="O969" s="59"/>
      <c r="P969" s="20"/>
      <c r="Q969" s="20"/>
      <c r="R969" s="20"/>
      <c r="S969" s="20"/>
      <c r="T969" s="62"/>
      <c r="U969" s="62"/>
      <c r="V969" s="20"/>
      <c r="W969" s="20"/>
      <c r="X969" s="20"/>
      <c r="Y969" s="20"/>
      <c r="Z969" s="20"/>
      <c r="AA969" s="20"/>
    </row>
    <row r="970" spans="1:27" ht="15.75" customHeight="1">
      <c r="A970" s="48"/>
      <c r="B970" s="56"/>
      <c r="C970" s="56"/>
      <c r="D970" s="57"/>
      <c r="E970" s="20"/>
      <c r="F970" s="58"/>
      <c r="G970" s="20"/>
      <c r="H970" s="60"/>
      <c r="I970" s="60"/>
      <c r="J970" s="61"/>
      <c r="K970" s="61"/>
      <c r="L970" s="59"/>
      <c r="M970" s="59"/>
      <c r="N970" s="59"/>
      <c r="O970" s="59"/>
      <c r="P970" s="20"/>
      <c r="Q970" s="20"/>
      <c r="R970" s="20"/>
      <c r="S970" s="20"/>
      <c r="T970" s="62"/>
      <c r="U970" s="62"/>
      <c r="V970" s="20"/>
      <c r="W970" s="20"/>
      <c r="X970" s="20"/>
      <c r="Y970" s="20"/>
      <c r="Z970" s="20"/>
      <c r="AA970" s="20"/>
    </row>
    <row r="971" spans="1:27" ht="15.75" customHeight="1">
      <c r="A971" s="48"/>
      <c r="B971" s="56"/>
      <c r="C971" s="56"/>
      <c r="D971" s="57"/>
      <c r="E971" s="20"/>
      <c r="F971" s="58"/>
      <c r="G971" s="20"/>
      <c r="H971" s="60"/>
      <c r="I971" s="60"/>
      <c r="J971" s="61"/>
      <c r="K971" s="61"/>
      <c r="L971" s="59"/>
      <c r="M971" s="59"/>
      <c r="N971" s="59"/>
      <c r="O971" s="59"/>
      <c r="P971" s="20"/>
      <c r="Q971" s="20"/>
      <c r="R971" s="20"/>
      <c r="S971" s="20"/>
      <c r="T971" s="62"/>
      <c r="U971" s="62"/>
      <c r="V971" s="20"/>
      <c r="W971" s="20"/>
      <c r="X971" s="20"/>
      <c r="Y971" s="20"/>
      <c r="Z971" s="20"/>
      <c r="AA971" s="20"/>
    </row>
    <row r="972" spans="1:27" ht="15.75" customHeight="1">
      <c r="A972" s="48"/>
      <c r="B972" s="56"/>
      <c r="C972" s="56"/>
      <c r="D972" s="57"/>
      <c r="E972" s="20"/>
      <c r="F972" s="58"/>
      <c r="G972" s="20"/>
      <c r="H972" s="60"/>
      <c r="I972" s="60"/>
      <c r="J972" s="61"/>
      <c r="K972" s="61"/>
      <c r="L972" s="59"/>
      <c r="M972" s="59"/>
      <c r="N972" s="59"/>
      <c r="O972" s="59"/>
      <c r="P972" s="20"/>
      <c r="Q972" s="20"/>
      <c r="R972" s="20"/>
      <c r="S972" s="20"/>
      <c r="T972" s="62"/>
      <c r="U972" s="62"/>
      <c r="V972" s="20"/>
      <c r="W972" s="20"/>
      <c r="X972" s="20"/>
      <c r="Y972" s="20"/>
      <c r="Z972" s="20"/>
      <c r="AA972" s="20"/>
    </row>
    <row r="973" spans="1:27" ht="15.75" customHeight="1">
      <c r="A973" s="48"/>
      <c r="B973" s="56"/>
      <c r="C973" s="56"/>
      <c r="D973" s="57"/>
      <c r="E973" s="20"/>
      <c r="F973" s="58"/>
      <c r="G973" s="20"/>
      <c r="H973" s="60"/>
      <c r="I973" s="60"/>
      <c r="J973" s="61"/>
      <c r="K973" s="61"/>
      <c r="L973" s="59"/>
      <c r="M973" s="59"/>
      <c r="N973" s="59"/>
      <c r="O973" s="59"/>
      <c r="P973" s="20"/>
      <c r="Q973" s="20"/>
      <c r="R973" s="20"/>
      <c r="S973" s="20"/>
      <c r="T973" s="62"/>
      <c r="U973" s="62"/>
      <c r="V973" s="20"/>
      <c r="W973" s="20"/>
      <c r="X973" s="20"/>
      <c r="Y973" s="20"/>
      <c r="Z973" s="20"/>
      <c r="AA973" s="20"/>
    </row>
    <row r="974" spans="1:27" ht="15.75" customHeight="1">
      <c r="A974" s="48"/>
      <c r="B974" s="56"/>
      <c r="C974" s="56"/>
      <c r="D974" s="57"/>
      <c r="E974" s="20"/>
      <c r="F974" s="58"/>
      <c r="G974" s="20"/>
      <c r="H974" s="60"/>
      <c r="I974" s="60"/>
      <c r="J974" s="61"/>
      <c r="K974" s="61"/>
      <c r="L974" s="59"/>
      <c r="M974" s="59"/>
      <c r="N974" s="59"/>
      <c r="O974" s="59"/>
      <c r="P974" s="20"/>
      <c r="Q974" s="20"/>
      <c r="R974" s="20"/>
      <c r="S974" s="20"/>
      <c r="T974" s="62"/>
      <c r="U974" s="62"/>
      <c r="V974" s="20"/>
      <c r="W974" s="20"/>
      <c r="X974" s="20"/>
      <c r="Y974" s="20"/>
      <c r="Z974" s="20"/>
      <c r="AA974" s="20"/>
    </row>
    <row r="975" spans="1:27" ht="15.75" customHeight="1">
      <c r="A975" s="48"/>
      <c r="B975" s="56"/>
      <c r="C975" s="56"/>
      <c r="D975" s="57"/>
      <c r="E975" s="20"/>
      <c r="F975" s="58"/>
      <c r="G975" s="20"/>
      <c r="H975" s="60"/>
      <c r="I975" s="60"/>
      <c r="J975" s="61"/>
      <c r="K975" s="61"/>
      <c r="L975" s="59"/>
      <c r="M975" s="59"/>
      <c r="N975" s="59"/>
      <c r="O975" s="59"/>
      <c r="P975" s="20"/>
      <c r="Q975" s="20"/>
      <c r="R975" s="20"/>
      <c r="S975" s="20"/>
      <c r="T975" s="62"/>
      <c r="U975" s="62"/>
      <c r="V975" s="20"/>
      <c r="W975" s="20"/>
      <c r="X975" s="20"/>
      <c r="Y975" s="20"/>
      <c r="Z975" s="20"/>
      <c r="AA975" s="20"/>
    </row>
    <row r="976" spans="1:27" ht="15.75" customHeight="1">
      <c r="A976" s="48"/>
      <c r="B976" s="56"/>
      <c r="C976" s="56"/>
      <c r="D976" s="57"/>
      <c r="E976" s="20"/>
      <c r="F976" s="58"/>
      <c r="G976" s="20"/>
      <c r="H976" s="60"/>
      <c r="I976" s="60"/>
      <c r="J976" s="61"/>
      <c r="K976" s="61"/>
      <c r="L976" s="59"/>
      <c r="M976" s="59"/>
      <c r="N976" s="59"/>
      <c r="O976" s="59"/>
      <c r="P976" s="20"/>
      <c r="Q976" s="20"/>
      <c r="R976" s="20"/>
      <c r="S976" s="20"/>
      <c r="T976" s="62"/>
      <c r="U976" s="62"/>
      <c r="V976" s="20"/>
      <c r="W976" s="20"/>
      <c r="X976" s="20"/>
      <c r="Y976" s="20"/>
      <c r="Z976" s="20"/>
      <c r="AA976" s="20"/>
    </row>
    <row r="977" spans="1:27" ht="15.75" customHeight="1">
      <c r="A977" s="48"/>
      <c r="B977" s="56"/>
      <c r="C977" s="56"/>
      <c r="D977" s="57"/>
      <c r="E977" s="20"/>
      <c r="F977" s="58"/>
      <c r="G977" s="20"/>
      <c r="H977" s="60"/>
      <c r="I977" s="60"/>
      <c r="J977" s="61"/>
      <c r="K977" s="61"/>
      <c r="L977" s="59"/>
      <c r="M977" s="59"/>
      <c r="N977" s="59"/>
      <c r="O977" s="59"/>
      <c r="P977" s="20"/>
      <c r="Q977" s="20"/>
      <c r="R977" s="20"/>
      <c r="S977" s="20"/>
      <c r="T977" s="62"/>
      <c r="U977" s="62"/>
      <c r="V977" s="20"/>
      <c r="W977" s="20"/>
      <c r="X977" s="20"/>
      <c r="Y977" s="20"/>
      <c r="Z977" s="20"/>
      <c r="AA977" s="20"/>
    </row>
    <row r="978" spans="1:27" ht="15.75" customHeight="1">
      <c r="A978" s="48"/>
      <c r="B978" s="56"/>
      <c r="C978" s="56"/>
      <c r="D978" s="57"/>
      <c r="E978" s="20"/>
      <c r="F978" s="58"/>
      <c r="G978" s="20"/>
      <c r="H978" s="60"/>
      <c r="I978" s="60"/>
      <c r="J978" s="61"/>
      <c r="K978" s="61"/>
      <c r="L978" s="59"/>
      <c r="M978" s="59"/>
      <c r="N978" s="59"/>
      <c r="O978" s="59"/>
      <c r="P978" s="20"/>
      <c r="Q978" s="20"/>
      <c r="R978" s="20"/>
      <c r="S978" s="20"/>
      <c r="T978" s="62"/>
      <c r="U978" s="62"/>
      <c r="V978" s="20"/>
      <c r="W978" s="20"/>
      <c r="X978" s="20"/>
      <c r="Y978" s="20"/>
      <c r="Z978" s="20"/>
      <c r="AA978" s="20"/>
    </row>
    <row r="979" spans="1:27" ht="15.75" customHeight="1">
      <c r="A979" s="48"/>
      <c r="B979" s="56"/>
      <c r="C979" s="56"/>
      <c r="D979" s="57"/>
      <c r="E979" s="20"/>
      <c r="F979" s="58"/>
      <c r="G979" s="20"/>
      <c r="H979" s="60"/>
      <c r="I979" s="60"/>
      <c r="J979" s="61"/>
      <c r="K979" s="61"/>
      <c r="L979" s="59"/>
      <c r="M979" s="59"/>
      <c r="N979" s="59"/>
      <c r="O979" s="59"/>
      <c r="P979" s="20"/>
      <c r="Q979" s="20"/>
      <c r="R979" s="20"/>
      <c r="S979" s="20"/>
      <c r="T979" s="62"/>
      <c r="U979" s="62"/>
      <c r="V979" s="20"/>
      <c r="W979" s="20"/>
      <c r="X979" s="20"/>
      <c r="Y979" s="20"/>
      <c r="Z979" s="20"/>
      <c r="AA979" s="20"/>
    </row>
    <row r="980" spans="1:27" ht="15.75" customHeight="1">
      <c r="A980" s="48"/>
      <c r="B980" s="56"/>
      <c r="C980" s="56"/>
      <c r="D980" s="57"/>
      <c r="E980" s="20"/>
      <c r="F980" s="58"/>
      <c r="G980" s="20"/>
      <c r="H980" s="60"/>
      <c r="I980" s="60"/>
      <c r="J980" s="61"/>
      <c r="K980" s="61"/>
      <c r="L980" s="59"/>
      <c r="M980" s="59"/>
      <c r="N980" s="59"/>
      <c r="O980" s="59"/>
      <c r="P980" s="20"/>
      <c r="Q980" s="20"/>
      <c r="R980" s="20"/>
      <c r="S980" s="20"/>
      <c r="T980" s="62"/>
      <c r="U980" s="62"/>
      <c r="V980" s="20"/>
      <c r="W980" s="20"/>
      <c r="X980" s="20"/>
      <c r="Y980" s="20"/>
      <c r="Z980" s="20"/>
      <c r="AA980" s="20"/>
    </row>
    <row r="981" spans="1:27" ht="15.75" customHeight="1">
      <c r="A981" s="48"/>
      <c r="B981" s="56"/>
      <c r="C981" s="56"/>
      <c r="D981" s="57"/>
      <c r="E981" s="20"/>
      <c r="F981" s="58"/>
      <c r="G981" s="20"/>
      <c r="H981" s="60"/>
      <c r="I981" s="60"/>
      <c r="J981" s="61"/>
      <c r="K981" s="61"/>
      <c r="L981" s="59"/>
      <c r="M981" s="59"/>
      <c r="N981" s="59"/>
      <c r="O981" s="59"/>
      <c r="P981" s="20"/>
      <c r="Q981" s="20"/>
      <c r="R981" s="20"/>
      <c r="S981" s="20"/>
      <c r="T981" s="62"/>
      <c r="U981" s="62"/>
      <c r="V981" s="20"/>
      <c r="W981" s="20"/>
      <c r="X981" s="20"/>
      <c r="Y981" s="20"/>
      <c r="Z981" s="20"/>
      <c r="AA981" s="20"/>
    </row>
    <row r="982" spans="1:27" ht="15.75" customHeight="1">
      <c r="A982" s="48"/>
      <c r="B982" s="56"/>
      <c r="C982" s="56"/>
      <c r="D982" s="57"/>
      <c r="E982" s="20"/>
      <c r="F982" s="58"/>
      <c r="G982" s="20"/>
      <c r="H982" s="60"/>
      <c r="I982" s="60"/>
      <c r="J982" s="61"/>
      <c r="K982" s="61"/>
      <c r="L982" s="59"/>
      <c r="M982" s="59"/>
      <c r="N982" s="59"/>
      <c r="O982" s="59"/>
      <c r="P982" s="20"/>
      <c r="Q982" s="20"/>
      <c r="R982" s="20"/>
      <c r="S982" s="20"/>
      <c r="T982" s="62"/>
      <c r="U982" s="62"/>
      <c r="V982" s="20"/>
      <c r="W982" s="20"/>
      <c r="X982" s="20"/>
      <c r="Y982" s="20"/>
      <c r="Z982" s="20"/>
      <c r="AA982" s="20"/>
    </row>
    <row r="983" spans="1:27" ht="15.75" customHeight="1">
      <c r="A983" s="48"/>
      <c r="B983" s="56"/>
      <c r="C983" s="56"/>
      <c r="D983" s="57"/>
      <c r="E983" s="20"/>
      <c r="F983" s="58"/>
      <c r="G983" s="20"/>
      <c r="H983" s="60"/>
      <c r="I983" s="60"/>
      <c r="J983" s="61"/>
      <c r="K983" s="61"/>
      <c r="L983" s="59"/>
      <c r="M983" s="59"/>
      <c r="N983" s="59"/>
      <c r="O983" s="59"/>
      <c r="P983" s="20"/>
      <c r="Q983" s="20"/>
      <c r="R983" s="20"/>
      <c r="S983" s="20"/>
      <c r="T983" s="62"/>
      <c r="U983" s="62"/>
      <c r="V983" s="20"/>
      <c r="W983" s="20"/>
      <c r="X983" s="20"/>
      <c r="Y983" s="20"/>
      <c r="Z983" s="20"/>
      <c r="AA983" s="20"/>
    </row>
    <row r="984" spans="1:27" ht="15.75" customHeight="1">
      <c r="A984" s="48"/>
      <c r="B984" s="56"/>
      <c r="C984" s="56"/>
      <c r="D984" s="57"/>
      <c r="E984" s="20"/>
      <c r="F984" s="58"/>
      <c r="G984" s="20"/>
      <c r="H984" s="60"/>
      <c r="I984" s="60"/>
      <c r="J984" s="61"/>
      <c r="K984" s="61"/>
      <c r="L984" s="59"/>
      <c r="M984" s="59"/>
      <c r="N984" s="59"/>
      <c r="O984" s="59"/>
      <c r="P984" s="20"/>
      <c r="Q984" s="20"/>
      <c r="R984" s="20"/>
      <c r="S984" s="20"/>
      <c r="T984" s="62"/>
      <c r="U984" s="62"/>
      <c r="V984" s="20"/>
      <c r="W984" s="20"/>
      <c r="X984" s="20"/>
      <c r="Y984" s="20"/>
      <c r="Z984" s="20"/>
      <c r="AA984" s="20"/>
    </row>
    <row r="985" spans="1:27" ht="15.75" customHeight="1">
      <c r="A985" s="48"/>
      <c r="B985" s="56"/>
      <c r="C985" s="56"/>
      <c r="D985" s="57"/>
      <c r="E985" s="20"/>
      <c r="F985" s="58"/>
      <c r="G985" s="20"/>
      <c r="H985" s="60"/>
      <c r="I985" s="60"/>
      <c r="J985" s="61"/>
      <c r="K985" s="61"/>
      <c r="L985" s="59"/>
      <c r="M985" s="59"/>
      <c r="N985" s="59"/>
      <c r="O985" s="59"/>
      <c r="P985" s="20"/>
      <c r="Q985" s="20"/>
      <c r="R985" s="20"/>
      <c r="S985" s="20"/>
      <c r="T985" s="62"/>
      <c r="U985" s="62"/>
      <c r="V985" s="20"/>
      <c r="W985" s="20"/>
      <c r="X985" s="20"/>
      <c r="Y985" s="20"/>
      <c r="Z985" s="20"/>
      <c r="AA985" s="20"/>
    </row>
    <row r="986" spans="1:27" ht="15.75" customHeight="1">
      <c r="A986" s="48"/>
      <c r="B986" s="56"/>
      <c r="C986" s="56"/>
      <c r="D986" s="57"/>
      <c r="E986" s="20"/>
      <c r="F986" s="58"/>
      <c r="G986" s="20"/>
      <c r="H986" s="60"/>
      <c r="I986" s="60"/>
      <c r="J986" s="61"/>
      <c r="K986" s="61"/>
      <c r="L986" s="59"/>
      <c r="M986" s="59"/>
      <c r="N986" s="59"/>
      <c r="O986" s="59"/>
      <c r="P986" s="20"/>
      <c r="Q986" s="20"/>
      <c r="R986" s="20"/>
      <c r="S986" s="20"/>
      <c r="T986" s="62"/>
      <c r="U986" s="62"/>
      <c r="V986" s="20"/>
      <c r="W986" s="20"/>
      <c r="X986" s="20"/>
      <c r="Y986" s="20"/>
      <c r="Z986" s="20"/>
      <c r="AA986" s="20"/>
    </row>
    <row r="987" spans="1:27" ht="15.75" customHeight="1">
      <c r="A987" s="48"/>
      <c r="B987" s="56"/>
      <c r="C987" s="56"/>
      <c r="D987" s="57"/>
      <c r="E987" s="20"/>
      <c r="F987" s="58"/>
      <c r="G987" s="20"/>
      <c r="H987" s="60"/>
      <c r="I987" s="60"/>
      <c r="J987" s="61"/>
      <c r="K987" s="61"/>
      <c r="L987" s="59"/>
      <c r="M987" s="59"/>
      <c r="N987" s="59"/>
      <c r="O987" s="59"/>
      <c r="P987" s="20"/>
      <c r="Q987" s="20"/>
      <c r="R987" s="20"/>
      <c r="S987" s="20"/>
      <c r="T987" s="62"/>
      <c r="U987" s="62"/>
      <c r="V987" s="20"/>
      <c r="W987" s="20"/>
      <c r="X987" s="20"/>
      <c r="Y987" s="20"/>
      <c r="Z987" s="20"/>
      <c r="AA987" s="20"/>
    </row>
    <row r="988" spans="1:27" ht="15.75" customHeight="1">
      <c r="A988" s="48"/>
      <c r="B988" s="56"/>
      <c r="C988" s="56"/>
      <c r="D988" s="57"/>
      <c r="E988" s="20"/>
      <c r="F988" s="58"/>
      <c r="G988" s="20"/>
      <c r="H988" s="60"/>
      <c r="I988" s="60"/>
      <c r="J988" s="61"/>
      <c r="K988" s="61"/>
      <c r="L988" s="59"/>
      <c r="M988" s="59"/>
      <c r="N988" s="59"/>
      <c r="O988" s="59"/>
      <c r="P988" s="20"/>
      <c r="Q988" s="20"/>
      <c r="R988" s="20"/>
      <c r="S988" s="20"/>
      <c r="T988" s="62"/>
      <c r="U988" s="62"/>
      <c r="V988" s="20"/>
      <c r="W988" s="20"/>
      <c r="X988" s="20"/>
      <c r="Y988" s="20"/>
      <c r="Z988" s="20"/>
      <c r="AA988" s="20"/>
    </row>
    <row r="989" spans="1:27" ht="15.75" customHeight="1">
      <c r="A989" s="48"/>
      <c r="B989" s="56"/>
      <c r="C989" s="56"/>
      <c r="D989" s="57"/>
      <c r="E989" s="20"/>
      <c r="F989" s="58"/>
      <c r="G989" s="20"/>
      <c r="H989" s="60"/>
      <c r="I989" s="60"/>
      <c r="J989" s="61"/>
      <c r="K989" s="61"/>
      <c r="L989" s="59"/>
      <c r="M989" s="59"/>
      <c r="N989" s="59"/>
      <c r="O989" s="59"/>
      <c r="P989" s="20"/>
      <c r="Q989" s="20"/>
      <c r="R989" s="20"/>
      <c r="S989" s="20"/>
      <c r="T989" s="62"/>
      <c r="U989" s="62"/>
      <c r="V989" s="20"/>
      <c r="W989" s="20"/>
      <c r="X989" s="20"/>
      <c r="Y989" s="20"/>
      <c r="Z989" s="20"/>
      <c r="AA989" s="20"/>
    </row>
    <row r="990" spans="1:27" ht="15.75" customHeight="1">
      <c r="A990" s="48"/>
      <c r="B990" s="56"/>
      <c r="C990" s="56"/>
      <c r="D990" s="57"/>
      <c r="E990" s="20"/>
      <c r="F990" s="58"/>
      <c r="G990" s="20"/>
      <c r="H990" s="60"/>
      <c r="I990" s="60"/>
      <c r="J990" s="61"/>
      <c r="K990" s="61"/>
      <c r="L990" s="59"/>
      <c r="M990" s="59"/>
      <c r="N990" s="59"/>
      <c r="O990" s="59"/>
      <c r="P990" s="20"/>
      <c r="Q990" s="20"/>
      <c r="R990" s="20"/>
      <c r="S990" s="20"/>
      <c r="T990" s="62"/>
      <c r="U990" s="62"/>
      <c r="V990" s="20"/>
      <c r="W990" s="20"/>
      <c r="X990" s="20"/>
      <c r="Y990" s="20"/>
      <c r="Z990" s="20"/>
      <c r="AA990" s="20"/>
    </row>
    <row r="991" spans="1:27" ht="15.75" customHeight="1">
      <c r="A991" s="48"/>
      <c r="B991" s="56"/>
      <c r="C991" s="56"/>
      <c r="D991" s="57"/>
      <c r="E991" s="20"/>
      <c r="F991" s="58"/>
      <c r="G991" s="20"/>
      <c r="H991" s="60"/>
      <c r="I991" s="60"/>
      <c r="J991" s="61"/>
      <c r="K991" s="61"/>
      <c r="L991" s="59"/>
      <c r="M991" s="59"/>
      <c r="N991" s="59"/>
      <c r="O991" s="59"/>
      <c r="P991" s="20"/>
      <c r="Q991" s="20"/>
      <c r="R991" s="20"/>
      <c r="S991" s="20"/>
      <c r="T991" s="62"/>
      <c r="U991" s="62"/>
      <c r="V991" s="20"/>
      <c r="W991" s="20"/>
      <c r="X991" s="20"/>
      <c r="Y991" s="20"/>
      <c r="Z991" s="20"/>
      <c r="AA991" s="20"/>
    </row>
    <row r="992" spans="1:27" ht="15.75" customHeight="1">
      <c r="A992" s="48"/>
      <c r="B992" s="56"/>
      <c r="C992" s="56"/>
      <c r="D992" s="57"/>
      <c r="E992" s="20"/>
      <c r="F992" s="58"/>
      <c r="G992" s="20"/>
      <c r="H992" s="60"/>
      <c r="I992" s="60"/>
      <c r="J992" s="61"/>
      <c r="K992" s="61"/>
      <c r="L992" s="59"/>
      <c r="M992" s="59"/>
      <c r="N992" s="59"/>
      <c r="O992" s="59"/>
      <c r="P992" s="20"/>
      <c r="Q992" s="20"/>
      <c r="R992" s="20"/>
      <c r="S992" s="20"/>
      <c r="T992" s="62"/>
      <c r="U992" s="62"/>
      <c r="V992" s="20"/>
      <c r="W992" s="20"/>
      <c r="X992" s="20"/>
      <c r="Y992" s="20"/>
      <c r="Z992" s="20"/>
      <c r="AA992" s="20"/>
    </row>
    <row r="993" spans="1:27" ht="15.75" customHeight="1">
      <c r="A993" s="48"/>
      <c r="B993" s="56"/>
      <c r="C993" s="56"/>
      <c r="D993" s="57"/>
      <c r="E993" s="20"/>
      <c r="F993" s="58"/>
      <c r="G993" s="20"/>
      <c r="H993" s="60"/>
      <c r="I993" s="60"/>
      <c r="J993" s="61"/>
      <c r="K993" s="61"/>
      <c r="L993" s="59"/>
      <c r="M993" s="59"/>
      <c r="N993" s="59"/>
      <c r="O993" s="59"/>
      <c r="P993" s="20"/>
      <c r="Q993" s="20"/>
      <c r="R993" s="20"/>
      <c r="S993" s="20"/>
      <c r="T993" s="62"/>
      <c r="U993" s="62"/>
      <c r="V993" s="20"/>
      <c r="W993" s="20"/>
      <c r="X993" s="20"/>
      <c r="Y993" s="20"/>
      <c r="Z993" s="20"/>
      <c r="AA993" s="20"/>
    </row>
    <row r="994" spans="1:27" ht="15.75" customHeight="1">
      <c r="A994" s="48"/>
      <c r="B994" s="56"/>
      <c r="C994" s="56"/>
      <c r="D994" s="57"/>
      <c r="E994" s="20"/>
      <c r="F994" s="58"/>
      <c r="G994" s="20"/>
      <c r="H994" s="60"/>
      <c r="I994" s="60"/>
      <c r="J994" s="61"/>
      <c r="K994" s="61"/>
      <c r="L994" s="59"/>
      <c r="M994" s="59"/>
      <c r="N994" s="59"/>
      <c r="O994" s="59"/>
      <c r="P994" s="20"/>
      <c r="Q994" s="20"/>
      <c r="R994" s="20"/>
      <c r="S994" s="20"/>
      <c r="T994" s="62"/>
      <c r="U994" s="62"/>
      <c r="V994" s="20"/>
      <c r="W994" s="20"/>
      <c r="X994" s="20"/>
      <c r="Y994" s="20"/>
      <c r="Z994" s="20"/>
      <c r="AA994" s="20"/>
    </row>
    <row r="995" spans="1:27" ht="15.75" customHeight="1">
      <c r="A995" s="48"/>
      <c r="B995" s="56"/>
      <c r="C995" s="56"/>
      <c r="D995" s="57"/>
      <c r="E995" s="20"/>
      <c r="F995" s="58"/>
      <c r="G995" s="20"/>
      <c r="H995" s="60"/>
      <c r="I995" s="60"/>
      <c r="J995" s="61"/>
      <c r="K995" s="61"/>
      <c r="L995" s="59"/>
      <c r="M995" s="59"/>
      <c r="N995" s="59"/>
      <c r="O995" s="59"/>
      <c r="P995" s="20"/>
      <c r="Q995" s="20"/>
      <c r="R995" s="20"/>
      <c r="S995" s="20"/>
      <c r="T995" s="62"/>
      <c r="U995" s="62"/>
      <c r="V995" s="20"/>
      <c r="W995" s="20"/>
      <c r="X995" s="20"/>
      <c r="Y995" s="20"/>
      <c r="Z995" s="20"/>
      <c r="AA995" s="20"/>
    </row>
    <row r="996" spans="1:27" ht="15.75" customHeight="1">
      <c r="A996" s="48"/>
      <c r="B996" s="56"/>
      <c r="C996" s="56"/>
      <c r="D996" s="57"/>
      <c r="E996" s="20"/>
      <c r="F996" s="58"/>
      <c r="G996" s="20"/>
      <c r="H996" s="60"/>
      <c r="I996" s="60"/>
      <c r="J996" s="61"/>
      <c r="K996" s="61"/>
      <c r="L996" s="59"/>
      <c r="M996" s="59"/>
      <c r="N996" s="59"/>
      <c r="O996" s="59"/>
      <c r="P996" s="20"/>
      <c r="Q996" s="20"/>
      <c r="R996" s="20"/>
      <c r="S996" s="20"/>
      <c r="T996" s="62"/>
      <c r="U996" s="62"/>
      <c r="V996" s="20"/>
      <c r="W996" s="20"/>
      <c r="X996" s="20"/>
      <c r="Y996" s="20"/>
      <c r="Z996" s="20"/>
      <c r="AA996" s="20"/>
    </row>
    <row r="997" spans="1:27" ht="15.75" customHeight="1">
      <c r="A997" s="48"/>
      <c r="B997" s="56"/>
      <c r="C997" s="56"/>
      <c r="D997" s="57"/>
      <c r="E997" s="20"/>
      <c r="F997" s="58"/>
      <c r="G997" s="20"/>
      <c r="H997" s="60"/>
      <c r="I997" s="60"/>
      <c r="J997" s="61"/>
      <c r="K997" s="61"/>
      <c r="L997" s="59"/>
      <c r="M997" s="59"/>
      <c r="N997" s="59"/>
      <c r="O997" s="59"/>
      <c r="P997" s="20"/>
      <c r="Q997" s="20"/>
      <c r="R997" s="20"/>
      <c r="S997" s="20"/>
      <c r="T997" s="62"/>
      <c r="U997" s="62"/>
      <c r="V997" s="20"/>
      <c r="W997" s="20"/>
      <c r="X997" s="20"/>
      <c r="Y997" s="20"/>
      <c r="Z997" s="20"/>
      <c r="AA997" s="20"/>
    </row>
    <row r="998" spans="1:27" ht="15.75" customHeight="1">
      <c r="A998" s="48"/>
      <c r="B998" s="56"/>
      <c r="C998" s="56"/>
      <c r="D998" s="57"/>
      <c r="E998" s="20"/>
      <c r="F998" s="58"/>
      <c r="G998" s="20"/>
      <c r="H998" s="60"/>
      <c r="I998" s="60"/>
      <c r="J998" s="61"/>
      <c r="K998" s="61"/>
      <c r="L998" s="59"/>
      <c r="M998" s="59"/>
      <c r="N998" s="59"/>
      <c r="O998" s="59"/>
      <c r="P998" s="20"/>
      <c r="Q998" s="20"/>
      <c r="R998" s="20"/>
      <c r="S998" s="20"/>
      <c r="T998" s="62"/>
      <c r="U998" s="62"/>
      <c r="V998" s="20"/>
      <c r="W998" s="20"/>
      <c r="X998" s="20"/>
      <c r="Y998" s="20"/>
      <c r="Z998" s="20"/>
      <c r="AA998" s="20"/>
    </row>
    <row r="999" spans="1:27" ht="15.75" customHeight="1">
      <c r="A999" s="48"/>
      <c r="B999" s="56"/>
      <c r="C999" s="56"/>
      <c r="D999" s="57"/>
      <c r="E999" s="20"/>
      <c r="F999" s="58"/>
      <c r="G999" s="20"/>
      <c r="H999" s="60"/>
      <c r="I999" s="60"/>
      <c r="J999" s="61"/>
      <c r="K999" s="61"/>
      <c r="L999" s="59"/>
      <c r="M999" s="59"/>
      <c r="N999" s="59"/>
      <c r="O999" s="59"/>
      <c r="P999" s="20"/>
      <c r="Q999" s="20"/>
      <c r="R999" s="20"/>
      <c r="S999" s="20"/>
      <c r="T999" s="62"/>
      <c r="U999" s="62"/>
      <c r="V999" s="20"/>
      <c r="W999" s="20"/>
      <c r="X999" s="20"/>
      <c r="Y999" s="20"/>
      <c r="Z999" s="20"/>
      <c r="AA999" s="20"/>
    </row>
    <row r="1000" spans="1:27" ht="15.75" customHeight="1">
      <c r="A1000" s="48"/>
      <c r="B1000" s="56"/>
      <c r="C1000" s="56"/>
      <c r="D1000" s="57"/>
      <c r="E1000" s="20"/>
      <c r="F1000" s="58"/>
      <c r="G1000" s="20"/>
      <c r="H1000" s="60"/>
      <c r="I1000" s="60"/>
      <c r="J1000" s="61"/>
      <c r="K1000" s="61"/>
      <c r="L1000" s="59"/>
      <c r="M1000" s="59"/>
      <c r="N1000" s="59"/>
      <c r="O1000" s="59"/>
      <c r="P1000" s="20"/>
      <c r="Q1000" s="20"/>
      <c r="R1000" s="20"/>
      <c r="S1000" s="20"/>
      <c r="T1000" s="62"/>
      <c r="U1000" s="62"/>
      <c r="V1000" s="20"/>
      <c r="W1000" s="20"/>
      <c r="X1000" s="20"/>
      <c r="Y1000" s="20"/>
      <c r="Z1000" s="20"/>
      <c r="AA1000" s="20"/>
    </row>
    <row r="1001" spans="1:27" ht="15.75" customHeight="1">
      <c r="A1001" s="48"/>
      <c r="B1001" s="56"/>
      <c r="C1001" s="56"/>
      <c r="D1001" s="57"/>
      <c r="E1001" s="20"/>
      <c r="F1001" s="58"/>
      <c r="G1001" s="20"/>
      <c r="H1001" s="60"/>
      <c r="I1001" s="60"/>
      <c r="J1001" s="61"/>
      <c r="K1001" s="61"/>
      <c r="L1001" s="59"/>
      <c r="M1001" s="59"/>
      <c r="N1001" s="59"/>
      <c r="O1001" s="59"/>
      <c r="P1001" s="20"/>
      <c r="Q1001" s="20"/>
      <c r="R1001" s="20"/>
      <c r="S1001" s="20"/>
      <c r="T1001" s="62"/>
      <c r="U1001" s="62"/>
      <c r="V1001" s="20"/>
      <c r="W1001" s="20"/>
      <c r="X1001" s="20"/>
      <c r="Y1001" s="20"/>
      <c r="Z1001" s="20"/>
      <c r="AA1001" s="20"/>
    </row>
    <row r="1002" spans="1:27" ht="15" customHeight="1">
      <c r="G1002" s="20"/>
    </row>
    <row r="1003" spans="1:27" ht="15" customHeight="1">
      <c r="G1003" s="20"/>
    </row>
    <row r="1004" spans="1:27" ht="15" customHeight="1">
      <c r="G1004" s="20"/>
    </row>
    <row r="1005" spans="1:27" ht="15" customHeight="1">
      <c r="G1005" s="20"/>
    </row>
    <row r="1006" spans="1:27" ht="15" customHeight="1">
      <c r="G1006" s="20"/>
    </row>
    <row r="1007" spans="1:27" ht="15" customHeight="1">
      <c r="G1007" s="20"/>
    </row>
    <row r="1008" spans="1:27" ht="15" customHeight="1">
      <c r="G1008" s="20"/>
    </row>
    <row r="1009" spans="7:7" ht="15" customHeight="1">
      <c r="G1009" s="20"/>
    </row>
    <row r="1010" spans="7:7" ht="15" customHeight="1">
      <c r="G1010" s="20"/>
    </row>
    <row r="1011" spans="7:7" ht="15" customHeight="1">
      <c r="G1011" s="20"/>
    </row>
    <row r="1012" spans="7:7" ht="15" customHeight="1">
      <c r="G1012" s="20"/>
    </row>
    <row r="1013" spans="7:7" ht="15" customHeight="1">
      <c r="G1013" s="20"/>
    </row>
    <row r="1014" spans="7:7" ht="15" customHeight="1">
      <c r="G1014" s="20"/>
    </row>
    <row r="1015" spans="7:7" ht="15" customHeight="1">
      <c r="G1015" s="20"/>
    </row>
    <row r="1016" spans="7:7" ht="15" customHeight="1">
      <c r="G1016" s="20"/>
    </row>
    <row r="1017" spans="7:7" ht="15" customHeight="1">
      <c r="G1017" s="20"/>
    </row>
    <row r="1018" spans="7:7" ht="15" customHeight="1">
      <c r="G1018" s="20"/>
    </row>
    <row r="1019" spans="7:7" ht="15" customHeight="1">
      <c r="G1019" s="20"/>
    </row>
    <row r="1020" spans="7:7" ht="15" customHeight="1">
      <c r="G1020" s="20"/>
    </row>
    <row r="1021" spans="7:7" ht="15" customHeight="1">
      <c r="G1021" s="20"/>
    </row>
    <row r="1022" spans="7:7" ht="15" customHeight="1">
      <c r="G1022" s="20"/>
    </row>
    <row r="1023" spans="7:7" ht="15" customHeight="1">
      <c r="G1023" s="20"/>
    </row>
    <row r="1024" spans="7:7" ht="15" customHeight="1">
      <c r="G1024" s="20"/>
    </row>
    <row r="1025" spans="7:7" ht="15" customHeight="1">
      <c r="G1025" s="20"/>
    </row>
    <row r="1026" spans="7:7" ht="15" customHeight="1">
      <c r="G1026" s="20"/>
    </row>
    <row r="1027" spans="7:7" ht="15" customHeight="1">
      <c r="G1027" s="20"/>
    </row>
    <row r="1028" spans="7:7" ht="15" customHeight="1">
      <c r="G1028" s="20"/>
    </row>
    <row r="1029" spans="7:7" ht="15" customHeight="1">
      <c r="G1029" s="20"/>
    </row>
  </sheetData>
  <autoFilter ref="A1:W122" xr:uid="{00000000-0009-0000-0000-000000000000}"/>
  <conditionalFormatting sqref="A119:B122 A92:B94 A84:A90 A95:A113 A1:B83">
    <cfRule type="cellIs" dxfId="77" priority="31" operator="equal">
      <formula>"RESPOND"</formula>
    </cfRule>
  </conditionalFormatting>
  <conditionalFormatting sqref="A119:B122 A92:B94 A84:A90 A95:A113 A1:B83">
    <cfRule type="cellIs" dxfId="76" priority="32" operator="equal">
      <formula>"RECOVER"</formula>
    </cfRule>
  </conditionalFormatting>
  <conditionalFormatting sqref="A119:B122 A92:B94 A84:A90 A95:A113 A1:B83">
    <cfRule type="cellIs" dxfId="75" priority="33" operator="equal">
      <formula>"DETECT"</formula>
    </cfRule>
  </conditionalFormatting>
  <conditionalFormatting sqref="A119:B122 A92:B94 A84:A90 A95:A113 A1:B83">
    <cfRule type="cellIs" dxfId="74" priority="34" operator="equal">
      <formula>"PROTECT"</formula>
    </cfRule>
  </conditionalFormatting>
  <conditionalFormatting sqref="A119:B122 A92:B94 A84:A90 A95:A113 A1:B83">
    <cfRule type="cellIs" dxfId="73" priority="35" operator="equal">
      <formula>"Identify"</formula>
    </cfRule>
  </conditionalFormatting>
  <conditionalFormatting sqref="B84">
    <cfRule type="cellIs" dxfId="72" priority="66" operator="equal">
      <formula>"RESPOND"</formula>
    </cfRule>
  </conditionalFormatting>
  <conditionalFormatting sqref="B84">
    <cfRule type="cellIs" dxfId="71" priority="67" operator="equal">
      <formula>"RECOVER"</formula>
    </cfRule>
  </conditionalFormatting>
  <conditionalFormatting sqref="B84">
    <cfRule type="cellIs" dxfId="70" priority="68" operator="equal">
      <formula>"DETECT"</formula>
    </cfRule>
  </conditionalFormatting>
  <conditionalFormatting sqref="B84">
    <cfRule type="cellIs" dxfId="69" priority="69" operator="equal">
      <formula>"PROTECT"</formula>
    </cfRule>
  </conditionalFormatting>
  <conditionalFormatting sqref="B84">
    <cfRule type="cellIs" dxfId="68" priority="70" operator="equal">
      <formula>"Identify"</formula>
    </cfRule>
  </conditionalFormatting>
  <conditionalFormatting sqref="B85">
    <cfRule type="cellIs" dxfId="67" priority="71" operator="equal">
      <formula>"RESPOND"</formula>
    </cfRule>
  </conditionalFormatting>
  <conditionalFormatting sqref="B85">
    <cfRule type="cellIs" dxfId="66" priority="72" operator="equal">
      <formula>"RECOVER"</formula>
    </cfRule>
  </conditionalFormatting>
  <conditionalFormatting sqref="B85">
    <cfRule type="cellIs" dxfId="65" priority="73" operator="equal">
      <formula>"DETECT"</formula>
    </cfRule>
  </conditionalFormatting>
  <conditionalFormatting sqref="B85">
    <cfRule type="cellIs" dxfId="64" priority="74" operator="equal">
      <formula>"PROTECT"</formula>
    </cfRule>
  </conditionalFormatting>
  <conditionalFormatting sqref="B85">
    <cfRule type="cellIs" dxfId="63" priority="75" operator="equal">
      <formula>"Identify"</formula>
    </cfRule>
  </conditionalFormatting>
  <conditionalFormatting sqref="B86">
    <cfRule type="cellIs" dxfId="62" priority="76" operator="equal">
      <formula>"RESPOND"</formula>
    </cfRule>
  </conditionalFormatting>
  <conditionalFormatting sqref="B86">
    <cfRule type="cellIs" dxfId="61" priority="77" operator="equal">
      <formula>"RECOVER"</formula>
    </cfRule>
  </conditionalFormatting>
  <conditionalFormatting sqref="B86">
    <cfRule type="cellIs" dxfId="60" priority="78" operator="equal">
      <formula>"DETECT"</formula>
    </cfRule>
  </conditionalFormatting>
  <conditionalFormatting sqref="B86">
    <cfRule type="cellIs" dxfId="59" priority="79" operator="equal">
      <formula>"PROTECT"</formula>
    </cfRule>
  </conditionalFormatting>
  <conditionalFormatting sqref="B86">
    <cfRule type="cellIs" dxfId="58" priority="80" operator="equal">
      <formula>"Identify"</formula>
    </cfRule>
  </conditionalFormatting>
  <conditionalFormatting sqref="B87">
    <cfRule type="cellIs" dxfId="57" priority="81" operator="equal">
      <formula>"RESPOND"</formula>
    </cfRule>
  </conditionalFormatting>
  <conditionalFormatting sqref="B87">
    <cfRule type="cellIs" dxfId="56" priority="82" operator="equal">
      <formula>"RECOVER"</formula>
    </cfRule>
  </conditionalFormatting>
  <conditionalFormatting sqref="B87">
    <cfRule type="cellIs" dxfId="55" priority="83" operator="equal">
      <formula>"DETECT"</formula>
    </cfRule>
  </conditionalFormatting>
  <conditionalFormatting sqref="B87">
    <cfRule type="cellIs" dxfId="54" priority="84" operator="equal">
      <formula>"PROTECT"</formula>
    </cfRule>
  </conditionalFormatting>
  <conditionalFormatting sqref="B87">
    <cfRule type="cellIs" dxfId="53" priority="85" operator="equal">
      <formula>"Identify"</formula>
    </cfRule>
  </conditionalFormatting>
  <conditionalFormatting sqref="B90">
    <cfRule type="cellIs" dxfId="52" priority="86" operator="equal">
      <formula>"RESPOND"</formula>
    </cfRule>
  </conditionalFormatting>
  <conditionalFormatting sqref="B90">
    <cfRule type="cellIs" dxfId="51" priority="87" operator="equal">
      <formula>"RECOVER"</formula>
    </cfRule>
  </conditionalFormatting>
  <conditionalFormatting sqref="B90">
    <cfRule type="cellIs" dxfId="50" priority="88" operator="equal">
      <formula>"DETECT"</formula>
    </cfRule>
  </conditionalFormatting>
  <conditionalFormatting sqref="B90">
    <cfRule type="cellIs" dxfId="49" priority="89" operator="equal">
      <formula>"PROTECT"</formula>
    </cfRule>
  </conditionalFormatting>
  <conditionalFormatting sqref="B90">
    <cfRule type="cellIs" dxfId="48" priority="90" operator="equal">
      <formula>"Identify"</formula>
    </cfRule>
  </conditionalFormatting>
  <conditionalFormatting sqref="B88">
    <cfRule type="cellIs" dxfId="47" priority="91" operator="equal">
      <formula>"RESPOND"</formula>
    </cfRule>
  </conditionalFormatting>
  <conditionalFormatting sqref="B88">
    <cfRule type="cellIs" dxfId="46" priority="92" operator="equal">
      <formula>"RECOVER"</formula>
    </cfRule>
  </conditionalFormatting>
  <conditionalFormatting sqref="B88">
    <cfRule type="cellIs" dxfId="45" priority="93" operator="equal">
      <formula>"DETECT"</formula>
    </cfRule>
  </conditionalFormatting>
  <conditionalFormatting sqref="B88">
    <cfRule type="cellIs" dxfId="44" priority="94" operator="equal">
      <formula>"PROTECT"</formula>
    </cfRule>
  </conditionalFormatting>
  <conditionalFormatting sqref="B88">
    <cfRule type="cellIs" dxfId="43" priority="95" operator="equal">
      <formula>"Identify"</formula>
    </cfRule>
  </conditionalFormatting>
  <conditionalFormatting sqref="B89">
    <cfRule type="cellIs" dxfId="42" priority="101" operator="equal">
      <formula>"RESPOND"</formula>
    </cfRule>
  </conditionalFormatting>
  <conditionalFormatting sqref="B89">
    <cfRule type="cellIs" dxfId="41" priority="102" operator="equal">
      <formula>"RECOVER"</formula>
    </cfRule>
  </conditionalFormatting>
  <conditionalFormatting sqref="B89">
    <cfRule type="cellIs" dxfId="40" priority="103" operator="equal">
      <formula>"DETECT"</formula>
    </cfRule>
  </conditionalFormatting>
  <conditionalFormatting sqref="B89">
    <cfRule type="cellIs" dxfId="39" priority="104" operator="equal">
      <formula>"PROTECT"</formula>
    </cfRule>
  </conditionalFormatting>
  <conditionalFormatting sqref="B89">
    <cfRule type="cellIs" dxfId="38" priority="105" operator="equal">
      <formula>"Identify"</formula>
    </cfRule>
  </conditionalFormatting>
  <conditionalFormatting sqref="A1:A90 A92:A1048576">
    <cfRule type="cellIs" dxfId="37" priority="16" operator="equal">
      <formula>"RECOVER"</formula>
    </cfRule>
    <cfRule type="cellIs" dxfId="36" priority="17" operator="equal">
      <formula>"RESPOND"</formula>
    </cfRule>
    <cfRule type="cellIs" dxfId="35" priority="18" operator="equal">
      <formula>"DETECT"</formula>
    </cfRule>
    <cfRule type="cellIs" dxfId="34" priority="19" operator="equal">
      <formula>"PROTECT"</formula>
    </cfRule>
    <cfRule type="cellIs" dxfId="33" priority="20" operator="equal">
      <formula>"IDENTIFY"</formula>
    </cfRule>
  </conditionalFormatting>
  <conditionalFormatting sqref="A91">
    <cfRule type="cellIs" dxfId="32" priority="6" operator="equal">
      <formula>"RESPOND"</formula>
    </cfRule>
  </conditionalFormatting>
  <conditionalFormatting sqref="A91">
    <cfRule type="cellIs" dxfId="31" priority="7" operator="equal">
      <formula>"RECOVER"</formula>
    </cfRule>
  </conditionalFormatting>
  <conditionalFormatting sqref="A91">
    <cfRule type="cellIs" dxfId="30" priority="8" operator="equal">
      <formula>"DETECT"</formula>
    </cfRule>
  </conditionalFormatting>
  <conditionalFormatting sqref="A91">
    <cfRule type="cellIs" dxfId="29" priority="9" operator="equal">
      <formula>"PROTECT"</formula>
    </cfRule>
  </conditionalFormatting>
  <conditionalFormatting sqref="A91">
    <cfRule type="cellIs" dxfId="28" priority="10" operator="equal">
      <formula>"Identify"</formula>
    </cfRule>
  </conditionalFormatting>
  <conditionalFormatting sqref="B91">
    <cfRule type="cellIs" dxfId="27" priority="11" operator="equal">
      <formula>"RESPOND"</formula>
    </cfRule>
  </conditionalFormatting>
  <conditionalFormatting sqref="B91">
    <cfRule type="cellIs" dxfId="26" priority="12" operator="equal">
      <formula>"RECOVER"</formula>
    </cfRule>
  </conditionalFormatting>
  <conditionalFormatting sqref="B91">
    <cfRule type="cellIs" dxfId="25" priority="13" operator="equal">
      <formula>"DETECT"</formula>
    </cfRule>
  </conditionalFormatting>
  <conditionalFormatting sqref="B91">
    <cfRule type="cellIs" dxfId="24" priority="14" operator="equal">
      <formula>"PROTECT"</formula>
    </cfRule>
  </conditionalFormatting>
  <conditionalFormatting sqref="B91">
    <cfRule type="cellIs" dxfId="23" priority="15" operator="equal">
      <formula>"Identify"</formula>
    </cfRule>
  </conditionalFormatting>
  <conditionalFormatting sqref="A91">
    <cfRule type="cellIs" dxfId="22" priority="1" operator="equal">
      <formula>"RECOVER"</formula>
    </cfRule>
    <cfRule type="cellIs" dxfId="21" priority="2" operator="equal">
      <formula>"RESPOND"</formula>
    </cfRule>
    <cfRule type="cellIs" dxfId="20" priority="3" operator="equal">
      <formula>"DETECT"</formula>
    </cfRule>
    <cfRule type="cellIs" dxfId="19" priority="4" operator="equal">
      <formula>"PROTECT"</formula>
    </cfRule>
    <cfRule type="cellIs" dxfId="18" priority="5" operator="equal">
      <formula>"IDENTIFY"</formula>
    </cfRule>
  </conditionalFormatting>
  <dataValidations count="2">
    <dataValidation type="list" allowBlank="1" showErrorMessage="1" sqref="H2:I1001" xr:uid="{00000000-0002-0000-0000-000000000000}">
      <formula1>"לא מתקיים,1.0,2.0,3.0,4.0,לא רלוונטי"</formula1>
    </dataValidation>
    <dataValidation type="list" allowBlank="1" showErrorMessage="1" sqref="W5:W6 W9:W13 W18 W24:W40 W42:W63 W67:W68 W72:W84 W86:W91 W95:W97 W101:W103 W107:W111 W114:W122" xr:uid="{00000000-0002-0000-0000-000001000000}">
      <formula1>"תקין,לא תקין,חלקי"</formula1>
    </dataValidation>
  </dataValidations>
  <hyperlinks>
    <hyperlink ref="J57" display="1. יש לוודא כי ממונה הבטיחות בארגון אישר את הפתרון._x000a_2. יש לוודא כי מומחה לתקיפות פיזיקליות אישר את הפתרון._x000a_3. יש לוודא כי ממונה ההמשכיות העסקית בארגון משולב בתהליך._x000a_4. על גופים מונחים לפנות לרגולטור הרלוונטי (דוגמת מערך הסייבר הלאומי) כדי לקבל הנחיות נוספ" xr:uid="{00000000-0004-0000-0000-000000000000}"/>
    <hyperlink ref="N72" display="9. הארגון וידא כי עבור יעדי הגנה בעלי IPv6 Stack  מוגדרת כתובת IPv6 ייעודית, שהוקצתה באמצעות מערכת מבוססת ניהול מרכזי (דוגמת DHCPv6). כך לא ייווצר מצב שבו קיימת הגדרה אוטומטית ולא מנוהלת של כתובת ה-IPv6._x000a_10. הארגון וידא כי ליעדי ההגנה בארגון יש הסמכה תקפה" xr:uid="{00000000-0004-0000-0000-000001000000}"/>
  </hyperlink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E753-17ED-4226-AA53-E16982F2C7AA}">
  <dimension ref="A1:Q34"/>
  <sheetViews>
    <sheetView rightToLeft="1" workbookViewId="0">
      <selection activeCell="C10" sqref="C10"/>
    </sheetView>
  </sheetViews>
  <sheetFormatPr defaultRowHeight="15.75"/>
  <cols>
    <col min="3" max="3" width="36.125" customWidth="1"/>
    <col min="4" max="4" width="30" customWidth="1"/>
  </cols>
  <sheetData>
    <row r="1" spans="1:17" ht="32.25" thickBot="1">
      <c r="A1" s="146" t="s">
        <v>2</v>
      </c>
      <c r="B1" s="146" t="s">
        <v>1506</v>
      </c>
      <c r="C1" s="146" t="s">
        <v>1507</v>
      </c>
      <c r="D1" s="150" t="s">
        <v>1508</v>
      </c>
      <c r="E1" s="151" t="s">
        <v>1509</v>
      </c>
      <c r="F1" s="152" t="s">
        <v>1510</v>
      </c>
      <c r="G1" s="152" t="s">
        <v>1511</v>
      </c>
      <c r="H1" s="152" t="s">
        <v>1512</v>
      </c>
      <c r="I1" s="117"/>
      <c r="J1" s="117"/>
      <c r="K1" s="117"/>
      <c r="L1" s="117"/>
      <c r="M1" s="117"/>
      <c r="N1" s="117"/>
      <c r="O1" s="117"/>
      <c r="P1" s="117"/>
      <c r="Q1" s="118"/>
    </row>
    <row r="2" spans="1:17" ht="31.5">
      <c r="A2" s="172" t="s">
        <v>1513</v>
      </c>
      <c r="B2" s="172" t="s">
        <v>1513</v>
      </c>
      <c r="C2" s="147" t="s">
        <v>1514</v>
      </c>
      <c r="D2" s="119" t="s">
        <v>1515</v>
      </c>
      <c r="E2" s="120"/>
      <c r="F2" s="121"/>
      <c r="G2" s="121"/>
      <c r="H2" s="121"/>
      <c r="I2" s="121"/>
      <c r="J2" s="121"/>
      <c r="K2" s="121"/>
      <c r="L2" s="121"/>
      <c r="M2" s="121"/>
      <c r="N2" s="121"/>
      <c r="O2" s="121"/>
      <c r="P2" s="121"/>
      <c r="Q2" s="122"/>
    </row>
    <row r="3" spans="1:17" ht="16.5" thickBot="1">
      <c r="A3" s="173"/>
      <c r="B3" s="173"/>
      <c r="C3" s="148" t="s">
        <v>1516</v>
      </c>
      <c r="D3" s="124" t="s">
        <v>1517</v>
      </c>
      <c r="E3" s="125"/>
      <c r="F3" s="126"/>
      <c r="G3" s="126"/>
      <c r="H3" s="126"/>
      <c r="I3" s="126"/>
      <c r="J3" s="126"/>
      <c r="K3" s="126"/>
      <c r="L3" s="126"/>
      <c r="M3" s="126"/>
      <c r="N3" s="126"/>
      <c r="O3" s="126"/>
      <c r="P3" s="126"/>
      <c r="Q3" s="127"/>
    </row>
    <row r="4" spans="1:17" ht="32.25" thickBot="1">
      <c r="A4" s="173"/>
      <c r="B4" s="173"/>
      <c r="C4" s="147" t="s">
        <v>1518</v>
      </c>
      <c r="D4" s="124" t="s">
        <v>1519</v>
      </c>
      <c r="E4" s="125"/>
      <c r="F4" s="126"/>
      <c r="G4" s="126"/>
      <c r="H4" s="126"/>
      <c r="I4" s="126"/>
      <c r="J4" s="126"/>
      <c r="K4" s="126"/>
      <c r="L4" s="126"/>
      <c r="M4" s="126"/>
      <c r="N4" s="126"/>
      <c r="O4" s="126"/>
      <c r="P4" s="126"/>
      <c r="Q4" s="127"/>
    </row>
    <row r="5" spans="1:17">
      <c r="A5" s="173"/>
      <c r="B5" s="173"/>
      <c r="C5" s="147" t="s">
        <v>1520</v>
      </c>
      <c r="D5" s="124" t="s">
        <v>1521</v>
      </c>
      <c r="E5" s="125"/>
      <c r="F5" s="126"/>
      <c r="G5" s="126"/>
      <c r="H5" s="126"/>
      <c r="I5" s="126"/>
      <c r="J5" s="126"/>
      <c r="K5" s="126"/>
      <c r="L5" s="126"/>
      <c r="M5" s="126"/>
      <c r="N5" s="126"/>
      <c r="O5" s="126"/>
      <c r="P5" s="126"/>
      <c r="Q5" s="127"/>
    </row>
    <row r="6" spans="1:17" ht="142.5" thickBot="1">
      <c r="A6" s="174"/>
      <c r="B6" s="174"/>
      <c r="C6" s="149" t="s">
        <v>1522</v>
      </c>
      <c r="D6" s="128" t="s">
        <v>1523</v>
      </c>
      <c r="E6" s="129"/>
      <c r="F6" s="130"/>
      <c r="G6" s="130"/>
      <c r="H6" s="130"/>
      <c r="I6" s="130"/>
      <c r="J6" s="130"/>
      <c r="K6" s="130"/>
      <c r="L6" s="130"/>
      <c r="M6" s="130"/>
      <c r="N6" s="130"/>
      <c r="O6" s="130"/>
      <c r="P6" s="130"/>
      <c r="Q6" s="131"/>
    </row>
    <row r="7" spans="1:17" ht="31.5">
      <c r="A7" s="175" t="s">
        <v>1524</v>
      </c>
      <c r="B7" s="177" t="s">
        <v>1525</v>
      </c>
      <c r="C7" s="132" t="s">
        <v>1526</v>
      </c>
      <c r="D7" s="133">
        <v>3</v>
      </c>
      <c r="E7" s="133">
        <v>1</v>
      </c>
      <c r="F7" s="133">
        <v>1</v>
      </c>
      <c r="G7" s="133">
        <v>1</v>
      </c>
      <c r="H7" s="133">
        <v>1</v>
      </c>
      <c r="I7" s="133">
        <v>1</v>
      </c>
      <c r="J7" s="133">
        <v>1</v>
      </c>
      <c r="K7" s="133">
        <v>1</v>
      </c>
      <c r="L7" s="133">
        <v>2</v>
      </c>
      <c r="M7" s="133">
        <v>3</v>
      </c>
      <c r="N7" s="133">
        <v>1</v>
      </c>
      <c r="O7" s="133">
        <v>1</v>
      </c>
      <c r="P7" s="133">
        <v>1</v>
      </c>
      <c r="Q7" s="134"/>
    </row>
    <row r="8" spans="1:17" ht="31.5">
      <c r="A8" s="170"/>
      <c r="B8" s="178"/>
      <c r="C8" s="123" t="s">
        <v>1527</v>
      </c>
      <c r="D8" s="124">
        <v>2</v>
      </c>
      <c r="E8" s="124">
        <v>2</v>
      </c>
      <c r="F8" s="124">
        <v>3</v>
      </c>
      <c r="G8" s="124">
        <v>1</v>
      </c>
      <c r="H8" s="124">
        <v>2</v>
      </c>
      <c r="I8" s="124">
        <v>2</v>
      </c>
      <c r="J8" s="124">
        <v>3</v>
      </c>
      <c r="K8" s="124">
        <v>2</v>
      </c>
      <c r="L8" s="124">
        <v>2</v>
      </c>
      <c r="M8" s="124">
        <v>1</v>
      </c>
      <c r="N8" s="124">
        <v>1</v>
      </c>
      <c r="O8" s="124">
        <v>2</v>
      </c>
      <c r="P8" s="124">
        <v>1</v>
      </c>
      <c r="Q8" s="126"/>
    </row>
    <row r="9" spans="1:17" ht="48" thickBot="1">
      <c r="A9" s="170"/>
      <c r="B9" s="179"/>
      <c r="C9" s="123" t="s">
        <v>1528</v>
      </c>
      <c r="D9" s="124">
        <v>1</v>
      </c>
      <c r="E9" s="124">
        <v>3</v>
      </c>
      <c r="F9" s="124">
        <v>1</v>
      </c>
      <c r="G9" s="124">
        <v>1</v>
      </c>
      <c r="H9" s="124">
        <v>1</v>
      </c>
      <c r="I9" s="124">
        <v>1</v>
      </c>
      <c r="J9" s="124">
        <v>2</v>
      </c>
      <c r="K9" s="124">
        <v>1</v>
      </c>
      <c r="L9" s="124">
        <v>1</v>
      </c>
      <c r="M9" s="124">
        <v>1</v>
      </c>
      <c r="N9" s="124">
        <v>1</v>
      </c>
      <c r="O9" s="124">
        <v>1</v>
      </c>
      <c r="P9" s="124">
        <v>1</v>
      </c>
      <c r="Q9" s="126"/>
    </row>
    <row r="10" spans="1:17" ht="16.5" thickBot="1">
      <c r="A10" s="176"/>
      <c r="B10" s="135" t="s">
        <v>1529</v>
      </c>
      <c r="C10" s="136" t="s">
        <v>1530</v>
      </c>
      <c r="D10" s="124">
        <f>MAX(D7:D9)</f>
        <v>3</v>
      </c>
      <c r="E10" s="124">
        <f t="shared" ref="E10:P10" si="0">MAX(E7:E9)</f>
        <v>3</v>
      </c>
      <c r="F10" s="124">
        <f t="shared" si="0"/>
        <v>3</v>
      </c>
      <c r="G10" s="124">
        <f t="shared" si="0"/>
        <v>1</v>
      </c>
      <c r="H10" s="124">
        <f t="shared" si="0"/>
        <v>2</v>
      </c>
      <c r="I10" s="124">
        <f t="shared" si="0"/>
        <v>2</v>
      </c>
      <c r="J10" s="124">
        <f t="shared" si="0"/>
        <v>3</v>
      </c>
      <c r="K10" s="124">
        <f t="shared" si="0"/>
        <v>2</v>
      </c>
      <c r="L10" s="124">
        <f t="shared" si="0"/>
        <v>2</v>
      </c>
      <c r="M10" s="124">
        <f t="shared" si="0"/>
        <v>3</v>
      </c>
      <c r="N10" s="124">
        <f t="shared" si="0"/>
        <v>1</v>
      </c>
      <c r="O10" s="124">
        <f t="shared" si="0"/>
        <v>2</v>
      </c>
      <c r="P10" s="124">
        <f t="shared" si="0"/>
        <v>1</v>
      </c>
      <c r="Q10" s="126"/>
    </row>
    <row r="11" spans="1:17" ht="32.25" thickBot="1">
      <c r="A11" s="169" t="s">
        <v>1531</v>
      </c>
      <c r="B11" s="137" t="s">
        <v>1532</v>
      </c>
      <c r="C11" s="138" t="s">
        <v>1533</v>
      </c>
      <c r="D11" s="124">
        <v>1</v>
      </c>
      <c r="E11" s="124">
        <v>1</v>
      </c>
      <c r="F11" s="124">
        <v>1</v>
      </c>
      <c r="G11" s="124">
        <v>1</v>
      </c>
      <c r="H11" s="124">
        <v>1</v>
      </c>
      <c r="I11" s="124">
        <v>1</v>
      </c>
      <c r="J11" s="124">
        <v>1</v>
      </c>
      <c r="K11" s="124">
        <v>1</v>
      </c>
      <c r="L11" s="124">
        <v>1</v>
      </c>
      <c r="M11" s="124">
        <v>1</v>
      </c>
      <c r="N11" s="124">
        <v>1</v>
      </c>
      <c r="O11" s="124">
        <v>1</v>
      </c>
      <c r="P11" s="124">
        <v>1</v>
      </c>
      <c r="Q11" s="126"/>
    </row>
    <row r="12" spans="1:17" ht="63">
      <c r="A12" s="170"/>
      <c r="B12" s="169" t="s">
        <v>1534</v>
      </c>
      <c r="C12" s="123" t="s">
        <v>1535</v>
      </c>
      <c r="D12" s="124">
        <v>1</v>
      </c>
      <c r="E12" s="124">
        <v>1</v>
      </c>
      <c r="F12" s="124">
        <v>1</v>
      </c>
      <c r="G12" s="124">
        <v>1</v>
      </c>
      <c r="H12" s="124">
        <v>2</v>
      </c>
      <c r="I12" s="124">
        <v>1</v>
      </c>
      <c r="J12" s="124">
        <v>1</v>
      </c>
      <c r="K12" s="124">
        <v>1</v>
      </c>
      <c r="L12" s="124">
        <v>1</v>
      </c>
      <c r="M12" s="124">
        <v>1</v>
      </c>
      <c r="N12" s="124">
        <v>1</v>
      </c>
      <c r="O12" s="124">
        <v>1</v>
      </c>
      <c r="P12" s="124">
        <v>1</v>
      </c>
      <c r="Q12" s="126"/>
    </row>
    <row r="13" spans="1:17" ht="63">
      <c r="A13" s="170"/>
      <c r="B13" s="170"/>
      <c r="C13" s="123" t="s">
        <v>1536</v>
      </c>
      <c r="D13" s="124">
        <v>1</v>
      </c>
      <c r="E13" s="124">
        <v>1</v>
      </c>
      <c r="F13" s="124">
        <v>4</v>
      </c>
      <c r="G13" s="124">
        <v>1</v>
      </c>
      <c r="H13" s="124">
        <v>4</v>
      </c>
      <c r="I13" s="124">
        <v>2</v>
      </c>
      <c r="J13" s="124">
        <v>1</v>
      </c>
      <c r="K13" s="124">
        <v>1</v>
      </c>
      <c r="L13" s="124">
        <v>1</v>
      </c>
      <c r="M13" s="124">
        <v>1</v>
      </c>
      <c r="N13" s="124">
        <v>1</v>
      </c>
      <c r="O13" s="124">
        <v>1</v>
      </c>
      <c r="P13" s="124">
        <v>1</v>
      </c>
      <c r="Q13" s="126"/>
    </row>
    <row r="14" spans="1:17" ht="63">
      <c r="A14" s="170"/>
      <c r="B14" s="170"/>
      <c r="C14" s="123" t="s">
        <v>1537</v>
      </c>
      <c r="D14" s="124">
        <v>1</v>
      </c>
      <c r="E14" s="124">
        <v>4</v>
      </c>
      <c r="F14" s="124">
        <v>3</v>
      </c>
      <c r="G14" s="124">
        <v>1</v>
      </c>
      <c r="H14" s="124">
        <v>4</v>
      </c>
      <c r="I14" s="124">
        <v>1</v>
      </c>
      <c r="J14" s="124">
        <v>2</v>
      </c>
      <c r="K14" s="124">
        <v>1</v>
      </c>
      <c r="L14" s="124">
        <v>2</v>
      </c>
      <c r="M14" s="124">
        <v>1</v>
      </c>
      <c r="N14" s="124">
        <v>2</v>
      </c>
      <c r="O14" s="124">
        <v>1</v>
      </c>
      <c r="P14" s="124">
        <v>1</v>
      </c>
      <c r="Q14" s="126"/>
    </row>
    <row r="15" spans="1:17" ht="63.75" thickBot="1">
      <c r="A15" s="170"/>
      <c r="B15" s="171"/>
      <c r="C15" s="123" t="s">
        <v>1538</v>
      </c>
      <c r="D15" s="124">
        <v>3</v>
      </c>
      <c r="E15" s="124">
        <v>1</v>
      </c>
      <c r="F15" s="124">
        <v>2</v>
      </c>
      <c r="G15" s="124">
        <v>3</v>
      </c>
      <c r="H15" s="124">
        <v>4</v>
      </c>
      <c r="I15" s="124">
        <v>3</v>
      </c>
      <c r="J15" s="124">
        <v>3</v>
      </c>
      <c r="K15" s="124">
        <v>3</v>
      </c>
      <c r="L15" s="124">
        <v>3</v>
      </c>
      <c r="M15" s="124">
        <v>3</v>
      </c>
      <c r="N15" s="124">
        <v>2</v>
      </c>
      <c r="O15" s="124">
        <v>3</v>
      </c>
      <c r="P15" s="124">
        <v>3</v>
      </c>
      <c r="Q15" s="126"/>
    </row>
    <row r="16" spans="1:17" ht="31.5">
      <c r="A16" s="170"/>
      <c r="B16" s="180" t="s">
        <v>1539</v>
      </c>
      <c r="C16" s="123" t="s">
        <v>1540</v>
      </c>
      <c r="D16" s="124">
        <v>4</v>
      </c>
      <c r="E16" s="124">
        <v>4</v>
      </c>
      <c r="F16" s="124">
        <v>3</v>
      </c>
      <c r="G16" s="124">
        <v>4</v>
      </c>
      <c r="H16" s="124">
        <v>4</v>
      </c>
      <c r="I16" s="124">
        <v>2</v>
      </c>
      <c r="J16" s="124">
        <v>4</v>
      </c>
      <c r="K16" s="124">
        <v>2</v>
      </c>
      <c r="L16" s="124">
        <v>4</v>
      </c>
      <c r="M16" s="124">
        <v>4</v>
      </c>
      <c r="N16" s="124">
        <v>2</v>
      </c>
      <c r="O16" s="124">
        <v>4</v>
      </c>
      <c r="P16" s="124">
        <v>4</v>
      </c>
      <c r="Q16" s="126"/>
    </row>
    <row r="17" spans="1:17" ht="31.5">
      <c r="A17" s="170"/>
      <c r="B17" s="181"/>
      <c r="C17" s="123" t="s">
        <v>1541</v>
      </c>
      <c r="D17" s="124">
        <v>2</v>
      </c>
      <c r="E17" s="124">
        <v>4</v>
      </c>
      <c r="F17" s="124"/>
      <c r="G17" s="124"/>
      <c r="H17" s="124">
        <v>4</v>
      </c>
      <c r="I17" s="124"/>
      <c r="J17" s="124"/>
      <c r="K17" s="124"/>
      <c r="L17" s="124"/>
      <c r="M17" s="124"/>
      <c r="N17" s="124"/>
      <c r="O17" s="124"/>
      <c r="P17" s="124"/>
      <c r="Q17" s="126"/>
    </row>
    <row r="18" spans="1:17">
      <c r="A18" s="170"/>
      <c r="B18" s="181"/>
      <c r="C18" s="123" t="s">
        <v>1542</v>
      </c>
      <c r="D18" s="124">
        <v>2</v>
      </c>
      <c r="E18" s="124">
        <v>4</v>
      </c>
      <c r="F18" s="124">
        <v>2</v>
      </c>
      <c r="G18" s="124">
        <v>2</v>
      </c>
      <c r="H18" s="124">
        <v>4</v>
      </c>
      <c r="I18" s="124">
        <v>2</v>
      </c>
      <c r="J18" s="124">
        <v>2</v>
      </c>
      <c r="K18" s="124">
        <v>2</v>
      </c>
      <c r="L18" s="124">
        <v>2</v>
      </c>
      <c r="M18" s="124">
        <v>2</v>
      </c>
      <c r="N18" s="124">
        <v>2</v>
      </c>
      <c r="O18" s="124">
        <v>2</v>
      </c>
      <c r="P18" s="124">
        <v>2</v>
      </c>
      <c r="Q18" s="126"/>
    </row>
    <row r="19" spans="1:17" ht="31.5">
      <c r="A19" s="170"/>
      <c r="B19" s="181"/>
      <c r="C19" s="123" t="s">
        <v>1543</v>
      </c>
      <c r="D19" s="124">
        <v>2</v>
      </c>
      <c r="E19" s="124">
        <v>4</v>
      </c>
      <c r="F19" s="124">
        <v>3</v>
      </c>
      <c r="G19" s="124">
        <v>2</v>
      </c>
      <c r="H19" s="124">
        <v>4</v>
      </c>
      <c r="I19" s="124">
        <v>2</v>
      </c>
      <c r="J19" s="124">
        <v>2</v>
      </c>
      <c r="K19" s="124">
        <v>2</v>
      </c>
      <c r="L19" s="124">
        <v>2</v>
      </c>
      <c r="M19" s="124">
        <v>2</v>
      </c>
      <c r="N19" s="124">
        <v>2</v>
      </c>
      <c r="O19" s="124">
        <v>2</v>
      </c>
      <c r="P19" s="124">
        <v>2</v>
      </c>
      <c r="Q19" s="126"/>
    </row>
    <row r="20" spans="1:17">
      <c r="A20" s="170"/>
      <c r="B20" s="181"/>
      <c r="C20" s="123" t="s">
        <v>1544</v>
      </c>
      <c r="D20" s="124">
        <v>3</v>
      </c>
      <c r="E20" s="124">
        <v>4</v>
      </c>
      <c r="F20" s="124">
        <v>4</v>
      </c>
      <c r="G20" s="124">
        <v>4</v>
      </c>
      <c r="H20" s="124">
        <v>4</v>
      </c>
      <c r="I20" s="124">
        <v>2</v>
      </c>
      <c r="J20" s="124">
        <v>3</v>
      </c>
      <c r="K20" s="124">
        <v>3</v>
      </c>
      <c r="L20" s="124">
        <v>3</v>
      </c>
      <c r="M20" s="124">
        <v>3</v>
      </c>
      <c r="N20" s="124">
        <v>3</v>
      </c>
      <c r="O20" s="124">
        <v>3</v>
      </c>
      <c r="P20" s="124">
        <v>3</v>
      </c>
      <c r="Q20" s="126"/>
    </row>
    <row r="21" spans="1:17">
      <c r="A21" s="170"/>
      <c r="B21" s="181"/>
      <c r="C21" s="123" t="s">
        <v>1545</v>
      </c>
      <c r="D21" s="124">
        <v>1</v>
      </c>
      <c r="E21" s="124">
        <v>4</v>
      </c>
      <c r="F21" s="124">
        <v>4</v>
      </c>
      <c r="G21" s="124">
        <v>1</v>
      </c>
      <c r="H21" s="124">
        <v>4</v>
      </c>
      <c r="I21" s="124">
        <v>3</v>
      </c>
      <c r="J21" s="124">
        <v>1</v>
      </c>
      <c r="K21" s="124">
        <v>2</v>
      </c>
      <c r="L21" s="124">
        <v>2</v>
      </c>
      <c r="M21" s="124">
        <v>1</v>
      </c>
      <c r="N21" s="124">
        <v>1</v>
      </c>
      <c r="O21" s="124">
        <v>1</v>
      </c>
      <c r="P21" s="124">
        <v>1</v>
      </c>
      <c r="Q21" s="126"/>
    </row>
    <row r="22" spans="1:17" ht="47.25">
      <c r="A22" s="170"/>
      <c r="B22" s="181"/>
      <c r="C22" s="123" t="s">
        <v>1546</v>
      </c>
      <c r="D22" s="124">
        <v>3</v>
      </c>
      <c r="E22" s="124">
        <v>4</v>
      </c>
      <c r="F22" s="124">
        <v>4</v>
      </c>
      <c r="G22" s="124">
        <v>3</v>
      </c>
      <c r="H22" s="124">
        <v>4</v>
      </c>
      <c r="I22" s="124">
        <v>3</v>
      </c>
      <c r="J22" s="124">
        <v>3</v>
      </c>
      <c r="K22" s="124">
        <v>3</v>
      </c>
      <c r="L22" s="124">
        <v>4</v>
      </c>
      <c r="M22" s="124">
        <v>3</v>
      </c>
      <c r="N22" s="124">
        <v>3</v>
      </c>
      <c r="O22" s="124">
        <v>3</v>
      </c>
      <c r="P22" s="124">
        <v>3</v>
      </c>
      <c r="Q22" s="126"/>
    </row>
    <row r="23" spans="1:17">
      <c r="A23" s="170"/>
      <c r="B23" s="181"/>
      <c r="C23" s="123" t="s">
        <v>1547</v>
      </c>
      <c r="D23" s="124">
        <v>2</v>
      </c>
      <c r="E23" s="124">
        <v>4</v>
      </c>
      <c r="F23" s="124">
        <v>4</v>
      </c>
      <c r="G23" s="124">
        <v>2</v>
      </c>
      <c r="H23" s="124">
        <v>4</v>
      </c>
      <c r="I23" s="124">
        <v>2</v>
      </c>
      <c r="J23" s="124">
        <v>2</v>
      </c>
      <c r="K23" s="124">
        <v>2</v>
      </c>
      <c r="L23" s="124">
        <v>2</v>
      </c>
      <c r="M23" s="124">
        <v>2</v>
      </c>
      <c r="N23" s="124">
        <v>2</v>
      </c>
      <c r="O23" s="124">
        <v>2</v>
      </c>
      <c r="P23" s="124">
        <v>2</v>
      </c>
      <c r="Q23" s="126"/>
    </row>
    <row r="24" spans="1:17">
      <c r="A24" s="170"/>
      <c r="B24" s="181"/>
      <c r="C24" s="123" t="s">
        <v>1548</v>
      </c>
      <c r="D24" s="124">
        <v>4</v>
      </c>
      <c r="E24" s="124">
        <v>4</v>
      </c>
      <c r="F24" s="124">
        <v>4</v>
      </c>
      <c r="G24" s="124">
        <v>4</v>
      </c>
      <c r="H24" s="124">
        <v>4</v>
      </c>
      <c r="I24" s="124">
        <v>4</v>
      </c>
      <c r="J24" s="124">
        <v>4</v>
      </c>
      <c r="K24" s="124">
        <v>4</v>
      </c>
      <c r="L24" s="124">
        <v>4</v>
      </c>
      <c r="M24" s="124">
        <v>4</v>
      </c>
      <c r="N24" s="124">
        <v>4</v>
      </c>
      <c r="O24" s="124">
        <v>2</v>
      </c>
      <c r="P24" s="124">
        <v>4</v>
      </c>
      <c r="Q24" s="126"/>
    </row>
    <row r="25" spans="1:17">
      <c r="A25" s="170"/>
      <c r="B25" s="181"/>
      <c r="C25" s="123" t="s">
        <v>1549</v>
      </c>
      <c r="D25" s="124">
        <v>1</v>
      </c>
      <c r="E25" s="124">
        <v>4</v>
      </c>
      <c r="F25" s="124">
        <v>4</v>
      </c>
      <c r="G25" s="124">
        <v>1</v>
      </c>
      <c r="H25" s="124">
        <v>1</v>
      </c>
      <c r="I25" s="124">
        <v>1</v>
      </c>
      <c r="J25" s="124">
        <v>1</v>
      </c>
      <c r="K25" s="124">
        <v>1</v>
      </c>
      <c r="L25" s="124">
        <v>1</v>
      </c>
      <c r="M25" s="124">
        <v>1</v>
      </c>
      <c r="N25" s="124">
        <v>1</v>
      </c>
      <c r="O25" s="124">
        <v>4</v>
      </c>
      <c r="P25" s="124">
        <v>3</v>
      </c>
      <c r="Q25" s="126"/>
    </row>
    <row r="26" spans="1:17">
      <c r="A26" s="170"/>
      <c r="B26" s="181"/>
      <c r="C26" s="123" t="s">
        <v>1550</v>
      </c>
      <c r="D26" s="124">
        <v>2</v>
      </c>
      <c r="E26" s="124">
        <v>4</v>
      </c>
      <c r="F26" s="124">
        <v>4</v>
      </c>
      <c r="G26" s="124">
        <v>2</v>
      </c>
      <c r="H26" s="124">
        <v>4</v>
      </c>
      <c r="I26" s="124">
        <v>2</v>
      </c>
      <c r="J26" s="124">
        <v>2</v>
      </c>
      <c r="K26" s="124">
        <v>2</v>
      </c>
      <c r="L26" s="124">
        <v>2</v>
      </c>
      <c r="M26" s="124">
        <v>2</v>
      </c>
      <c r="N26" s="124">
        <v>2</v>
      </c>
      <c r="O26" s="124">
        <v>4</v>
      </c>
      <c r="P26" s="124">
        <v>2</v>
      </c>
      <c r="Q26" s="126"/>
    </row>
    <row r="27" spans="1:17" ht="32.25" thickBot="1">
      <c r="A27" s="176"/>
      <c r="B27" s="182"/>
      <c r="C27" s="139" t="s">
        <v>1551</v>
      </c>
      <c r="D27" s="124">
        <v>2</v>
      </c>
      <c r="E27" s="124">
        <v>4</v>
      </c>
      <c r="F27" s="124">
        <v>4</v>
      </c>
      <c r="G27" s="124">
        <v>4</v>
      </c>
      <c r="H27" s="124">
        <v>4</v>
      </c>
      <c r="I27" s="124">
        <v>2</v>
      </c>
      <c r="J27" s="124">
        <v>2</v>
      </c>
      <c r="K27" s="124">
        <v>2</v>
      </c>
      <c r="L27" s="124">
        <v>2</v>
      </c>
      <c r="M27" s="124">
        <v>2</v>
      </c>
      <c r="N27" s="124">
        <v>2</v>
      </c>
      <c r="O27" s="124">
        <v>2</v>
      </c>
      <c r="P27" s="124">
        <v>2</v>
      </c>
      <c r="Q27" s="126"/>
    </row>
    <row r="28" spans="1:17" ht="32.25" thickBot="1">
      <c r="A28" s="171"/>
      <c r="B28" s="137" t="s">
        <v>1552</v>
      </c>
      <c r="C28" s="136" t="s">
        <v>1553</v>
      </c>
      <c r="D28" s="124">
        <f>0/3*D11+0.3*(AVERAGE(D14:D15))+0.4*(AVERAGE(D16:D26))</f>
        <v>1.5454545454545454</v>
      </c>
      <c r="E28" s="124">
        <f t="shared" ref="E28:P28" si="1">0/3*E11+0.3*(AVERAGE(E14:E15))+0.4*(AVERAGE(E16:E26))</f>
        <v>2.35</v>
      </c>
      <c r="F28" s="124">
        <f t="shared" si="1"/>
        <v>2.1900000000000004</v>
      </c>
      <c r="G28" s="124">
        <f t="shared" si="1"/>
        <v>1.6</v>
      </c>
      <c r="H28" s="124">
        <v>4</v>
      </c>
      <c r="I28" s="124">
        <f t="shared" si="1"/>
        <v>1.52</v>
      </c>
      <c r="J28" s="124">
        <f t="shared" si="1"/>
        <v>1.71</v>
      </c>
      <c r="K28" s="124">
        <f t="shared" si="1"/>
        <v>1.52</v>
      </c>
      <c r="L28" s="124">
        <f t="shared" si="1"/>
        <v>1.79</v>
      </c>
      <c r="M28" s="124">
        <f t="shared" si="1"/>
        <v>1.56</v>
      </c>
      <c r="N28" s="124">
        <f t="shared" si="1"/>
        <v>1.48</v>
      </c>
      <c r="O28" s="124">
        <f t="shared" si="1"/>
        <v>1.6800000000000002</v>
      </c>
      <c r="P28" s="124">
        <f t="shared" si="1"/>
        <v>1.6400000000000001</v>
      </c>
      <c r="Q28" s="126"/>
    </row>
    <row r="29" spans="1:17" ht="48" thickBot="1">
      <c r="A29" s="140" t="s">
        <v>1554</v>
      </c>
      <c r="B29" s="140" t="s">
        <v>1554</v>
      </c>
      <c r="C29" s="141" t="s">
        <v>1554</v>
      </c>
      <c r="D29" s="124">
        <f>3*D10+D28</f>
        <v>10.545454545454545</v>
      </c>
      <c r="E29" s="124">
        <f t="shared" ref="E29:P29" si="2">3*E10+E28</f>
        <v>11.35</v>
      </c>
      <c r="F29" s="124">
        <f t="shared" si="2"/>
        <v>11.190000000000001</v>
      </c>
      <c r="G29" s="124">
        <f t="shared" si="2"/>
        <v>4.5999999999999996</v>
      </c>
      <c r="H29" s="124">
        <f t="shared" si="2"/>
        <v>10</v>
      </c>
      <c r="I29" s="124">
        <f t="shared" si="2"/>
        <v>7.52</v>
      </c>
      <c r="J29" s="124">
        <f t="shared" si="2"/>
        <v>10.71</v>
      </c>
      <c r="K29" s="124">
        <f t="shared" si="2"/>
        <v>7.52</v>
      </c>
      <c r="L29" s="124">
        <f t="shared" si="2"/>
        <v>7.79</v>
      </c>
      <c r="M29" s="124">
        <f t="shared" si="2"/>
        <v>10.56</v>
      </c>
      <c r="N29" s="124">
        <f t="shared" si="2"/>
        <v>4.4800000000000004</v>
      </c>
      <c r="O29" s="124">
        <f t="shared" si="2"/>
        <v>7.68</v>
      </c>
      <c r="P29" s="124">
        <f t="shared" si="2"/>
        <v>4.6400000000000006</v>
      </c>
      <c r="Q29" s="126"/>
    </row>
    <row r="30" spans="1:17">
      <c r="A30" s="169" t="s">
        <v>1555</v>
      </c>
      <c r="B30" s="169" t="s">
        <v>1555</v>
      </c>
      <c r="C30" s="142" t="s">
        <v>1556</v>
      </c>
      <c r="D30" s="124"/>
      <c r="E30" s="125"/>
      <c r="F30" s="126"/>
      <c r="G30" s="126"/>
      <c r="H30" s="126"/>
      <c r="I30" s="126"/>
      <c r="J30" s="126"/>
      <c r="K30" s="126"/>
      <c r="L30" s="126"/>
      <c r="M30" s="126"/>
      <c r="N30" s="126"/>
      <c r="O30" s="126"/>
      <c r="P30" s="126"/>
      <c r="Q30" s="126"/>
    </row>
    <row r="31" spans="1:17">
      <c r="A31" s="170"/>
      <c r="B31" s="170"/>
      <c r="C31" s="143" t="s">
        <v>1557</v>
      </c>
      <c r="D31" s="124"/>
      <c r="E31" s="125"/>
      <c r="F31" s="126"/>
      <c r="G31" s="126"/>
      <c r="H31" s="126"/>
      <c r="I31" s="126"/>
      <c r="J31" s="126"/>
      <c r="K31" s="126"/>
      <c r="L31" s="126"/>
      <c r="M31" s="126"/>
      <c r="N31" s="126"/>
      <c r="O31" s="126"/>
      <c r="P31" s="126"/>
      <c r="Q31" s="126"/>
    </row>
    <row r="32" spans="1:17" ht="47.25">
      <c r="A32" s="170"/>
      <c r="B32" s="170"/>
      <c r="C32" s="144" t="s">
        <v>1558</v>
      </c>
      <c r="D32" s="124">
        <v>1</v>
      </c>
      <c r="E32" s="124">
        <v>2</v>
      </c>
      <c r="F32" s="124">
        <v>1</v>
      </c>
      <c r="G32" s="124">
        <v>3</v>
      </c>
      <c r="H32" s="124">
        <v>4</v>
      </c>
      <c r="I32" s="124">
        <v>1</v>
      </c>
      <c r="J32" s="124"/>
      <c r="K32" s="124"/>
      <c r="L32" s="124"/>
      <c r="M32" s="124"/>
      <c r="N32" s="124"/>
      <c r="O32" s="124"/>
      <c r="P32" s="124"/>
      <c r="Q32" s="126"/>
    </row>
    <row r="33" spans="1:17" ht="110.25">
      <c r="A33" s="170"/>
      <c r="B33" s="170"/>
      <c r="C33" s="144" t="s">
        <v>1559</v>
      </c>
      <c r="D33" s="124"/>
      <c r="E33" s="125"/>
      <c r="F33" s="126"/>
      <c r="G33" s="126"/>
      <c r="H33" s="126"/>
      <c r="I33" s="126"/>
      <c r="J33" s="126"/>
      <c r="K33" s="126"/>
      <c r="L33" s="126"/>
      <c r="M33" s="126"/>
      <c r="N33" s="126"/>
      <c r="O33" s="126"/>
      <c r="P33" s="126"/>
      <c r="Q33" s="126"/>
    </row>
    <row r="34" spans="1:17" ht="16.5" thickBot="1">
      <c r="A34" s="171"/>
      <c r="B34" s="171"/>
      <c r="C34" s="145" t="s">
        <v>1560</v>
      </c>
      <c r="D34" s="124">
        <f>D29*(1-(D32/5))</f>
        <v>8.4363636363636356</v>
      </c>
      <c r="E34" s="124">
        <f t="shared" ref="E34:P34" si="3">E29*(1-(E32/5))</f>
        <v>6.81</v>
      </c>
      <c r="F34" s="124">
        <f t="shared" si="3"/>
        <v>8.9520000000000017</v>
      </c>
      <c r="G34" s="124">
        <f t="shared" si="3"/>
        <v>1.8399999999999999</v>
      </c>
      <c r="H34" s="124">
        <f t="shared" si="3"/>
        <v>1.9999999999999996</v>
      </c>
      <c r="I34" s="124">
        <f t="shared" si="3"/>
        <v>6.016</v>
      </c>
      <c r="J34" s="124">
        <f t="shared" si="3"/>
        <v>10.71</v>
      </c>
      <c r="K34" s="124">
        <f t="shared" si="3"/>
        <v>7.52</v>
      </c>
      <c r="L34" s="124">
        <f t="shared" si="3"/>
        <v>7.79</v>
      </c>
      <c r="M34" s="124">
        <f t="shared" si="3"/>
        <v>10.56</v>
      </c>
      <c r="N34" s="124">
        <f t="shared" si="3"/>
        <v>4.4800000000000004</v>
      </c>
      <c r="O34" s="124">
        <f t="shared" si="3"/>
        <v>7.68</v>
      </c>
      <c r="P34" s="124">
        <f t="shared" si="3"/>
        <v>4.6400000000000006</v>
      </c>
      <c r="Q34" s="126"/>
    </row>
  </sheetData>
  <mergeCells count="9">
    <mergeCell ref="A30:A34"/>
    <mergeCell ref="B30:B34"/>
    <mergeCell ref="A2:A6"/>
    <mergeCell ref="B2:B6"/>
    <mergeCell ref="A7:A10"/>
    <mergeCell ref="B7:B9"/>
    <mergeCell ref="A11:A28"/>
    <mergeCell ref="B12:B15"/>
    <mergeCell ref="B16:B27"/>
  </mergeCells>
  <conditionalFormatting sqref="D29:D33 E29:P29">
    <cfRule type="colorScale" priority="8">
      <colorScale>
        <cfvo type="min"/>
        <cfvo type="percentile" val="50"/>
        <cfvo type="max"/>
        <color rgb="FF00B050"/>
        <color rgb="FFFFEB84"/>
        <color rgb="FFFF0000"/>
      </colorScale>
    </cfRule>
  </conditionalFormatting>
  <conditionalFormatting sqref="E30:E31">
    <cfRule type="colorScale" priority="6">
      <colorScale>
        <cfvo type="min"/>
        <cfvo type="percentile" val="50"/>
        <cfvo type="max"/>
        <color rgb="FFF8696B"/>
        <color rgb="FFFFEB84"/>
        <color rgb="FF63BE7B"/>
      </colorScale>
    </cfRule>
  </conditionalFormatting>
  <conditionalFormatting sqref="D34:P34">
    <cfRule type="colorScale" priority="4">
      <colorScale>
        <cfvo type="min"/>
        <cfvo type="percentile" val="50"/>
        <cfvo type="max"/>
        <color rgb="FF00B050"/>
        <color rgb="FFFFEB84"/>
        <color rgb="FFFF0000"/>
      </colorScale>
    </cfRule>
  </conditionalFormatting>
  <conditionalFormatting sqref="E32:P32">
    <cfRule type="colorScale" priority="2">
      <colorScale>
        <cfvo type="min"/>
        <cfvo type="percentile" val="50"/>
        <cfvo type="max"/>
        <color rgb="FF00B050"/>
        <color rgb="FFFFEB84"/>
        <color rgb="FFFF0000"/>
      </colorScale>
    </cfRule>
  </conditionalFormatting>
  <dataValidations count="2">
    <dataValidation type="list" allowBlank="1" showInputMessage="1" showErrorMessage="1" sqref="D7:P9 D11:P27" xr:uid="{2D52251D-F000-4897-877C-0A0F048C3724}">
      <formula1>"1,2,3,4"</formula1>
    </dataValidation>
    <dataValidation type="whole" allowBlank="1" showInputMessage="1" showErrorMessage="1" errorTitle="ערך לא תקין" error="יש להזין ספרה בטווח 1-4 (כאשר 1 מסמל הפחתת סיכון נמוכה ו- 4 הפחתת סיכון גבוהה)" sqref="D32:E33" xr:uid="{AC2E3E1F-EF70-4D49-A3B3-81B109167BF0}">
      <formula1>1</formula1>
      <formula2>4</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7" id="{015E16CF-B94E-49C4-82CD-CCA759B11122}">
            <x14:iconSet iconSet="5Boxes">
              <x14:cfvo type="percent">
                <xm:f>0</xm:f>
              </x14:cfvo>
              <x14:cfvo type="percent">
                <xm:f>20</xm:f>
              </x14:cfvo>
              <x14:cfvo type="percent">
                <xm:f>40</xm:f>
              </x14:cfvo>
              <x14:cfvo type="percent">
                <xm:f>60</xm:f>
              </x14:cfvo>
              <x14:cfvo type="percent">
                <xm:f>80</xm:f>
              </x14:cfvo>
            </x14:iconSet>
          </x14:cfRule>
          <xm:sqref>D29:D33 E29:P29</xm:sqref>
        </x14:conditionalFormatting>
        <x14:conditionalFormatting xmlns:xm="http://schemas.microsoft.com/office/excel/2006/main">
          <x14:cfRule type="iconSet" priority="5" id="{6C936B8A-24C0-4AE6-91F4-77CE32C41632}">
            <x14:iconSet iconSet="5Boxes">
              <x14:cfvo type="percent">
                <xm:f>0</xm:f>
              </x14:cfvo>
              <x14:cfvo type="percent">
                <xm:f>20</xm:f>
              </x14:cfvo>
              <x14:cfvo type="percent">
                <xm:f>40</xm:f>
              </x14:cfvo>
              <x14:cfvo type="percent">
                <xm:f>60</xm:f>
              </x14:cfvo>
              <x14:cfvo type="percent">
                <xm:f>80</xm:f>
              </x14:cfvo>
            </x14:iconSet>
          </x14:cfRule>
          <xm:sqref>E30:E31</xm:sqref>
        </x14:conditionalFormatting>
        <x14:conditionalFormatting xmlns:xm="http://schemas.microsoft.com/office/excel/2006/main">
          <x14:cfRule type="iconSet" priority="3" id="{C1178708-1936-4F1A-A182-E4AF1FCAA45A}">
            <x14:iconSet iconSet="5Boxes">
              <x14:cfvo type="percent">
                <xm:f>0</xm:f>
              </x14:cfvo>
              <x14:cfvo type="percent">
                <xm:f>20</xm:f>
              </x14:cfvo>
              <x14:cfvo type="percent">
                <xm:f>40</xm:f>
              </x14:cfvo>
              <x14:cfvo type="percent">
                <xm:f>60</xm:f>
              </x14:cfvo>
              <x14:cfvo type="percent">
                <xm:f>80</xm:f>
              </x14:cfvo>
            </x14:iconSet>
          </x14:cfRule>
          <xm:sqref>D34:P34</xm:sqref>
        </x14:conditionalFormatting>
        <x14:conditionalFormatting xmlns:xm="http://schemas.microsoft.com/office/excel/2006/main">
          <x14:cfRule type="iconSet" priority="1" id="{13EA9810-4C15-4C05-A732-F3C3BB98718D}">
            <x14:iconSet iconSet="5Boxes">
              <x14:cfvo type="percent">
                <xm:f>0</xm:f>
              </x14:cfvo>
              <x14:cfvo type="percent">
                <xm:f>20</xm:f>
              </x14:cfvo>
              <x14:cfvo type="percent">
                <xm:f>40</xm:f>
              </x14:cfvo>
              <x14:cfvo type="percent">
                <xm:f>60</xm:f>
              </x14:cfvo>
              <x14:cfvo type="percent">
                <xm:f>80</xm:f>
              </x14:cfvo>
            </x14:iconSet>
          </x14:cfRule>
          <xm:sqref>E32:P32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40D95DC-9D5E-4802-A57B-CD466BABC7E2}">
          <x14:formula1>
            <xm:f>'F:\מכלול עמידות\אגף תשתיות עמידות\מרכז תורה וביקורת\תוהג\תוהג ארגוני\גרסאות\תוהג 2.0\פיילוטים\שאלון ניהול סיכונים תוהג 2.0\[שאלון ניהול סיכונים תוהג 2.0 גרסה 1.15.xlsx]מילון'!#REF!</xm:f>
          </x14:formula1>
          <xm:sqref>D5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999EA-A435-4274-BDAE-5E23C08497FC}">
  <dimension ref="A1:F28"/>
  <sheetViews>
    <sheetView rightToLeft="1" workbookViewId="0">
      <selection activeCell="C2" sqref="C2:C4"/>
    </sheetView>
  </sheetViews>
  <sheetFormatPr defaultRowHeight="15.75"/>
  <cols>
    <col min="1" max="1" width="9" style="116"/>
    <col min="2" max="2" width="24" style="116" customWidth="1"/>
    <col min="3" max="3" width="38.5" style="116" customWidth="1"/>
    <col min="4" max="4" width="37.25" style="116" customWidth="1"/>
    <col min="5" max="5" width="25.5" style="116" customWidth="1"/>
    <col min="6" max="6" width="31.5" style="116" customWidth="1"/>
    <col min="7" max="16384" width="9" style="116"/>
  </cols>
  <sheetData>
    <row r="1" spans="1:6">
      <c r="A1" s="158"/>
      <c r="B1" s="159" t="s">
        <v>1561</v>
      </c>
      <c r="C1" s="159">
        <v>1</v>
      </c>
      <c r="D1" s="159">
        <v>2</v>
      </c>
      <c r="E1" s="159">
        <v>3</v>
      </c>
      <c r="F1" s="159">
        <v>4</v>
      </c>
    </row>
    <row r="2" spans="1:6" ht="63">
      <c r="A2" s="183" t="s">
        <v>1562</v>
      </c>
      <c r="B2" s="153" t="str">
        <f>[1]מחשבון!C7</f>
        <v>מהי רמת הנזק המקסימלית שתיגרם לארגון בעקבות חשיפת מידע מהתהליך/נכס?  (C)</v>
      </c>
      <c r="C2" s="184" t="s">
        <v>1563</v>
      </c>
      <c r="D2" s="184" t="s">
        <v>1564</v>
      </c>
      <c r="E2" s="184" t="s">
        <v>1565</v>
      </c>
      <c r="F2" s="184" t="s">
        <v>1566</v>
      </c>
    </row>
    <row r="3" spans="1:6" ht="63">
      <c r="A3" s="183"/>
      <c r="B3" s="102" t="str">
        <f>[1]מחשבון!C8</f>
        <v>מהי רמת הנזק המקסימלית שתיגרם לארגון בעקבות שיבוש המידע הקיים בתהליך/נכס? (I)</v>
      </c>
      <c r="C3" s="184"/>
      <c r="D3" s="184"/>
      <c r="E3" s="184"/>
      <c r="F3" s="184"/>
    </row>
    <row r="4" spans="1:6" ht="63">
      <c r="A4" s="183"/>
      <c r="B4" s="160" t="str">
        <f>[1]מחשבון!C9</f>
        <v>מהי רמת הנזק המקסימלית שתיגרם לארגון בעקבות השבתת התהליך/נכס לפרק זמן ממושך?  (A)</v>
      </c>
      <c r="C4" s="184"/>
      <c r="D4" s="184"/>
      <c r="E4" s="184"/>
      <c r="F4" s="184"/>
    </row>
    <row r="5" spans="1:6">
      <c r="A5" s="183" t="s">
        <v>1567</v>
      </c>
      <c r="B5" s="185" t="s">
        <v>1532</v>
      </c>
      <c r="C5" s="185"/>
      <c r="D5" s="185"/>
      <c r="E5" s="185"/>
      <c r="F5" s="185"/>
    </row>
    <row r="6" spans="1:6" ht="47.25">
      <c r="A6" s="183"/>
      <c r="B6" s="102" t="str">
        <f>[1]מחשבון!C11</f>
        <v>האם בשלוש שנים האחרונות התרחש בארגון ו/או בספקי הארגון אירוע סייבר?</v>
      </c>
      <c r="C6" s="102" t="s">
        <v>1568</v>
      </c>
      <c r="D6" s="102" t="s">
        <v>1569</v>
      </c>
      <c r="E6" s="102" t="s">
        <v>1570</v>
      </c>
      <c r="F6" s="102" t="s">
        <v>1571</v>
      </c>
    </row>
    <row r="7" spans="1:6">
      <c r="A7" s="183"/>
      <c r="B7" s="185" t="s">
        <v>1572</v>
      </c>
      <c r="C7" s="185"/>
      <c r="D7" s="185"/>
      <c r="E7" s="185"/>
      <c r="F7" s="185"/>
    </row>
    <row r="8" spans="1:6" ht="94.5">
      <c r="A8" s="183"/>
      <c r="B8" s="102" t="str">
        <f>[1]מחשבון!C12</f>
        <v>האם ממצאי מודיעין סייבר מהשנתיים האחרונות האחרונות מעידים כי הארגון ו/או ספקי הארגון ו/או ארגונים בסקטור הפעילות בארץ/בעולם מהווים יעד מועדף לתקיפה?</v>
      </c>
      <c r="C8" s="102" t="s">
        <v>1573</v>
      </c>
      <c r="D8" s="102" t="s">
        <v>1574</v>
      </c>
      <c r="E8" s="102" t="s">
        <v>1575</v>
      </c>
      <c r="F8" s="102" t="s">
        <v>1576</v>
      </c>
    </row>
    <row r="9" spans="1:6" ht="94.5">
      <c r="A9" s="183"/>
      <c r="B9" s="102" t="str">
        <f>[1]מחשבון!C13</f>
        <v>האם ממצאי מודיעין סייבר מהשנתיים האחרונות האחרונות מעידים כי סוג המידע אשר הארגון מחזיק ברשותו מהווה יעד מועדף לתקיפה?</v>
      </c>
      <c r="C9" s="102" t="s">
        <v>1573</v>
      </c>
      <c r="D9" s="102" t="s">
        <v>1577</v>
      </c>
      <c r="E9" s="102" t="s">
        <v>1578</v>
      </c>
      <c r="F9" s="102" t="s">
        <v>1579</v>
      </c>
    </row>
    <row r="10" spans="1:6" ht="110.25">
      <c r="A10" s="183"/>
      <c r="B10" s="102" t="str">
        <f>[1]מחשבון!C14</f>
        <v>האם ממצאי מודיעין סייבר מהשנתיים האחרונות האחרונות מעידים כי יעדי ההגנה (מערכות ו/או תהליכים ארגוניים) אשר הארגון עושה בהם מהווים יעד מועדף לתקיפה?</v>
      </c>
      <c r="C10" s="102" t="s">
        <v>1573</v>
      </c>
      <c r="D10" s="102" t="s">
        <v>1580</v>
      </c>
      <c r="E10" s="102" t="s">
        <v>1581</v>
      </c>
      <c r="F10" s="102" t="s">
        <v>1582</v>
      </c>
    </row>
    <row r="11" spans="1:6" ht="110.25">
      <c r="A11" s="183"/>
      <c r="B11" s="102" t="str">
        <f>[1]מחשבון!C15</f>
        <v>האם ממצאי מודיעין סייבר מהשנתיים האחרונות האחרונות מעידים כי התגלו באופן תדיר חולשות ברמת חומרה גבוהה ביעדי ההגנה? (מערכות ו/או תהליכים ארגוניים)?</v>
      </c>
      <c r="C11" s="102" t="s">
        <v>1573</v>
      </c>
      <c r="D11" s="102" t="s">
        <v>1583</v>
      </c>
      <c r="E11" s="102" t="s">
        <v>1584</v>
      </c>
      <c r="F11" s="102" t="s">
        <v>1585</v>
      </c>
    </row>
    <row r="12" spans="1:6">
      <c r="A12" s="183"/>
      <c r="B12" s="185" t="s">
        <v>1586</v>
      </c>
      <c r="C12" s="185"/>
      <c r="D12" s="185"/>
      <c r="E12" s="185"/>
      <c r="F12" s="185"/>
    </row>
    <row r="13" spans="1:6" ht="47.25">
      <c r="A13" s="183"/>
      <c r="B13" s="102" t="str">
        <f>[1]מחשבון!C16</f>
        <v>מספר המשתמשים (אנושי/אפליקטיבי/מחשב) הקיימים בתהליך/בנכס?</v>
      </c>
      <c r="C13" s="154" t="s">
        <v>1587</v>
      </c>
      <c r="D13" s="154" t="s">
        <v>1588</v>
      </c>
      <c r="E13" s="154" t="s">
        <v>1589</v>
      </c>
      <c r="F13" s="154" t="s">
        <v>1590</v>
      </c>
    </row>
    <row r="14" spans="1:6" ht="47.25">
      <c r="A14" s="183"/>
      <c r="B14" s="102" t="str">
        <f>[1]מחשבון!C17</f>
        <v>מספר משתמשים חזקים במערכת (דוגמת Super user, Admin וכו)</v>
      </c>
      <c r="C14" s="155" t="s">
        <v>1591</v>
      </c>
      <c r="D14" s="155" t="s">
        <v>1592</v>
      </c>
      <c r="E14" s="155" t="s">
        <v>1593</v>
      </c>
      <c r="F14" s="156" t="s">
        <v>1594</v>
      </c>
    </row>
    <row r="15" spans="1:6" ht="31.5">
      <c r="A15" s="183"/>
      <c r="B15" s="102" t="str">
        <f>[1]מחשבון!C18</f>
        <v>מי הם המשתמשים האנושיים בתהליך/הנכס?</v>
      </c>
      <c r="C15" s="153" t="s">
        <v>1595</v>
      </c>
      <c r="D15" s="153" t="s">
        <v>1596</v>
      </c>
      <c r="E15" s="153" t="s">
        <v>1597</v>
      </c>
      <c r="F15" s="102" t="s">
        <v>1598</v>
      </c>
    </row>
    <row r="16" spans="1:6" ht="47.25">
      <c r="A16" s="183"/>
      <c r="B16" s="102" t="str">
        <f>[1]מחשבון!C19</f>
        <v>כמה ממשקים (לחיבור בין מערכת ל AD, API, WS, DB וכו') קיימים לתהליך/הנכס?</v>
      </c>
      <c r="C16" s="153" t="s">
        <v>1599</v>
      </c>
      <c r="D16" s="154" t="s">
        <v>1600</v>
      </c>
      <c r="E16" s="154" t="s">
        <v>1601</v>
      </c>
      <c r="F16" s="102" t="s">
        <v>1602</v>
      </c>
    </row>
    <row r="17" spans="1:6" ht="31.5">
      <c r="A17" s="183"/>
      <c r="B17" s="102" t="str">
        <f>[1]מחשבון!C20</f>
        <v>מהו אופי ממשקי של התהליך/הנכס?</v>
      </c>
      <c r="C17" s="153" t="s">
        <v>1603</v>
      </c>
      <c r="D17" s="153" t="s">
        <v>1604</v>
      </c>
      <c r="E17" s="153" t="s">
        <v>1605</v>
      </c>
      <c r="F17" s="153" t="s">
        <v>1606</v>
      </c>
    </row>
    <row r="18" spans="1:6" ht="47.25">
      <c r="A18" s="183"/>
      <c r="B18" s="102" t="str">
        <f>[1]מחשבון!C21</f>
        <v xml:space="preserve"> מהו סוג המידע הקיים בתהליך/הנכס?</v>
      </c>
      <c r="C18" s="153" t="s">
        <v>1607</v>
      </c>
      <c r="D18" s="153" t="s">
        <v>1608</v>
      </c>
      <c r="E18" s="153" t="s">
        <v>1609</v>
      </c>
      <c r="F18" s="153" t="s">
        <v>1610</v>
      </c>
    </row>
    <row r="19" spans="1:6" ht="78.75">
      <c r="A19" s="183"/>
      <c r="B19" s="102" t="str">
        <f>[1]מחשבון!C22</f>
        <v>האם קיימת גישה מרחוק לתהליך/הנכס?
(גישת משתמשים מחוץ לרשת הארגונית, דוגמת VPN, IP-VPN , OWA וכו)</v>
      </c>
      <c r="C19" s="153" t="s">
        <v>1611</v>
      </c>
      <c r="D19" s="153" t="s">
        <v>1612</v>
      </c>
      <c r="E19" s="153" t="s">
        <v>1613</v>
      </c>
      <c r="F19" s="153" t="s">
        <v>1614</v>
      </c>
    </row>
    <row r="20" spans="1:6" ht="47.25">
      <c r="A20" s="183"/>
      <c r="B20" s="102" t="str">
        <f>[1]מחשבון!C23</f>
        <v>מהי רמת מידור ההרשאות לתהליך/הנכס?</v>
      </c>
      <c r="C20" s="153" t="s">
        <v>1615</v>
      </c>
      <c r="D20" s="153" t="s">
        <v>1616</v>
      </c>
      <c r="E20" s="153" t="s">
        <v>1617</v>
      </c>
      <c r="F20" s="153" t="s">
        <v>1618</v>
      </c>
    </row>
    <row r="21" spans="1:6" ht="31.5">
      <c r="A21" s="183"/>
      <c r="B21" s="102" t="str">
        <f>[1]מחשבון!C24</f>
        <v>מהי רמת העדכניות של התהליך/הנכס?</v>
      </c>
      <c r="C21" s="153" t="s">
        <v>1619</v>
      </c>
      <c r="D21" s="153" t="s">
        <v>1620</v>
      </c>
      <c r="E21" s="153" t="s">
        <v>1621</v>
      </c>
      <c r="F21" s="153" t="s">
        <v>1622</v>
      </c>
    </row>
    <row r="22" spans="1:6" ht="31.5">
      <c r="A22" s="183"/>
      <c r="B22" s="102" t="str">
        <f>[1]מחשבון!C25</f>
        <v>מהי מדיניות העדכונים וטלאי האבטחה?</v>
      </c>
      <c r="C22" s="153" t="s">
        <v>1623</v>
      </c>
      <c r="D22" s="153" t="s">
        <v>1624</v>
      </c>
      <c r="E22" s="153" t="s">
        <v>1625</v>
      </c>
      <c r="F22" s="153" t="s">
        <v>1626</v>
      </c>
    </row>
    <row r="23" spans="1:6" ht="31.5">
      <c r="A23" s="183"/>
      <c r="B23" s="102" t="str">
        <f>[1]מחשבון!C26</f>
        <v>מהי רמת האבטחה הפיזית של התהליך/ הנכס?</v>
      </c>
      <c r="C23" s="153" t="s">
        <v>1627</v>
      </c>
      <c r="D23" s="153" t="s">
        <v>1628</v>
      </c>
      <c r="E23" s="102" t="s">
        <v>1629</v>
      </c>
      <c r="F23" s="102" t="s">
        <v>1630</v>
      </c>
    </row>
    <row r="24" spans="1:6" ht="31.5">
      <c r="A24" s="183"/>
      <c r="B24" s="102" t="str">
        <f>[1]מחשבון!C27</f>
        <v>מהו מספר התהליכים/הנכסים התלויים בנכס/התהליך הנבחן?</v>
      </c>
      <c r="C24" s="153" t="s">
        <v>1631</v>
      </c>
      <c r="D24" s="153" t="s">
        <v>1632</v>
      </c>
      <c r="E24" s="102" t="s">
        <v>1633</v>
      </c>
      <c r="F24" s="102" t="s">
        <v>1634</v>
      </c>
    </row>
    <row r="25" spans="1:6">
      <c r="A25" s="183"/>
      <c r="B25" s="186" t="s">
        <v>1635</v>
      </c>
      <c r="C25" s="187"/>
      <c r="D25" s="187"/>
      <c r="E25" s="187"/>
      <c r="F25" s="188"/>
    </row>
    <row r="26" spans="1:6" ht="63">
      <c r="A26" s="183"/>
      <c r="B26" s="102" t="s">
        <v>1636</v>
      </c>
      <c r="C26" s="102" t="s">
        <v>1637</v>
      </c>
      <c r="D26" s="102" t="s">
        <v>1638</v>
      </c>
      <c r="E26" s="102" t="s">
        <v>1639</v>
      </c>
      <c r="F26" s="102" t="s">
        <v>1640</v>
      </c>
    </row>
    <row r="27" spans="1:6" ht="63">
      <c r="A27" s="183"/>
      <c r="B27" s="102" t="s">
        <v>1641</v>
      </c>
      <c r="C27" s="102" t="s">
        <v>1642</v>
      </c>
      <c r="D27" s="102" t="s">
        <v>1643</v>
      </c>
      <c r="E27" s="102" t="s">
        <v>1644</v>
      </c>
      <c r="F27" s="102" t="s">
        <v>1640</v>
      </c>
    </row>
    <row r="28" spans="1:6" ht="42.75">
      <c r="A28" s="183"/>
      <c r="B28" s="102" t="s">
        <v>1645</v>
      </c>
      <c r="C28" s="157" t="s">
        <v>1646</v>
      </c>
      <c r="D28" s="157" t="s">
        <v>1647</v>
      </c>
      <c r="E28" s="157" t="s">
        <v>1648</v>
      </c>
      <c r="F28" s="102" t="s">
        <v>1640</v>
      </c>
    </row>
  </sheetData>
  <mergeCells count="10">
    <mergeCell ref="A5:A28"/>
    <mergeCell ref="B5:F5"/>
    <mergeCell ref="B7:F7"/>
    <mergeCell ref="B12:F12"/>
    <mergeCell ref="B25:F25"/>
    <mergeCell ref="A2:A4"/>
    <mergeCell ref="C2:C4"/>
    <mergeCell ref="D2:D4"/>
    <mergeCell ref="E2:E4"/>
    <mergeCell ref="F2:F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4AC20-94F9-41E8-8C3E-079B3719F365}">
  <dimension ref="A1:M224"/>
  <sheetViews>
    <sheetView rightToLeft="1" workbookViewId="0">
      <selection activeCell="M16" sqref="M16"/>
    </sheetView>
  </sheetViews>
  <sheetFormatPr defaultRowHeight="12"/>
  <cols>
    <col min="1" max="1" width="36.625" style="69" customWidth="1"/>
    <col min="2" max="2" width="21.875" style="74" customWidth="1"/>
    <col min="3" max="3" width="32.625" style="74" customWidth="1"/>
    <col min="4" max="5" width="6.5" style="75" customWidth="1"/>
    <col min="6" max="6" width="5.875" style="75" customWidth="1"/>
    <col min="7" max="7" width="6.5" style="75" customWidth="1"/>
    <col min="8" max="8" width="6.125" style="75" customWidth="1"/>
    <col min="9" max="10" width="6.5" style="75" customWidth="1"/>
    <col min="11" max="11" width="8.375" style="69" customWidth="1"/>
    <col min="12" max="16384" width="9" style="69"/>
  </cols>
  <sheetData>
    <row r="1" spans="1:13" ht="36">
      <c r="A1" s="66" t="s">
        <v>907</v>
      </c>
      <c r="B1" s="67" t="s">
        <v>908</v>
      </c>
      <c r="C1" s="67" t="s">
        <v>909</v>
      </c>
      <c r="D1" s="67" t="s">
        <v>910</v>
      </c>
      <c r="E1" s="67" t="s">
        <v>911</v>
      </c>
      <c r="F1" s="67" t="s">
        <v>912</v>
      </c>
      <c r="G1" s="67" t="s">
        <v>913</v>
      </c>
      <c r="H1" s="67" t="s">
        <v>914</v>
      </c>
      <c r="I1" s="67" t="s">
        <v>915</v>
      </c>
      <c r="J1" s="67" t="s">
        <v>916</v>
      </c>
      <c r="K1" s="67" t="s">
        <v>917</v>
      </c>
      <c r="L1" s="68" t="s">
        <v>918</v>
      </c>
      <c r="M1" s="68" t="s">
        <v>919</v>
      </c>
    </row>
    <row r="2" spans="1:13" ht="11.25" customHeight="1">
      <c r="A2" s="70" t="s">
        <v>920</v>
      </c>
      <c r="B2" s="71"/>
      <c r="C2" s="71"/>
      <c r="D2" s="72"/>
      <c r="E2" s="72"/>
      <c r="F2" s="72"/>
      <c r="G2" s="72"/>
      <c r="H2" s="72"/>
      <c r="I2" s="72"/>
      <c r="J2" s="72"/>
      <c r="L2" s="73">
        <v>1.5</v>
      </c>
      <c r="M2" s="73">
        <v>0.5</v>
      </c>
    </row>
    <row r="3" spans="1:13" ht="11.25" customHeight="1">
      <c r="A3" s="69" t="s">
        <v>921</v>
      </c>
      <c r="B3" s="74" t="s">
        <v>922</v>
      </c>
      <c r="C3" s="74" t="s">
        <v>923</v>
      </c>
      <c r="D3" s="75">
        <v>4</v>
      </c>
      <c r="E3" s="75">
        <v>3</v>
      </c>
      <c r="F3" s="75">
        <v>3</v>
      </c>
      <c r="G3" s="75">
        <v>2</v>
      </c>
      <c r="H3" s="75">
        <v>2</v>
      </c>
      <c r="I3" s="75">
        <f>IF($D3="","",+Table2[[#This Row],[תועלת המענה]]-(SUM(Table2[[#This Row],[משאבי כ"א  לתפעול ]],Table2[[#This Row],[משאבי כ"א  להטמעה]],Table2[[#This Row],[הערכת עלות]],Table2[[#This Row],[זמן ההטמעה המשוער]])/4))</f>
        <v>1.5</v>
      </c>
      <c r="J3" s="75" t="str">
        <f>IF(Table2[[#This Row],[שקלול כדאיות מספרי]]="","", IF(I3&gt;=$L$2,"שלב א",IF(I3&lt;4,IF(I3&gt;=$M$2, "שלב ב","שלב ג"))))</f>
        <v>שלב א</v>
      </c>
    </row>
    <row r="4" spans="1:13" ht="11.25" customHeight="1">
      <c r="A4" s="69" t="s">
        <v>924</v>
      </c>
      <c r="B4" s="74" t="s">
        <v>925</v>
      </c>
      <c r="C4" s="74" t="s">
        <v>926</v>
      </c>
      <c r="D4" s="75">
        <v>4</v>
      </c>
      <c r="E4" s="75">
        <v>3</v>
      </c>
      <c r="F4" s="75">
        <v>3</v>
      </c>
      <c r="G4" s="75">
        <v>2</v>
      </c>
      <c r="H4" s="75">
        <v>5</v>
      </c>
      <c r="I4" s="75">
        <f>IF($D4="","",+Table2[[#This Row],[תועלת המענה]]-(SUM(Table2[[#This Row],[משאבי כ"א  לתפעול ]],Table2[[#This Row],[משאבי כ"א  להטמעה]],Table2[[#This Row],[הערכת עלות]],Table2[[#This Row],[זמן ההטמעה המשוער]])/4))</f>
        <v>0.75</v>
      </c>
      <c r="J4" s="75" t="str">
        <f>IF(Table2[[#This Row],[שקלול כדאיות מספרי]]="","", IF(I4&gt;=$L$2,"שלב א",IF(I4&lt;4,IF(I4&gt;=$M$2, "שלב ב","שלב ג"))))</f>
        <v>שלב ב</v>
      </c>
    </row>
    <row r="5" spans="1:13" ht="11.25" customHeight="1">
      <c r="A5" s="69" t="s">
        <v>927</v>
      </c>
      <c r="B5" s="74" t="s">
        <v>928</v>
      </c>
      <c r="C5" s="74" t="s">
        <v>929</v>
      </c>
      <c r="D5" s="75">
        <v>5</v>
      </c>
      <c r="E5" s="75">
        <v>5</v>
      </c>
      <c r="F5" s="75">
        <v>4</v>
      </c>
      <c r="G5" s="75">
        <v>4</v>
      </c>
      <c r="H5" s="75">
        <v>5</v>
      </c>
      <c r="I5" s="75">
        <f>IF($D5="","",+Table2[[#This Row],[תועלת המענה]]-(SUM(Table2[[#This Row],[משאבי כ"א  לתפעול ]],Table2[[#This Row],[משאבי כ"א  להטמעה]],Table2[[#This Row],[הערכת עלות]],Table2[[#This Row],[זמן ההטמעה המשוער]])/4))</f>
        <v>0.5</v>
      </c>
      <c r="J5" s="75" t="str">
        <f>IF(Table2[[#This Row],[שקלול כדאיות מספרי]]="","", IF(I5&gt;=$L$2,"שלב א",IF(I5&lt;4,IF(I5&gt;=$M$2, "שלב ב","שלב ג"))))</f>
        <v>שלב ב</v>
      </c>
    </row>
    <row r="6" spans="1:13" ht="11.25" customHeight="1">
      <c r="A6" s="69" t="s">
        <v>930</v>
      </c>
      <c r="B6" s="74" t="s">
        <v>931</v>
      </c>
      <c r="C6" s="74" t="str">
        <f>Table2[[#This Row],[קיצור באנגלית]]</f>
        <v>Device Control</v>
      </c>
      <c r="D6" s="75">
        <v>5</v>
      </c>
      <c r="E6" s="75">
        <v>5</v>
      </c>
      <c r="F6" s="75">
        <v>1</v>
      </c>
      <c r="G6" s="75">
        <v>2</v>
      </c>
      <c r="H6" s="75">
        <v>3</v>
      </c>
      <c r="I6" s="75">
        <f>IF($D6="","",+Table2[[#This Row],[תועלת המענה]]-(SUM(Table2[[#This Row],[משאבי כ"א  לתפעול ]],Table2[[#This Row],[משאבי כ"א  להטמעה]],Table2[[#This Row],[הערכת עלות]],Table2[[#This Row],[זמן ההטמעה המשוער]])/4))</f>
        <v>2.25</v>
      </c>
      <c r="J6" s="75" t="str">
        <f>IF(Table2[[#This Row],[שקלול כדאיות מספרי]]="","", IF(I6&gt;=$L$2,"שלב א",IF(I6&lt;4,IF(I6&gt;=$M$2, "שלב ב","שלב ג"))))</f>
        <v>שלב א</v>
      </c>
    </row>
    <row r="7" spans="1:13" ht="11.25" customHeight="1">
      <c r="A7" s="69" t="s">
        <v>932</v>
      </c>
      <c r="B7" s="74" t="s">
        <v>933</v>
      </c>
      <c r="C7" s="74" t="str">
        <f>Table2[[#This Row],[קיצור באנגלית]]</f>
        <v>Honey Host</v>
      </c>
      <c r="D7" s="75">
        <v>4</v>
      </c>
      <c r="E7" s="75">
        <v>4</v>
      </c>
      <c r="F7" s="75">
        <v>3</v>
      </c>
      <c r="G7" s="75">
        <v>2</v>
      </c>
      <c r="H7" s="75">
        <v>4</v>
      </c>
      <c r="I7" s="75">
        <f>IF($D7="","",+Table2[[#This Row],[תועלת המענה]]-(SUM(Table2[[#This Row],[משאבי כ"א  לתפעול ]],Table2[[#This Row],[משאבי כ"א  להטמעה]],Table2[[#This Row],[הערכת עלות]],Table2[[#This Row],[זמן ההטמעה המשוער]])/4))</f>
        <v>0.75</v>
      </c>
      <c r="J7" s="75" t="str">
        <f>IF(Table2[[#This Row],[שקלול כדאיות מספרי]]="","", IF(I7&gt;=$L$2,"שלב א",IF(I7&lt;4,IF(I7&gt;=$M$2, "שלב ב","שלב ג"))))</f>
        <v>שלב ב</v>
      </c>
    </row>
    <row r="8" spans="1:13" ht="11.25" customHeight="1">
      <c r="A8" s="69" t="s">
        <v>934</v>
      </c>
      <c r="B8" s="74" t="s">
        <v>935</v>
      </c>
      <c r="C8" s="74" t="str">
        <f>Table2[[#This Row],[קיצור באנגלית]]</f>
        <v>Host Sandbox</v>
      </c>
      <c r="D8" s="75">
        <v>4</v>
      </c>
      <c r="E8" s="75">
        <v>3</v>
      </c>
      <c r="F8" s="75">
        <v>3</v>
      </c>
      <c r="G8" s="75">
        <v>2</v>
      </c>
      <c r="H8" s="75">
        <v>3</v>
      </c>
      <c r="I8" s="75">
        <f>IF($D8="","",+Table2[[#This Row],[תועלת המענה]]-(SUM(Table2[[#This Row],[משאבי כ"א  לתפעול ]],Table2[[#This Row],[משאבי כ"א  להטמעה]],Table2[[#This Row],[הערכת עלות]],Table2[[#This Row],[זמן ההטמעה המשוער]])/4))</f>
        <v>1.25</v>
      </c>
      <c r="J8" s="75" t="str">
        <f>IF(Table2[[#This Row],[שקלול כדאיות מספרי]]="","", IF(I8&gt;=$L$2,"שלב א",IF(I8&lt;4,IF(I8&gt;=$M$2, "שלב ב","שלב ג"))))</f>
        <v>שלב ב</v>
      </c>
    </row>
    <row r="9" spans="1:13" ht="11.25" customHeight="1">
      <c r="A9" s="69" t="s">
        <v>936</v>
      </c>
      <c r="B9" s="74" t="s">
        <v>937</v>
      </c>
      <c r="C9" s="74" t="s">
        <v>938</v>
      </c>
      <c r="D9" s="75">
        <v>3</v>
      </c>
      <c r="E9" s="75">
        <v>3</v>
      </c>
      <c r="F9" s="75">
        <v>4</v>
      </c>
      <c r="G9" s="75">
        <v>2</v>
      </c>
      <c r="H9" s="75">
        <v>3</v>
      </c>
      <c r="I9" s="75">
        <f>IF($D9="","",+Table2[[#This Row],[תועלת המענה]]-(SUM(Table2[[#This Row],[משאבי כ"א  לתפעול ]],Table2[[#This Row],[משאבי כ"א  להטמעה]],Table2[[#This Row],[הערכת עלות]],Table2[[#This Row],[זמן ההטמעה המשוער]])/4))</f>
        <v>0</v>
      </c>
      <c r="J9" s="75" t="str">
        <f>IF(Table2[[#This Row],[שקלול כדאיות מספרי]]="","", IF(I9&gt;=$L$2,"שלב א",IF(I9&lt;4,IF(I9&gt;=$M$2, "שלב ב","שלב ג"))))</f>
        <v>שלב ג</v>
      </c>
    </row>
    <row r="10" spans="1:13" ht="11.25" customHeight="1">
      <c r="A10" s="69" t="s">
        <v>939</v>
      </c>
      <c r="B10" s="74" t="s">
        <v>940</v>
      </c>
      <c r="C10" s="74" t="str">
        <f>Table2[[#This Row],[קיצור באנגלית]]</f>
        <v>Host Firewall</v>
      </c>
      <c r="D10" s="75">
        <v>4</v>
      </c>
      <c r="E10" s="75">
        <v>4</v>
      </c>
      <c r="F10" s="75">
        <v>1</v>
      </c>
      <c r="G10" s="75">
        <v>2</v>
      </c>
      <c r="H10" s="75">
        <v>4</v>
      </c>
      <c r="I10" s="75">
        <f>IF($D10="","",+Table2[[#This Row],[תועלת המענה]]-(SUM(Table2[[#This Row],[משאבי כ"א  לתפעול ]],Table2[[#This Row],[משאבי כ"א  להטמעה]],Table2[[#This Row],[הערכת עלות]],Table2[[#This Row],[זמן ההטמעה המשוער]])/4))</f>
        <v>1.25</v>
      </c>
      <c r="J10" s="75" t="str">
        <f>IF(Table2[[#This Row],[שקלול כדאיות מספרי]]="","", IF(I10&gt;=$L$2,"שלב א",IF(I10&lt;4,IF(I10&gt;=$M$2, "שלב ב","שלב ג"))))</f>
        <v>שלב ב</v>
      </c>
    </row>
    <row r="11" spans="1:13" ht="11.25" customHeight="1">
      <c r="A11" s="69" t="s">
        <v>941</v>
      </c>
      <c r="B11" s="74" t="s">
        <v>942</v>
      </c>
      <c r="C11" s="74" t="s">
        <v>943</v>
      </c>
      <c r="D11" s="75">
        <v>3</v>
      </c>
      <c r="E11" s="75">
        <v>4</v>
      </c>
      <c r="F11" s="75">
        <v>1</v>
      </c>
      <c r="G11" s="75">
        <v>3</v>
      </c>
      <c r="H11" s="75">
        <v>4</v>
      </c>
      <c r="I11" s="75">
        <f>IF($D11="","",+Table2[[#This Row],[תועלת המענה]]-(SUM(Table2[[#This Row],[משאבי כ"א  לתפעול ]],Table2[[#This Row],[משאבי כ"א  להטמעה]],Table2[[#This Row],[הערכת עלות]],Table2[[#This Row],[זמן ההטמעה המשוער]])/4))</f>
        <v>0</v>
      </c>
      <c r="J11" s="75" t="str">
        <f>IF(Table2[[#This Row],[שקלול כדאיות מספרי]]="","", IF(I11&gt;=$L$2,"שלב א",IF(I11&lt;4,IF(I11&gt;=$M$2, "שלב ב","שלב ג"))))</f>
        <v>שלב ג</v>
      </c>
    </row>
    <row r="12" spans="1:13" ht="11.25" customHeight="1">
      <c r="A12" s="69" t="s">
        <v>944</v>
      </c>
      <c r="B12" s="74" t="s">
        <v>945</v>
      </c>
      <c r="C12" s="74" t="str">
        <f>Table2[[#This Row],[קיצור באנגלית]]</f>
        <v>Full Disk Encryption</v>
      </c>
      <c r="D12" s="75">
        <v>3</v>
      </c>
      <c r="E12" s="75">
        <v>4</v>
      </c>
      <c r="F12" s="75">
        <v>1</v>
      </c>
      <c r="G12" s="75">
        <v>2</v>
      </c>
      <c r="H12" s="75">
        <v>3</v>
      </c>
      <c r="I12" s="75">
        <f>IF($D12="","",+Table2[[#This Row],[תועלת המענה]]-(SUM(Table2[[#This Row],[משאבי כ"א  לתפעול ]],Table2[[#This Row],[משאבי כ"א  להטמעה]],Table2[[#This Row],[הערכת עלות]],Table2[[#This Row],[זמן ההטמעה המשוער]])/4))</f>
        <v>0.5</v>
      </c>
      <c r="J12" s="75" t="str">
        <f>IF(Table2[[#This Row],[שקלול כדאיות מספרי]]="","", IF(I12&gt;=$L$2,"שלב א",IF(I12&lt;4,IF(I12&gt;=$M$2, "שלב ב","שלב ג"))))</f>
        <v>שלב ב</v>
      </c>
    </row>
    <row r="13" spans="1:13" ht="11.25" customHeight="1">
      <c r="A13" s="69" t="s">
        <v>946</v>
      </c>
      <c r="B13" s="74" t="s">
        <v>947</v>
      </c>
      <c r="C13" s="74" t="str">
        <f>Table2[[#This Row],[קיצור באנגלית]]</f>
        <v>Secure Boot</v>
      </c>
      <c r="D13" s="75">
        <v>5</v>
      </c>
      <c r="E13" s="75">
        <v>4</v>
      </c>
      <c r="F13" s="75">
        <v>2</v>
      </c>
      <c r="G13" s="75">
        <v>2</v>
      </c>
      <c r="H13" s="75">
        <v>3</v>
      </c>
      <c r="I13" s="75">
        <f>IF($D13="","",+Table2[[#This Row],[תועלת המענה]]-(SUM(Table2[[#This Row],[משאבי כ"א  לתפעול ]],Table2[[#This Row],[משאבי כ"א  להטמעה]],Table2[[#This Row],[הערכת עלות]],Table2[[#This Row],[זמן ההטמעה המשוער]])/4))</f>
        <v>2.25</v>
      </c>
      <c r="J13" s="75" t="str">
        <f>IF(Table2[[#This Row],[שקלול כדאיות מספרי]]="","", IF(I13&gt;=$L$2,"שלב א",IF(I13&lt;4,IF(I13&gt;=$M$2, "שלב ב","שלב ג"))))</f>
        <v>שלב א</v>
      </c>
    </row>
    <row r="14" spans="1:13" ht="11.25" customHeight="1">
      <c r="A14" s="69" t="s">
        <v>948</v>
      </c>
      <c r="B14" s="74" t="s">
        <v>949</v>
      </c>
      <c r="C14" s="74" t="s">
        <v>950</v>
      </c>
      <c r="D14" s="75">
        <v>3</v>
      </c>
      <c r="E14" s="75">
        <v>3</v>
      </c>
      <c r="F14" s="75">
        <v>3</v>
      </c>
      <c r="G14" s="75">
        <v>2</v>
      </c>
      <c r="H14" s="75">
        <v>3</v>
      </c>
      <c r="I14" s="75">
        <f>IF($D14="","",+Table2[[#This Row],[תועלת המענה]]-(SUM(Table2[[#This Row],[משאבי כ"א  לתפעול ]],Table2[[#This Row],[משאבי כ"א  להטמעה]],Table2[[#This Row],[הערכת עלות]],Table2[[#This Row],[זמן ההטמעה המשוער]])/4))</f>
        <v>0.25</v>
      </c>
      <c r="J14" s="75" t="str">
        <f>IF(Table2[[#This Row],[שקלול כדאיות מספרי]]="","", IF(I14&gt;=$L$2,"שלב א",IF(I14&lt;4,IF(I14&gt;=$M$2, "שלב ב","שלב ג"))))</f>
        <v>שלב ג</v>
      </c>
    </row>
    <row r="15" spans="1:13" ht="11.25" customHeight="1">
      <c r="A15" s="69" t="s">
        <v>951</v>
      </c>
      <c r="B15" s="74" t="s">
        <v>952</v>
      </c>
      <c r="C15" s="74" t="s">
        <v>953</v>
      </c>
      <c r="D15" s="75">
        <v>5</v>
      </c>
      <c r="E15" s="75">
        <v>4</v>
      </c>
      <c r="F15" s="75">
        <v>3</v>
      </c>
      <c r="G15" s="75">
        <v>2</v>
      </c>
      <c r="H15" s="75">
        <v>4</v>
      </c>
      <c r="I15" s="75">
        <f>IF($D15="","",+Table2[[#This Row],[תועלת המענה]]-(SUM(Table2[[#This Row],[משאבי כ"א  לתפעול ]],Table2[[#This Row],[משאבי כ"א  להטמעה]],Table2[[#This Row],[הערכת עלות]],Table2[[#This Row],[זמן ההטמעה המשוער]])/4))</f>
        <v>1.75</v>
      </c>
      <c r="J15" s="75" t="str">
        <f>IF(Table2[[#This Row],[שקלול כדאיות מספרי]]="","", IF(I15&gt;=$L$2,"שלב א",IF(I15&lt;4,IF(I15&gt;=$M$2, "שלב ב","שלב ג"))))</f>
        <v>שלב א</v>
      </c>
    </row>
    <row r="16" spans="1:13" ht="11.25" customHeight="1">
      <c r="A16" s="70" t="s">
        <v>954</v>
      </c>
      <c r="B16" s="71"/>
      <c r="C16" s="71"/>
      <c r="D16" s="72"/>
      <c r="E16" s="72"/>
      <c r="F16" s="72"/>
      <c r="G16" s="72"/>
      <c r="H16" s="72"/>
      <c r="I16" s="72" t="str">
        <f>IF($D16="","",+Table2[[#This Row],[תועלת המענה]]-(SUM(Table2[[#This Row],[משאבי כ"א  לתפעול ]],Table2[[#This Row],[משאבי כ"א  להטמעה]],Table2[[#This Row],[הערכת עלות]],Table2[[#This Row],[זמן ההטמעה המשוער]])/4))</f>
        <v/>
      </c>
      <c r="J16" s="72" t="str">
        <f>IF(Table2[[#This Row],[שקלול כדאיות מספרי]]="","", IF(I16&gt;=$L$2,"שלב א",IF(I16&lt;4,IF(I16&gt;=$M$2, "שלב ב","שלב ג"))))</f>
        <v/>
      </c>
    </row>
    <row r="17" spans="1:10" ht="11.25" customHeight="1">
      <c r="A17" s="69" t="s">
        <v>955</v>
      </c>
      <c r="B17" s="74" t="s">
        <v>956</v>
      </c>
      <c r="C17" s="74" t="s">
        <v>957</v>
      </c>
      <c r="D17" s="75">
        <v>4</v>
      </c>
      <c r="E17" s="75">
        <v>4</v>
      </c>
      <c r="F17" s="75">
        <v>2</v>
      </c>
      <c r="G17" s="75">
        <v>2</v>
      </c>
      <c r="H17" s="75">
        <v>3</v>
      </c>
      <c r="I17" s="75">
        <f>IF($D17="","",+Table2[[#This Row],[תועלת המענה]]-(SUM(Table2[[#This Row],[משאבי כ"א  לתפעול ]],Table2[[#This Row],[משאבי כ"א  להטמעה]],Table2[[#This Row],[הערכת עלות]],Table2[[#This Row],[זמן ההטמעה המשוער]])/4))</f>
        <v>1.25</v>
      </c>
      <c r="J17" s="75" t="str">
        <f>IF(Table2[[#This Row],[שקלול כדאיות מספרי]]="","", IF(I17&gt;=$L$2,"שלב א",IF(I17&lt;4,IF(I17&gt;=$M$2, "שלב ב","שלב ג"))))</f>
        <v>שלב ב</v>
      </c>
    </row>
    <row r="18" spans="1:10" ht="11.25" customHeight="1">
      <c r="A18" s="69" t="s">
        <v>958</v>
      </c>
      <c r="B18" s="74" t="s">
        <v>959</v>
      </c>
      <c r="C18" s="74" t="str">
        <f>Table2[[#This Row],[קיצור באנגלית]]</f>
        <v>Data-Diode</v>
      </c>
      <c r="D18" s="75">
        <v>1</v>
      </c>
      <c r="E18" s="75">
        <v>1</v>
      </c>
      <c r="F18" s="75">
        <v>1</v>
      </c>
      <c r="G18" s="75">
        <v>1</v>
      </c>
      <c r="H18" s="75">
        <v>1</v>
      </c>
      <c r="I18" s="75">
        <f>IF($D18="","",+Table2[[#This Row],[תועלת המענה]]-(SUM(Table2[[#This Row],[משאבי כ"א  לתפעול ]],Table2[[#This Row],[משאבי כ"א  להטמעה]],Table2[[#This Row],[הערכת עלות]],Table2[[#This Row],[זמן ההטמעה המשוער]])/4))</f>
        <v>0</v>
      </c>
      <c r="J18" s="75" t="str">
        <f>IF(Table2[[#This Row],[שקלול כדאיות מספרי]]="","", IF(I18&gt;=$L$2,"שלב א",IF(I18&lt;4,IF(I18&gt;=$M$2, "שלב ב","שלב ג"))))</f>
        <v>שלב ג</v>
      </c>
    </row>
    <row r="19" spans="1:10" ht="11.25" customHeight="1">
      <c r="A19" s="69" t="s">
        <v>960</v>
      </c>
      <c r="B19" s="74" t="s">
        <v>961</v>
      </c>
      <c r="C19" s="74" t="str">
        <f>Table2[[#This Row],[קיצור באנגלית]]</f>
        <v>XML Firewall</v>
      </c>
      <c r="D19" s="75">
        <v>4</v>
      </c>
      <c r="E19" s="75">
        <v>4</v>
      </c>
      <c r="F19" s="75">
        <v>4</v>
      </c>
      <c r="G19" s="75">
        <v>3</v>
      </c>
      <c r="H19" s="75">
        <v>4</v>
      </c>
      <c r="I19" s="75">
        <f>IF($D19="","",+Table2[[#This Row],[תועלת המענה]]-(SUM(Table2[[#This Row],[משאבי כ"א  לתפעול ]],Table2[[#This Row],[משאבי כ"א  להטמעה]],Table2[[#This Row],[הערכת עלות]],Table2[[#This Row],[זמן ההטמעה המשוער]])/4))</f>
        <v>0.25</v>
      </c>
      <c r="J19" s="75" t="str">
        <f>IF(Table2[[#This Row],[שקלול כדאיות מספרי]]="","", IF(I19&gt;=$L$2,"שלב א",IF(I19&lt;4,IF(I19&gt;=$M$2, "שלב ב","שלב ג"))))</f>
        <v>שלב ג</v>
      </c>
    </row>
    <row r="20" spans="1:10" ht="11.25" customHeight="1">
      <c r="A20" s="69" t="s">
        <v>962</v>
      </c>
      <c r="B20" s="74" t="s">
        <v>963</v>
      </c>
      <c r="C20" s="74" t="s">
        <v>964</v>
      </c>
      <c r="D20" s="75">
        <v>4</v>
      </c>
      <c r="E20" s="75">
        <v>3</v>
      </c>
      <c r="F20" s="75">
        <v>1</v>
      </c>
      <c r="G20" s="75">
        <v>1</v>
      </c>
      <c r="H20" s="75">
        <v>3</v>
      </c>
      <c r="I20" s="75">
        <f>IF($D20="","",+Table2[[#This Row],[תועלת המענה]]-(SUM(Table2[[#This Row],[משאבי כ"א  לתפעול ]],Table2[[#This Row],[משאבי כ"א  להטמעה]],Table2[[#This Row],[הערכת עלות]],Table2[[#This Row],[זמן ההטמעה המשוער]])/4))</f>
        <v>2</v>
      </c>
      <c r="J20" s="75" t="str">
        <f>IF(Table2[[#This Row],[שקלול כדאיות מספרי]]="","", IF(I20&gt;=$L$2,"שלב א",IF(I20&lt;4,IF(I20&gt;=$M$2, "שלב ב","שלב ג"))))</f>
        <v>שלב א</v>
      </c>
    </row>
    <row r="21" spans="1:10" ht="11.25" customHeight="1">
      <c r="A21" s="76" t="s">
        <v>965</v>
      </c>
      <c r="B21" s="77" t="s">
        <v>966</v>
      </c>
      <c r="C21" s="74" t="s">
        <v>966</v>
      </c>
      <c r="D21" s="75">
        <v>3</v>
      </c>
      <c r="E21" s="75">
        <v>4</v>
      </c>
      <c r="F21" s="75">
        <v>3</v>
      </c>
      <c r="G21" s="75">
        <v>3</v>
      </c>
      <c r="H21" s="75">
        <v>3</v>
      </c>
      <c r="I21" s="75">
        <f>+SUM(D21:H21)/5</f>
        <v>3.2</v>
      </c>
      <c r="J21" s="75" t="str">
        <f>IF(Table2[[#This Row],[שקלול כדאיות מספרי]]="","", IF(I21&gt;=$L$2,"שלב א",IF(I21&lt;4,IF(I21&gt;=$M$2, "שלב ב","שלב ג"))))</f>
        <v>שלב א</v>
      </c>
    </row>
    <row r="22" spans="1:10" ht="11.25" customHeight="1">
      <c r="A22" s="69" t="s">
        <v>967</v>
      </c>
      <c r="B22" s="74" t="s">
        <v>968</v>
      </c>
      <c r="C22" s="74" t="s">
        <v>969</v>
      </c>
      <c r="D22" s="75">
        <v>4</v>
      </c>
      <c r="E22" s="75">
        <v>5</v>
      </c>
      <c r="F22" s="75">
        <v>4</v>
      </c>
      <c r="G22" s="75">
        <v>2</v>
      </c>
      <c r="H22" s="75">
        <v>4</v>
      </c>
      <c r="I22" s="75">
        <f>IF($D22="","",+Table2[[#This Row],[תועלת המענה]]-(SUM(Table2[[#This Row],[משאבי כ"א  לתפעול ]],Table2[[#This Row],[משאבי כ"א  להטמעה]],Table2[[#This Row],[הערכת עלות]],Table2[[#This Row],[זמן ההטמעה המשוער]])/4))</f>
        <v>0.25</v>
      </c>
      <c r="J22" s="75" t="str">
        <f>IF(Table2[[#This Row],[שקלול כדאיות מספרי]]="","", IF(I22&gt;=$L$2,"שלב א",IF(I22&lt;4,IF(I22&gt;=$M$2, "שלב ב","שלב ג"))))</f>
        <v>שלב ג</v>
      </c>
    </row>
    <row r="23" spans="1:10" ht="11.25" customHeight="1">
      <c r="A23" s="69" t="s">
        <v>970</v>
      </c>
      <c r="B23" s="74" t="s">
        <v>971</v>
      </c>
      <c r="C23" s="74" t="str">
        <f>Table2[[#This Row],[קיצור באנגלית]]</f>
        <v>Network Sandbox</v>
      </c>
      <c r="D23" s="75">
        <v>4</v>
      </c>
      <c r="E23" s="75">
        <v>3</v>
      </c>
      <c r="F23" s="75">
        <v>1</v>
      </c>
      <c r="G23" s="75">
        <v>2</v>
      </c>
      <c r="H23" s="75">
        <v>3</v>
      </c>
      <c r="I23" s="75">
        <f>IF($D23="","",+Table2[[#This Row],[תועלת המענה]]-(SUM(Table2[[#This Row],[משאבי כ"א  לתפעול ]],Table2[[#This Row],[משאבי כ"א  להטמעה]],Table2[[#This Row],[הערכת עלות]],Table2[[#This Row],[זמן ההטמעה המשוער]])/4))</f>
        <v>1.75</v>
      </c>
      <c r="J23" s="75" t="str">
        <f>IF(Table2[[#This Row],[שקלול כדאיות מספרי]]="","", IF(I23&gt;=$L$2,"שלב א",IF(I23&lt;4,IF(I23&gt;=$M$2, "שלב ב","שלב ג"))))</f>
        <v>שלב א</v>
      </c>
    </row>
    <row r="24" spans="1:10" ht="11.25" customHeight="1">
      <c r="A24" s="70" t="s">
        <v>972</v>
      </c>
      <c r="B24" s="71"/>
      <c r="C24" s="71"/>
      <c r="D24" s="72"/>
      <c r="E24" s="72"/>
      <c r="F24" s="72"/>
      <c r="G24" s="72"/>
      <c r="H24" s="72"/>
      <c r="I24" s="72" t="str">
        <f>IF($D24="","",+Table2[[#This Row],[תועלת המענה]]-(SUM(Table2[[#This Row],[משאבי כ"א  לתפעול ]],Table2[[#This Row],[משאבי כ"א  להטמעה]],Table2[[#This Row],[הערכת עלות]],Table2[[#This Row],[זמן ההטמעה המשוער]])/4))</f>
        <v/>
      </c>
      <c r="J24" s="72" t="str">
        <f>IF(Table2[[#This Row],[שקלול כדאיות מספרי]]="","", IF(I24&gt;=$L$2,"שלב א",IF(I24&lt;4,IF(I24&gt;=$M$2, "שלב ב","שלב ג"))))</f>
        <v/>
      </c>
    </row>
    <row r="25" spans="1:10" ht="11.25" customHeight="1">
      <c r="A25" s="69" t="s">
        <v>973</v>
      </c>
      <c r="B25" s="74" t="s">
        <v>974</v>
      </c>
      <c r="C25" s="74" t="s">
        <v>975</v>
      </c>
      <c r="D25" s="75">
        <v>4</v>
      </c>
      <c r="E25" s="75">
        <v>4</v>
      </c>
      <c r="F25" s="75">
        <v>4</v>
      </c>
      <c r="G25" s="75">
        <v>2</v>
      </c>
      <c r="H25" s="75">
        <v>3</v>
      </c>
      <c r="I25" s="75">
        <f>IF($D25="","",+Table2[[#This Row],[תועלת המענה]]-(SUM(Table2[[#This Row],[משאבי כ"א  לתפעול ]],Table2[[#This Row],[משאבי כ"א  להטמעה]],Table2[[#This Row],[הערכת עלות]],Table2[[#This Row],[זמן ההטמעה המשוער]])/4))</f>
        <v>0.75</v>
      </c>
      <c r="J25" s="75" t="str">
        <f>IF(Table2[[#This Row],[שקלול כדאיות מספרי]]="","", IF(I25&gt;=$L$2,"שלב א",IF(I25&lt;4,IF(I25&gt;=$M$2, "שלב ב","שלב ג"))))</f>
        <v>שלב ב</v>
      </c>
    </row>
    <row r="26" spans="1:10" ht="11.25" customHeight="1">
      <c r="A26" s="69" t="s">
        <v>976</v>
      </c>
      <c r="B26" s="74" t="s">
        <v>977</v>
      </c>
      <c r="C26" s="74" t="s">
        <v>978</v>
      </c>
      <c r="D26" s="75">
        <v>4</v>
      </c>
      <c r="E26" s="75">
        <v>4</v>
      </c>
      <c r="F26" s="75">
        <v>4</v>
      </c>
      <c r="G26" s="75">
        <v>2</v>
      </c>
      <c r="H26" s="75">
        <v>4</v>
      </c>
      <c r="I26" s="75">
        <f>IF($D26="","",+Table2[[#This Row],[תועלת המענה]]-(SUM(Table2[[#This Row],[משאבי כ"א  לתפעול ]],Table2[[#This Row],[משאבי כ"א  להטמעה]],Table2[[#This Row],[הערכת עלות]],Table2[[#This Row],[זמן ההטמעה המשוער]])/4))</f>
        <v>0.5</v>
      </c>
      <c r="J26" s="75" t="str">
        <f>IF(Table2[[#This Row],[שקלול כדאיות מספרי]]="","", IF(I26&gt;=$L$2,"שלב א",IF(I26&lt;4,IF(I26&gt;=$M$2, "שלב ב","שלב ג"))))</f>
        <v>שלב ב</v>
      </c>
    </row>
    <row r="27" spans="1:10" ht="11.25" customHeight="1">
      <c r="A27" s="69" t="s">
        <v>979</v>
      </c>
      <c r="B27" s="74" t="s">
        <v>980</v>
      </c>
      <c r="C27" s="74" t="s">
        <v>981</v>
      </c>
      <c r="D27" s="75">
        <v>4</v>
      </c>
      <c r="E27" s="75">
        <v>3</v>
      </c>
      <c r="F27" s="75">
        <v>4</v>
      </c>
      <c r="G27" s="75">
        <v>2</v>
      </c>
      <c r="H27" s="75">
        <v>4</v>
      </c>
      <c r="I27" s="75">
        <f>IF($D27="","",+Table2[[#This Row],[תועלת המענה]]-(SUM(Table2[[#This Row],[משאבי כ"א  לתפעול ]],Table2[[#This Row],[משאבי כ"א  להטמעה]],Table2[[#This Row],[הערכת עלות]],Table2[[#This Row],[זמן ההטמעה המשוער]])/4))</f>
        <v>0.75</v>
      </c>
      <c r="J27" s="75" t="str">
        <f>IF(Table2[[#This Row],[שקלול כדאיות מספרי]]="","", IF(I27&gt;=$L$2,"שלב א",IF(I27&lt;4,IF(I27&gt;=$M$2, "שלב ב","שלב ג"))))</f>
        <v>שלב ב</v>
      </c>
    </row>
    <row r="28" spans="1:10" ht="11.25" customHeight="1">
      <c r="A28" s="69" t="s">
        <v>982</v>
      </c>
      <c r="B28" s="74" t="s">
        <v>983</v>
      </c>
      <c r="C28" s="74" t="s">
        <v>984</v>
      </c>
      <c r="D28" s="75">
        <v>2</v>
      </c>
      <c r="E28" s="75">
        <v>2</v>
      </c>
      <c r="F28" s="75">
        <v>2</v>
      </c>
      <c r="G28" s="75">
        <v>2</v>
      </c>
      <c r="H28" s="75">
        <v>1</v>
      </c>
      <c r="I28" s="75">
        <f>IF($D28="","",+Table2[[#This Row],[תועלת המענה]]-(SUM(Table2[[#This Row],[משאבי כ"א  לתפעול ]],Table2[[#This Row],[משאבי כ"א  להטמעה]],Table2[[#This Row],[הערכת עלות]],Table2[[#This Row],[זמן ההטמעה המשוער]])/4))</f>
        <v>0.25</v>
      </c>
      <c r="J28" s="75" t="str">
        <f>IF(Table2[[#This Row],[שקלול כדאיות מספרי]]="","", IF(I28&gt;=$L$2,"שלב א",IF(I28&lt;4,IF(I28&gt;=$M$2, "שלב ב","שלב ג"))))</f>
        <v>שלב ג</v>
      </c>
    </row>
    <row r="29" spans="1:10" ht="11.25" customHeight="1">
      <c r="A29" s="69" t="s">
        <v>985</v>
      </c>
      <c r="B29" s="74" t="s">
        <v>986</v>
      </c>
      <c r="C29" s="74" t="s">
        <v>987</v>
      </c>
      <c r="D29" s="75">
        <v>3</v>
      </c>
      <c r="E29" s="75">
        <v>4</v>
      </c>
      <c r="F29" s="75">
        <v>2</v>
      </c>
      <c r="G29" s="75">
        <v>2</v>
      </c>
      <c r="H29" s="75">
        <v>4</v>
      </c>
      <c r="I29" s="75">
        <f>IF($D29="","",+Table2[[#This Row],[תועלת המענה]]-(SUM(Table2[[#This Row],[משאבי כ"א  לתפעול ]],Table2[[#This Row],[משאבי כ"א  להטמעה]],Table2[[#This Row],[הערכת עלות]],Table2[[#This Row],[זמן ההטמעה המשוער]])/4))</f>
        <v>0</v>
      </c>
      <c r="J29" s="75" t="str">
        <f>IF(Table2[[#This Row],[שקלול כדאיות מספרי]]="","", IF(I29&gt;=$L$2,"שלב א",IF(I29&lt;4,IF(I29&gt;=$M$2, "שלב ב","שלב ג"))))</f>
        <v>שלב ג</v>
      </c>
    </row>
    <row r="30" spans="1:10" ht="11.25" customHeight="1">
      <c r="A30" s="69" t="s">
        <v>988</v>
      </c>
      <c r="B30" s="74" t="s">
        <v>989</v>
      </c>
      <c r="C30" s="74" t="str">
        <f>Table2[[#This Row],[קיצור באנגלית]]</f>
        <v>HoneyNet</v>
      </c>
      <c r="D30" s="75">
        <v>2</v>
      </c>
      <c r="E30" s="75">
        <v>1</v>
      </c>
      <c r="F30" s="75">
        <v>3</v>
      </c>
      <c r="G30" s="75">
        <v>2</v>
      </c>
      <c r="H30" s="75">
        <v>2</v>
      </c>
      <c r="I30" s="75">
        <f>IF($D30="","",+Table2[[#This Row],[תועלת המענה]]-(SUM(Table2[[#This Row],[משאבי כ"א  לתפעול ]],Table2[[#This Row],[משאבי כ"א  להטמעה]],Table2[[#This Row],[הערכת עלות]],Table2[[#This Row],[זמן ההטמעה המשוער]])/4))</f>
        <v>0</v>
      </c>
      <c r="J30" s="75" t="str">
        <f>IF(Table2[[#This Row],[שקלול כדאיות מספרי]]="","", IF(I30&gt;=$L$2,"שלב א",IF(I30&lt;4,IF(I30&gt;=$M$2, "שלב ב","שלב ג"))))</f>
        <v>שלב ג</v>
      </c>
    </row>
    <row r="31" spans="1:10" ht="11.25" customHeight="1">
      <c r="A31" s="69" t="s">
        <v>990</v>
      </c>
      <c r="B31" s="74" t="s">
        <v>991</v>
      </c>
      <c r="C31" s="74" t="s">
        <v>992</v>
      </c>
      <c r="D31" s="75">
        <v>1</v>
      </c>
      <c r="E31" s="75">
        <v>1</v>
      </c>
      <c r="F31" s="75">
        <v>1</v>
      </c>
      <c r="G31" s="75">
        <v>1</v>
      </c>
      <c r="H31" s="75">
        <v>1</v>
      </c>
      <c r="I31" s="75">
        <f>IF($D31="","",+Table2[[#This Row],[תועלת המענה]]-(SUM(Table2[[#This Row],[משאבי כ"א  לתפעול ]],Table2[[#This Row],[משאבי כ"א  להטמעה]],Table2[[#This Row],[הערכת עלות]],Table2[[#This Row],[זמן ההטמעה המשוער]])/4))</f>
        <v>0</v>
      </c>
      <c r="J31" s="75" t="str">
        <f>IF(Table2[[#This Row],[שקלול כדאיות מספרי]]="","", IF(I31&gt;=$L$2,"שלב א",IF(I31&lt;4,IF(I31&gt;=$M$2, "שלב ב","שלב ג"))))</f>
        <v>שלב ג</v>
      </c>
    </row>
    <row r="32" spans="1:10" ht="11.25" customHeight="1">
      <c r="A32" s="69" t="s">
        <v>993</v>
      </c>
      <c r="B32" s="74" t="s">
        <v>994</v>
      </c>
      <c r="C32" s="74" t="s">
        <v>995</v>
      </c>
      <c r="D32" s="75">
        <v>5</v>
      </c>
      <c r="E32" s="75">
        <v>3</v>
      </c>
      <c r="F32" s="75">
        <v>1</v>
      </c>
      <c r="G32" s="75">
        <v>1</v>
      </c>
      <c r="H32" s="75">
        <v>2</v>
      </c>
      <c r="I32" s="75">
        <f>IF($D32="","",+Table2[[#This Row],[תועלת המענה]]-(SUM(Table2[[#This Row],[משאבי כ"א  לתפעול ]],Table2[[#This Row],[משאבי כ"א  להטמעה]],Table2[[#This Row],[הערכת עלות]],Table2[[#This Row],[זמן ההטמעה המשוער]])/4))</f>
        <v>3.25</v>
      </c>
      <c r="J32" s="75" t="str">
        <f>IF(Table2[[#This Row],[שקלול כדאיות מספרי]]="","", IF(I32&gt;=$L$2,"שלב א",IF(I32&lt;4,IF(I32&gt;=$M$2, "שלב ב","שלב ג"))))</f>
        <v>שלב א</v>
      </c>
    </row>
    <row r="33" spans="1:10" ht="11.25" customHeight="1">
      <c r="A33" s="69" t="s">
        <v>996</v>
      </c>
      <c r="B33" s="74" t="s">
        <v>997</v>
      </c>
      <c r="C33" s="74" t="str">
        <f>Table2[[#This Row],[קיצור באנגלית]]</f>
        <v>Network Segmentation and Segregation</v>
      </c>
      <c r="D33" s="75">
        <v>5</v>
      </c>
      <c r="E33" s="75">
        <v>3</v>
      </c>
      <c r="F33" s="75">
        <v>1</v>
      </c>
      <c r="G33" s="75">
        <v>2</v>
      </c>
      <c r="H33" s="75">
        <v>3</v>
      </c>
      <c r="I33" s="75">
        <f>IF($D33="","",+Table2[[#This Row],[תועלת המענה]]-(SUM(Table2[[#This Row],[משאבי כ"א  לתפעול ]],Table2[[#This Row],[משאבי כ"א  להטמעה]],Table2[[#This Row],[הערכת עלות]],Table2[[#This Row],[זמן ההטמעה המשוער]])/4))</f>
        <v>2.75</v>
      </c>
      <c r="J33" s="75" t="str">
        <f>IF(Table2[[#This Row],[שקלול כדאיות מספרי]]="","", IF(I33&gt;=$L$2,"שלב א",IF(I33&lt;4,IF(I33&gt;=$M$2, "שלב ב","שלב ג"))))</f>
        <v>שלב א</v>
      </c>
    </row>
    <row r="34" spans="1:10" ht="11.25" customHeight="1">
      <c r="A34" s="69" t="s">
        <v>998</v>
      </c>
      <c r="B34" s="74" t="s">
        <v>999</v>
      </c>
      <c r="C34" s="74" t="s">
        <v>1000</v>
      </c>
      <c r="D34" s="75">
        <v>4</v>
      </c>
      <c r="E34" s="75">
        <v>4</v>
      </c>
      <c r="F34" s="75">
        <v>4</v>
      </c>
      <c r="G34" s="75">
        <v>3</v>
      </c>
      <c r="H34" s="75">
        <v>3</v>
      </c>
      <c r="I34" s="75">
        <f>IF($D34="","",+Table2[[#This Row],[תועלת המענה]]-(SUM(Table2[[#This Row],[משאבי כ"א  לתפעול ]],Table2[[#This Row],[משאבי כ"א  להטמעה]],Table2[[#This Row],[הערכת עלות]],Table2[[#This Row],[זמן ההטמעה המשוער]])/4))</f>
        <v>0.5</v>
      </c>
      <c r="J34" s="75" t="str">
        <f>IF(Table2[[#This Row],[שקלול כדאיות מספרי]]="","", IF(I34&gt;=$L$2,"שלב א",IF(I34&lt;4,IF(I34&gt;=$M$2, "שלב ב","שלב ג"))))</f>
        <v>שלב ב</v>
      </c>
    </row>
    <row r="35" spans="1:10" ht="11.25" customHeight="1">
      <c r="A35" s="69" t="s">
        <v>1001</v>
      </c>
      <c r="B35" s="74" t="s">
        <v>1002</v>
      </c>
      <c r="C35" s="74" t="s">
        <v>1003</v>
      </c>
      <c r="D35" s="75">
        <v>4</v>
      </c>
      <c r="E35" s="75">
        <v>4</v>
      </c>
      <c r="F35" s="75">
        <v>4</v>
      </c>
      <c r="G35" s="75">
        <v>3</v>
      </c>
      <c r="H35" s="75">
        <v>3</v>
      </c>
      <c r="I35" s="75">
        <f>IF($D35="","",+Table2[[#This Row],[תועלת המענה]]-(SUM(Table2[[#This Row],[משאבי כ"א  לתפעול ]],Table2[[#This Row],[משאבי כ"א  להטמעה]],Table2[[#This Row],[הערכת עלות]],Table2[[#This Row],[זמן ההטמעה המשוער]])/4))</f>
        <v>0.5</v>
      </c>
      <c r="J35" s="75" t="str">
        <f>IF(Table2[[#This Row],[שקלול כדאיות מספרי]]="","", IF(I35&gt;=$L$2,"שלב א",IF(I35&lt;4,IF(I35&gt;=$M$2, "שלב ב","שלב ג"))))</f>
        <v>שלב ב</v>
      </c>
    </row>
    <row r="36" spans="1:10" ht="11.25" customHeight="1">
      <c r="A36" s="69" t="s">
        <v>1004</v>
      </c>
      <c r="B36" s="74" t="s">
        <v>1005</v>
      </c>
      <c r="C36" s="74" t="s">
        <v>1006</v>
      </c>
      <c r="D36" s="75">
        <v>3</v>
      </c>
      <c r="E36" s="75">
        <v>3</v>
      </c>
      <c r="F36" s="75">
        <v>4</v>
      </c>
      <c r="G36" s="75">
        <v>2</v>
      </c>
      <c r="H36" s="75">
        <v>2</v>
      </c>
      <c r="I36" s="75">
        <f>IF($D36="","",+Table2[[#This Row],[תועלת המענה]]-(SUM(Table2[[#This Row],[משאבי כ"א  לתפעול ]],Table2[[#This Row],[משאבי כ"א  להטמעה]],Table2[[#This Row],[הערכת עלות]],Table2[[#This Row],[זמן ההטמעה המשוער]])/4))</f>
        <v>0.25</v>
      </c>
      <c r="J36" s="75" t="str">
        <f>IF(Table2[[#This Row],[שקלול כדאיות מספרי]]="","", IF(I36&gt;=$L$2,"שלב א",IF(I36&lt;4,IF(I36&gt;=$M$2, "שלב ב","שלב ג"))))</f>
        <v>שלב ג</v>
      </c>
    </row>
    <row r="37" spans="1:10" ht="11.25" customHeight="1">
      <c r="A37" s="69" t="s">
        <v>1007</v>
      </c>
      <c r="B37" s="74" t="s">
        <v>1008</v>
      </c>
      <c r="C37" s="74" t="s">
        <v>1009</v>
      </c>
      <c r="D37" s="75">
        <v>4</v>
      </c>
      <c r="E37" s="75">
        <v>5</v>
      </c>
      <c r="F37" s="75">
        <v>5</v>
      </c>
      <c r="G37" s="75">
        <v>3</v>
      </c>
      <c r="H37" s="75">
        <v>4</v>
      </c>
      <c r="I37" s="75">
        <f>IF($D37="","",+Table2[[#This Row],[תועלת המענה]]-(SUM(Table2[[#This Row],[משאבי כ"א  לתפעול ]],Table2[[#This Row],[משאבי כ"א  להטמעה]],Table2[[#This Row],[הערכת עלות]],Table2[[#This Row],[זמן ההטמעה המשוער]])/4))</f>
        <v>-0.25</v>
      </c>
      <c r="J37" s="75" t="str">
        <f>IF(Table2[[#This Row],[שקלול כדאיות מספרי]]="","", IF(I37&gt;=$L$2,"שלב א",IF(I37&lt;4,IF(I37&gt;=$M$2, "שלב ב","שלב ג"))))</f>
        <v>שלב ג</v>
      </c>
    </row>
    <row r="38" spans="1:10" ht="11.25" customHeight="1">
      <c r="A38" s="69" t="s">
        <v>1010</v>
      </c>
      <c r="B38" s="77" t="s">
        <v>1011</v>
      </c>
      <c r="C38" s="74" t="str">
        <f>Table2[[#This Row],[קיצור באנגלית]]</f>
        <v>Patch Management</v>
      </c>
      <c r="D38" s="75">
        <v>5</v>
      </c>
      <c r="E38" s="75">
        <v>1</v>
      </c>
      <c r="F38" s="75">
        <v>1</v>
      </c>
      <c r="G38" s="75">
        <v>1</v>
      </c>
      <c r="H38" s="75">
        <v>1</v>
      </c>
      <c r="I38" s="75">
        <f>IF($D38="","",+Table2[[#This Row],[תועלת המענה]]-(SUM(Table2[[#This Row],[משאבי כ"א  לתפעול ]],Table2[[#This Row],[משאבי כ"א  להטמעה]],Table2[[#This Row],[הערכת עלות]],Table2[[#This Row],[זמן ההטמעה המשוער]])/4))</f>
        <v>4</v>
      </c>
      <c r="J38" s="75" t="str">
        <f>IF(Table2[[#This Row],[שקלול כדאיות מספרי]]="","", IF(I38&gt;=$L$2,"שלב א",IF(I38&lt;4,IF(I38&gt;=$M$2, "שלב ב","שלב ג"))))</f>
        <v>שלב א</v>
      </c>
    </row>
    <row r="39" spans="1:10" ht="11.25" customHeight="1">
      <c r="A39" s="69" t="s">
        <v>1012</v>
      </c>
      <c r="B39" s="74" t="s">
        <v>1013</v>
      </c>
      <c r="C39" s="74" t="s">
        <v>1014</v>
      </c>
      <c r="D39" s="75">
        <v>4</v>
      </c>
      <c r="E39" s="75">
        <v>3</v>
      </c>
      <c r="F39" s="75">
        <v>5</v>
      </c>
      <c r="G39" s="75">
        <v>2</v>
      </c>
      <c r="H39" s="75">
        <v>3</v>
      </c>
      <c r="I39" s="75">
        <f>IF($D39="","",+Table2[[#This Row],[תועלת המענה]]-(SUM(Table2[[#This Row],[משאבי כ"א  לתפעול ]],Table2[[#This Row],[משאבי כ"א  להטמעה]],Table2[[#This Row],[הערכת עלות]],Table2[[#This Row],[זמן ההטמעה המשוער]])/4))</f>
        <v>0.75</v>
      </c>
      <c r="J39" s="75" t="str">
        <f>IF(Table2[[#This Row],[שקלול כדאיות מספרי]]="","", IF(I39&gt;=$L$2,"שלב א",IF(I39&lt;4,IF(I39&gt;=$M$2, "שלב ב","שלב ג"))))</f>
        <v>שלב ב</v>
      </c>
    </row>
    <row r="40" spans="1:10" ht="11.25" customHeight="1">
      <c r="A40" s="69" t="s">
        <v>1015</v>
      </c>
      <c r="B40" s="74" t="s">
        <v>1016</v>
      </c>
      <c r="C40" s="74" t="s">
        <v>1017</v>
      </c>
      <c r="D40" s="75">
        <v>3</v>
      </c>
      <c r="E40" s="75">
        <v>3</v>
      </c>
      <c r="F40" s="75">
        <v>2</v>
      </c>
      <c r="G40" s="75">
        <v>2</v>
      </c>
      <c r="H40" s="75">
        <v>3</v>
      </c>
      <c r="I40" s="75">
        <f>IF($D40="","",+Table2[[#This Row],[תועלת המענה]]-(SUM(Table2[[#This Row],[משאבי כ"א  לתפעול ]],Table2[[#This Row],[משאבי כ"א  להטמעה]],Table2[[#This Row],[הערכת עלות]],Table2[[#This Row],[זמן ההטמעה המשוער]])/4))</f>
        <v>0.5</v>
      </c>
      <c r="J40" s="75" t="str">
        <f>IF(Table2[[#This Row],[שקלול כדאיות מספרי]]="","", IF(I40&gt;=$L$2,"שלב א",IF(I40&lt;4,IF(I40&gt;=$M$2, "שלב ב","שלב ג"))))</f>
        <v>שלב ב</v>
      </c>
    </row>
    <row r="41" spans="1:10" ht="11.25" customHeight="1">
      <c r="A41" s="70" t="s">
        <v>1018</v>
      </c>
      <c r="B41" s="71"/>
      <c r="C41" s="71"/>
      <c r="D41" s="72"/>
      <c r="E41" s="72"/>
      <c r="F41" s="72"/>
      <c r="G41" s="72"/>
      <c r="H41" s="72"/>
      <c r="I41" s="72" t="str">
        <f>IF($D41="","",+Table2[[#This Row],[תועלת המענה]]-(SUM(Table2[[#This Row],[משאבי כ"א  לתפעול ]],Table2[[#This Row],[משאבי כ"א  להטמעה]],Table2[[#This Row],[הערכת עלות]],Table2[[#This Row],[זמן ההטמעה המשוער]])/4))</f>
        <v/>
      </c>
      <c r="J41" s="72" t="str">
        <f>IF(Table2[[#This Row],[שקלול כדאיות מספרי]]="","", IF(I41&gt;=$L$2,"שלב א",IF(I41&lt;4,IF(I41&gt;=$M$2, "שלב ב","שלב ג"))))</f>
        <v/>
      </c>
    </row>
    <row r="42" spans="1:10" ht="11.25" customHeight="1">
      <c r="A42" s="69" t="s">
        <v>1019</v>
      </c>
      <c r="B42" s="74" t="s">
        <v>1020</v>
      </c>
      <c r="C42" s="74" t="str">
        <f>Table2[[#This Row],[קיצור באנגלית]]</f>
        <v>Replication</v>
      </c>
      <c r="D42" s="75">
        <v>5</v>
      </c>
      <c r="E42" s="75">
        <v>3</v>
      </c>
      <c r="F42" s="75">
        <v>5</v>
      </c>
      <c r="G42" s="75">
        <v>4</v>
      </c>
      <c r="H42" s="75">
        <v>4</v>
      </c>
      <c r="I42" s="75">
        <f>IF($D42="","",+Table2[[#This Row],[תועלת המענה]]-(SUM(Table2[[#This Row],[משאבי כ"א  לתפעול ]],Table2[[#This Row],[משאבי כ"א  להטמעה]],Table2[[#This Row],[הערכת עלות]],Table2[[#This Row],[זמן ההטמעה המשוער]])/4))</f>
        <v>1</v>
      </c>
      <c r="J42" s="75" t="str">
        <f>IF(Table2[[#This Row],[שקלול כדאיות מספרי]]="","", IF(I42&gt;=$L$2,"שלב א",IF(I42&lt;4,IF(I42&gt;=$M$2, "שלב ב","שלב ג"))))</f>
        <v>שלב ב</v>
      </c>
    </row>
    <row r="43" spans="1:10" ht="11.25" customHeight="1">
      <c r="A43" s="69" t="s">
        <v>1021</v>
      </c>
      <c r="B43" s="74" t="s">
        <v>1022</v>
      </c>
      <c r="C43" s="74" t="str">
        <f>Table2[[#This Row],[קיצור באנגלית]]</f>
        <v>Organization Backup System</v>
      </c>
      <c r="D43" s="75">
        <v>4</v>
      </c>
      <c r="E43" s="75">
        <v>3</v>
      </c>
      <c r="F43" s="75">
        <v>5</v>
      </c>
      <c r="G43" s="75">
        <v>2</v>
      </c>
      <c r="H43" s="75">
        <v>3</v>
      </c>
      <c r="I43" s="75">
        <f>IF($D43="","",+Table2[[#This Row],[תועלת המענה]]-(SUM(Table2[[#This Row],[משאבי כ"א  לתפעול ]],Table2[[#This Row],[משאבי כ"א  להטמעה]],Table2[[#This Row],[הערכת עלות]],Table2[[#This Row],[זמן ההטמעה המשוער]])/4))</f>
        <v>0.75</v>
      </c>
      <c r="J43" s="75" t="str">
        <f>IF(Table2[[#This Row],[שקלול כדאיות מספרי]]="","", IF(I43&gt;=$L$2,"שלב א",IF(I43&lt;4,IF(I43&gt;=$M$2, "שלב ב","שלב ג"))))</f>
        <v>שלב ב</v>
      </c>
    </row>
    <row r="44" spans="1:10" ht="11.25" customHeight="1">
      <c r="A44" s="69" t="s">
        <v>1023</v>
      </c>
      <c r="B44" s="74" t="s">
        <v>1024</v>
      </c>
      <c r="C44" s="74" t="s">
        <v>1025</v>
      </c>
      <c r="D44" s="75">
        <v>4</v>
      </c>
      <c r="E44" s="75">
        <v>2</v>
      </c>
      <c r="F44" s="75">
        <v>3</v>
      </c>
      <c r="G44" s="75">
        <v>1</v>
      </c>
      <c r="H44" s="75">
        <v>1</v>
      </c>
      <c r="I44" s="75">
        <f>IF($D44="","",+Table2[[#This Row],[תועלת המענה]]-(SUM(Table2[[#This Row],[משאבי כ"א  לתפעול ]],Table2[[#This Row],[משאבי כ"א  להטמעה]],Table2[[#This Row],[הערכת עלות]],Table2[[#This Row],[זמן ההטמעה המשוער]])/4))</f>
        <v>2.25</v>
      </c>
      <c r="J44" s="75" t="str">
        <f>IF(Table2[[#This Row],[שקלול כדאיות מספרי]]="","", IF(I44&gt;=$L$2,"שלב א",IF(I44&lt;4,IF(I44&gt;=$M$2, "שלב ב","שלב ג"))))</f>
        <v>שלב א</v>
      </c>
    </row>
    <row r="45" spans="1:10" ht="11.25" customHeight="1">
      <c r="A45" s="69" t="s">
        <v>1026</v>
      </c>
      <c r="B45" s="77" t="s">
        <v>1027</v>
      </c>
      <c r="C45" s="74" t="str">
        <f>Table2[[#This Row],[קיצור באנגלית]]</f>
        <v>Online Backup solution</v>
      </c>
      <c r="D45" s="75">
        <v>4</v>
      </c>
      <c r="E45" s="75">
        <v>2</v>
      </c>
      <c r="F45" s="75">
        <v>5</v>
      </c>
      <c r="G45" s="75">
        <v>1</v>
      </c>
      <c r="H45" s="75">
        <v>1</v>
      </c>
      <c r="I45" s="75">
        <f>IF($D45="","",+Table2[[#This Row],[תועלת המענה]]-(SUM(Table2[[#This Row],[משאבי כ"א  לתפעול ]],Table2[[#This Row],[משאבי כ"א  להטמעה]],Table2[[#This Row],[הערכת עלות]],Table2[[#This Row],[זמן ההטמעה המשוער]])/4))</f>
        <v>1.75</v>
      </c>
      <c r="J45" s="75" t="str">
        <f>IF(Table2[[#This Row],[שקלול כדאיות מספרי]]="","", IF(I45&gt;=$L$2,"שלב א",IF(I45&lt;4,IF(I45&gt;=$M$2, "שלב ב","שלב ג"))))</f>
        <v>שלב א</v>
      </c>
    </row>
    <row r="46" spans="1:10" ht="11.25" customHeight="1">
      <c r="A46" s="76" t="s">
        <v>1028</v>
      </c>
      <c r="B46" s="77" t="s">
        <v>1029</v>
      </c>
      <c r="C46" s="77" t="s">
        <v>1030</v>
      </c>
      <c r="D46" s="75">
        <v>2</v>
      </c>
      <c r="E46" s="75">
        <v>4</v>
      </c>
      <c r="F46" s="75">
        <v>5</v>
      </c>
      <c r="G46" s="75">
        <v>3</v>
      </c>
      <c r="H46" s="75">
        <v>2</v>
      </c>
      <c r="I46" s="75">
        <f>IF($D46="","",+Table2[[#This Row],[תועלת המענה]]-(SUM(Table2[[#This Row],[משאבי כ"א  לתפעול ]],Table2[[#This Row],[משאבי כ"א  להטמעה]],Table2[[#This Row],[הערכת עלות]],Table2[[#This Row],[זמן ההטמעה המשוער]])/4))</f>
        <v>-1.5</v>
      </c>
      <c r="J46" s="75" t="str">
        <f>IF(Table2[[#This Row],[שקלול כדאיות מספרי]]="","", IF(I46&gt;=$L$2,"שלב א",IF(I46&lt;4,IF(I46&gt;=$M$2, "שלב ב","שלב ג"))))</f>
        <v>שלב ג</v>
      </c>
    </row>
    <row r="47" spans="1:10" ht="11.25" customHeight="1">
      <c r="A47" s="70" t="s">
        <v>1031</v>
      </c>
      <c r="B47" s="71"/>
      <c r="C47" s="71"/>
      <c r="D47" s="72"/>
      <c r="E47" s="72"/>
      <c r="F47" s="72"/>
      <c r="G47" s="72"/>
      <c r="H47" s="72"/>
      <c r="I47" s="72" t="str">
        <f>IF($D47="","",+Table2[[#This Row],[תועלת המענה]]-(SUM(Table2[[#This Row],[משאבי כ"א  לתפעול ]],Table2[[#This Row],[משאבי כ"א  להטמעה]],Table2[[#This Row],[הערכת עלות]],Table2[[#This Row],[זמן ההטמעה המשוער]])/4))</f>
        <v/>
      </c>
      <c r="J47" s="72" t="str">
        <f>IF(Table2[[#This Row],[שקלול כדאיות מספרי]]="","", IF(I47&gt;=$L$2,"שלב א",IF(I47&lt;4,IF(I47&gt;=$M$2, "שלב ב","שלב ג"))))</f>
        <v/>
      </c>
    </row>
    <row r="48" spans="1:10" ht="11.25" customHeight="1">
      <c r="A48" s="69" t="s">
        <v>1032</v>
      </c>
      <c r="B48" s="74" t="s">
        <v>1033</v>
      </c>
      <c r="C48" s="74" t="s">
        <v>1034</v>
      </c>
      <c r="D48" s="75">
        <v>4</v>
      </c>
      <c r="E48" s="75">
        <v>2</v>
      </c>
      <c r="F48" s="75">
        <v>5</v>
      </c>
      <c r="G48" s="75">
        <v>1</v>
      </c>
      <c r="H48" s="75">
        <v>1</v>
      </c>
      <c r="I48" s="75">
        <f>IF($D48="","",+Table2[[#This Row],[תועלת המענה]]-(SUM(Table2[[#This Row],[משאבי כ"א  לתפעול ]],Table2[[#This Row],[משאבי כ"א  להטמעה]],Table2[[#This Row],[הערכת עלות]],Table2[[#This Row],[זמן ההטמעה המשוער]])/4))</f>
        <v>1.75</v>
      </c>
      <c r="J48" s="75" t="str">
        <f>IF(Table2[[#This Row],[שקלול כדאיות מספרי]]="","", IF(I48&gt;=$L$2,"שלב א",IF(I48&lt;4,IF(I48&gt;=$M$2, "שלב ב","שלב ג"))))</f>
        <v>שלב א</v>
      </c>
    </row>
    <row r="49" spans="1:10" ht="11.25" customHeight="1">
      <c r="A49" s="69" t="s">
        <v>1035</v>
      </c>
      <c r="B49" s="74" t="s">
        <v>1036</v>
      </c>
      <c r="C49" s="74" t="s">
        <v>1037</v>
      </c>
      <c r="D49" s="75">
        <v>3</v>
      </c>
      <c r="E49" s="75">
        <v>4</v>
      </c>
      <c r="F49" s="75">
        <v>2</v>
      </c>
      <c r="G49" s="75">
        <v>3</v>
      </c>
      <c r="H49" s="75">
        <v>1</v>
      </c>
      <c r="I49" s="75">
        <f>IF($D49="","",+Table2[[#This Row],[תועלת המענה]]-(SUM(Table2[[#This Row],[משאבי כ"א  לתפעול ]],Table2[[#This Row],[משאבי כ"א  להטמעה]],Table2[[#This Row],[הערכת עלות]],Table2[[#This Row],[זמן ההטמעה המשוער]])/4))</f>
        <v>0.5</v>
      </c>
      <c r="J49" s="75" t="str">
        <f>IF(Table2[[#This Row],[שקלול כדאיות מספרי]]="","", IF(I49&gt;=$L$2,"שלב א",IF(I49&lt;4,IF(I49&gt;=$M$2, "שלב ב","שלב ג"))))</f>
        <v>שלב ב</v>
      </c>
    </row>
    <row r="50" spans="1:10" ht="11.25" customHeight="1">
      <c r="A50" s="69" t="s">
        <v>1038</v>
      </c>
      <c r="B50" s="74" t="s">
        <v>1039</v>
      </c>
      <c r="C50" s="74" t="s">
        <v>1040</v>
      </c>
      <c r="D50" s="75">
        <v>3</v>
      </c>
      <c r="E50" s="75">
        <v>2</v>
      </c>
      <c r="F50" s="75">
        <v>4</v>
      </c>
      <c r="G50" s="75">
        <v>1</v>
      </c>
      <c r="H50" s="75">
        <v>2</v>
      </c>
      <c r="I50" s="75">
        <f>IF($D50="","",+Table2[[#This Row],[תועלת המענה]]-(SUM(Table2[[#This Row],[משאבי כ"א  לתפעול ]],Table2[[#This Row],[משאבי כ"א  להטמעה]],Table2[[#This Row],[הערכת עלות]],Table2[[#This Row],[זמן ההטמעה המשוער]])/4))</f>
        <v>0.75</v>
      </c>
      <c r="J50" s="75" t="str">
        <f>IF(Table2[[#This Row],[שקלול כדאיות מספרי]]="","", IF(I50&gt;=$L$2,"שלב א",IF(I50&lt;4,IF(I50&gt;=$M$2, "שלב ב","שלב ג"))))</f>
        <v>שלב ב</v>
      </c>
    </row>
    <row r="51" spans="1:10" ht="11.25" customHeight="1">
      <c r="A51" s="69" t="s">
        <v>1041</v>
      </c>
      <c r="B51" s="74" t="s">
        <v>1042</v>
      </c>
      <c r="C51" s="74" t="s">
        <v>1043</v>
      </c>
      <c r="D51" s="75">
        <v>5</v>
      </c>
      <c r="E51" s="75">
        <v>4</v>
      </c>
      <c r="F51" s="75">
        <v>1</v>
      </c>
      <c r="G51" s="75">
        <v>3</v>
      </c>
      <c r="H51" s="75">
        <v>3</v>
      </c>
      <c r="I51" s="75">
        <f>IF($D51="","",+Table2[[#This Row],[תועלת המענה]]-(SUM(Table2[[#This Row],[משאבי כ"א  לתפעול ]],Table2[[#This Row],[משאבי כ"א  להטמעה]],Table2[[#This Row],[הערכת עלות]],Table2[[#This Row],[זמן ההטמעה המשוער]])/4))</f>
        <v>2.25</v>
      </c>
      <c r="J51" s="75" t="str">
        <f>IF(Table2[[#This Row],[שקלול כדאיות מספרי]]="","", IF(I51&gt;=$L$2,"שלב א",IF(I51&lt;4,IF(I51&gt;=$M$2, "שלב ב","שלב ג"))))</f>
        <v>שלב א</v>
      </c>
    </row>
    <row r="52" spans="1:10" ht="11.25" customHeight="1">
      <c r="A52" s="69" t="s">
        <v>1044</v>
      </c>
      <c r="B52" s="74" t="s">
        <v>1045</v>
      </c>
      <c r="C52" s="74" t="str">
        <f>Table2[[#This Row],[קיצור באנגלית]]</f>
        <v>Smart Card</v>
      </c>
      <c r="D52" s="75">
        <v>5</v>
      </c>
      <c r="E52" s="75">
        <v>5</v>
      </c>
      <c r="F52" s="75">
        <v>1</v>
      </c>
      <c r="G52" s="75">
        <v>5</v>
      </c>
      <c r="H52" s="75">
        <v>5</v>
      </c>
      <c r="I52" s="75">
        <f>IF($D52="","",+Table2[[#This Row],[תועלת המענה]]-(SUM(Table2[[#This Row],[משאבי כ"א  לתפעול ]],Table2[[#This Row],[משאבי כ"א  להטמעה]],Table2[[#This Row],[הערכת עלות]],Table2[[#This Row],[זמן ההטמעה המשוער]])/4))</f>
        <v>1</v>
      </c>
      <c r="J52" s="75" t="str">
        <f>IF(Table2[[#This Row],[שקלול כדאיות מספרי]]="","", IF(I52&gt;=$L$2,"שלב א",IF(I52&lt;4,IF(I52&gt;=$M$2, "שלב ב","שלב ג"))))</f>
        <v>שלב ב</v>
      </c>
    </row>
    <row r="53" spans="1:10" ht="11.25" customHeight="1">
      <c r="A53" s="69" t="s">
        <v>1046</v>
      </c>
      <c r="B53" s="74" t="s">
        <v>1047</v>
      </c>
      <c r="C53" s="74" t="s">
        <v>1048</v>
      </c>
      <c r="D53" s="75">
        <v>4</v>
      </c>
      <c r="E53" s="75">
        <v>5</v>
      </c>
      <c r="F53" s="75">
        <v>5</v>
      </c>
      <c r="G53" s="75">
        <v>4</v>
      </c>
      <c r="H53" s="75">
        <v>2</v>
      </c>
      <c r="I53" s="75">
        <f>IF($D53="","",+Table2[[#This Row],[תועלת המענה]]-(SUM(Table2[[#This Row],[משאבי כ"א  לתפעול ]],Table2[[#This Row],[משאבי כ"א  להטמעה]],Table2[[#This Row],[הערכת עלות]],Table2[[#This Row],[זמן ההטמעה המשוער]])/4))</f>
        <v>0</v>
      </c>
      <c r="J53" s="75" t="str">
        <f>IF(Table2[[#This Row],[שקלול כדאיות מספרי]]="","", IF(I53&gt;=$L$2,"שלב א",IF(I53&lt;4,IF(I53&gt;=$M$2, "שלב ב","שלב ג"))))</f>
        <v>שלב ג</v>
      </c>
    </row>
    <row r="54" spans="1:10" ht="11.25" customHeight="1">
      <c r="A54" s="69" t="s">
        <v>1049</v>
      </c>
      <c r="B54" s="74" t="s">
        <v>1050</v>
      </c>
      <c r="C54" s="74" t="s">
        <v>1051</v>
      </c>
      <c r="D54" s="75">
        <v>4</v>
      </c>
      <c r="E54" s="75">
        <v>3</v>
      </c>
      <c r="F54" s="75">
        <v>3</v>
      </c>
      <c r="G54" s="75">
        <v>2</v>
      </c>
      <c r="H54" s="75">
        <v>1</v>
      </c>
      <c r="I54" s="75">
        <f>IF($D54="","",+Table2[[#This Row],[תועלת המענה]]-(SUM(Table2[[#This Row],[משאבי כ"א  לתפעול ]],Table2[[#This Row],[משאבי כ"א  להטמעה]],Table2[[#This Row],[הערכת עלות]],Table2[[#This Row],[זמן ההטמעה המשוער]])/4))</f>
        <v>1.75</v>
      </c>
      <c r="J54" s="75" t="str">
        <f>IF(Table2[[#This Row],[שקלול כדאיות מספרי]]="","", IF(I54&gt;=$L$2,"שלב א",IF(I54&lt;4,IF(I54&gt;=$M$2, "שלב ב","שלב ג"))))</f>
        <v>שלב א</v>
      </c>
    </row>
    <row r="55" spans="1:10" ht="11.25" customHeight="1">
      <c r="A55" s="69" t="s">
        <v>1052</v>
      </c>
      <c r="B55" s="74" t="s">
        <v>1053</v>
      </c>
      <c r="C55" s="74" t="str">
        <f>Table2[[#This Row],[קיצור באנגלית]]</f>
        <v>Directory</v>
      </c>
      <c r="D55" s="75">
        <v>5</v>
      </c>
      <c r="E55" s="75">
        <v>3</v>
      </c>
      <c r="F55" s="75">
        <v>1</v>
      </c>
      <c r="G55" s="75">
        <v>2</v>
      </c>
      <c r="H55" s="75">
        <v>2</v>
      </c>
      <c r="I55" s="75">
        <f>IF($D55="","",+Table2[[#This Row],[תועלת המענה]]-(SUM(Table2[[#This Row],[משאבי כ"א  לתפעול ]],Table2[[#This Row],[משאבי כ"א  להטמעה]],Table2[[#This Row],[הערכת עלות]],Table2[[#This Row],[זמן ההטמעה המשוער]])/4))</f>
        <v>3</v>
      </c>
      <c r="J55" s="75" t="str">
        <f>IF(Table2[[#This Row],[שקלול כדאיות מספרי]]="","", IF(I55&gt;=$L$2,"שלב א",IF(I55&lt;4,IF(I55&gt;=$M$2, "שלב ב","שלב ג"))))</f>
        <v>שלב א</v>
      </c>
    </row>
    <row r="56" spans="1:10" ht="11.25" customHeight="1">
      <c r="A56" s="70" t="s">
        <v>1054</v>
      </c>
      <c r="B56" s="71"/>
      <c r="C56" s="71"/>
      <c r="D56" s="72"/>
      <c r="E56" s="72"/>
      <c r="F56" s="72"/>
      <c r="G56" s="72"/>
      <c r="H56" s="72"/>
      <c r="I56" s="72" t="str">
        <f>IF($D56="","",+Table2[[#This Row],[תועלת המענה]]-(SUM(Table2[[#This Row],[משאבי כ"א  לתפעול ]],Table2[[#This Row],[משאבי כ"א  להטמעה]],Table2[[#This Row],[הערכת עלות]],Table2[[#This Row],[זמן ההטמעה המשוער]])/4))</f>
        <v/>
      </c>
      <c r="J56" s="72" t="str">
        <f>IF(Table2[[#This Row],[שקלול כדאיות מספרי]]="","", IF(I56&gt;=$L$2,"שלב א",IF(I56&lt;4,IF(I56&gt;=$M$2, "שלב ב","שלב ג"))))</f>
        <v/>
      </c>
    </row>
    <row r="57" spans="1:10" ht="11.25" customHeight="1">
      <c r="A57" s="69" t="s">
        <v>1055</v>
      </c>
      <c r="B57" s="74" t="s">
        <v>1056</v>
      </c>
      <c r="C57" s="74" t="s">
        <v>1057</v>
      </c>
      <c r="D57" s="75">
        <v>4</v>
      </c>
      <c r="E57" s="75">
        <v>3</v>
      </c>
      <c r="F57" s="75">
        <v>4</v>
      </c>
      <c r="G57" s="75">
        <v>2</v>
      </c>
      <c r="H57" s="75">
        <v>3</v>
      </c>
      <c r="I57" s="75">
        <f>IF($D57="","",+Table2[[#This Row],[תועלת המענה]]-(SUM(Table2[[#This Row],[משאבי כ"א  לתפעול ]],Table2[[#This Row],[משאבי כ"א  להטמעה]],Table2[[#This Row],[הערכת עלות]],Table2[[#This Row],[זמן ההטמעה המשוער]])/4))</f>
        <v>1</v>
      </c>
      <c r="J57" s="75" t="str">
        <f>IF(Table2[[#This Row],[שקלול כדאיות מספרי]]="","", IF(I57&gt;=$L$2,"שלב א",IF(I57&lt;4,IF(I57&gt;=$M$2, "שלב ב","שלב ג"))))</f>
        <v>שלב ב</v>
      </c>
    </row>
    <row r="58" spans="1:10" ht="11.25" customHeight="1">
      <c r="A58" s="69" t="s">
        <v>1058</v>
      </c>
      <c r="B58" s="74" t="s">
        <v>1059</v>
      </c>
      <c r="C58" s="74" t="s">
        <v>1060</v>
      </c>
      <c r="D58" s="75">
        <v>3</v>
      </c>
      <c r="E58" s="75">
        <v>5</v>
      </c>
      <c r="F58" s="75">
        <v>4</v>
      </c>
      <c r="G58" s="75">
        <v>2</v>
      </c>
      <c r="H58" s="75">
        <v>3</v>
      </c>
      <c r="I58" s="75">
        <f>IF($D58="","",+Table2[[#This Row],[תועלת המענה]]-(SUM(Table2[[#This Row],[משאבי כ"א  לתפעול ]],Table2[[#This Row],[משאבי כ"א  להטמעה]],Table2[[#This Row],[הערכת עלות]],Table2[[#This Row],[זמן ההטמעה המשוער]])/4))</f>
        <v>-0.5</v>
      </c>
      <c r="J58" s="75" t="str">
        <f>IF(Table2[[#This Row],[שקלול כדאיות מספרי]]="","", IF(I58&gt;=$L$2,"שלב א",IF(I58&lt;4,IF(I58&gt;=$M$2, "שלב ב","שלב ג"))))</f>
        <v>שלב ג</v>
      </c>
    </row>
    <row r="59" spans="1:10" ht="11.25" customHeight="1">
      <c r="A59" s="69" t="s">
        <v>1061</v>
      </c>
      <c r="B59" s="74" t="s">
        <v>1062</v>
      </c>
      <c r="C59" s="74" t="s">
        <v>1063</v>
      </c>
      <c r="D59" s="75">
        <v>3</v>
      </c>
      <c r="E59" s="75">
        <v>5</v>
      </c>
      <c r="F59" s="75">
        <v>5</v>
      </c>
      <c r="G59" s="75">
        <v>3</v>
      </c>
      <c r="H59" s="75">
        <v>4</v>
      </c>
      <c r="I59" s="75">
        <f>IF($D59="","",+Table2[[#This Row],[תועלת המענה]]-(SUM(Table2[[#This Row],[משאבי כ"א  לתפעול ]],Table2[[#This Row],[משאבי כ"א  להטמעה]],Table2[[#This Row],[הערכת עלות]],Table2[[#This Row],[זמן ההטמעה המשוער]])/4))</f>
        <v>-1.25</v>
      </c>
      <c r="J59" s="75" t="str">
        <f>IF(Table2[[#This Row],[שקלול כדאיות מספרי]]="","", IF(I59&gt;=$L$2,"שלב א",IF(I59&lt;4,IF(I59&gt;=$M$2, "שלב ב","שלב ג"))))</f>
        <v>שלב ג</v>
      </c>
    </row>
    <row r="60" spans="1:10" ht="11.25" customHeight="1">
      <c r="A60" s="76" t="s">
        <v>1064</v>
      </c>
      <c r="B60" s="74" t="s">
        <v>1065</v>
      </c>
      <c r="C60" s="74" t="str">
        <f>Table2[[#This Row],[קיצור באנגלית]]</f>
        <v>SDLC IDE plugin/Lint Tool</v>
      </c>
      <c r="D60" s="75">
        <v>4</v>
      </c>
      <c r="E60" s="75">
        <v>2</v>
      </c>
      <c r="F60" s="75">
        <v>3</v>
      </c>
      <c r="G60" s="75">
        <v>2</v>
      </c>
      <c r="H60" s="75">
        <v>2</v>
      </c>
      <c r="I60" s="75">
        <f>+SUM(D60:H60)/5</f>
        <v>2.6</v>
      </c>
      <c r="J60" s="75" t="str">
        <f>IF(Table2[[#This Row],[שקלול כדאיות מספרי]]="","", IF(I60&gt;=$L$2,"שלב א",IF(I60&lt;4,IF(I60&gt;=$M$2, "שלב ב","שלב ג"))))</f>
        <v>שלב א</v>
      </c>
    </row>
    <row r="61" spans="1:10" ht="11.25" customHeight="1">
      <c r="A61" s="69" t="s">
        <v>1066</v>
      </c>
      <c r="B61" s="74" t="s">
        <v>1067</v>
      </c>
      <c r="C61" s="74" t="s">
        <v>1068</v>
      </c>
      <c r="D61" s="75">
        <v>4</v>
      </c>
      <c r="E61" s="75">
        <v>2</v>
      </c>
      <c r="F61" s="75">
        <v>3</v>
      </c>
      <c r="G61" s="75">
        <v>2</v>
      </c>
      <c r="H61" s="75">
        <v>2</v>
      </c>
      <c r="I61" s="75">
        <f>IF($D61="","",+Table2[[#This Row],[תועלת המענה]]-(SUM(Table2[[#This Row],[משאבי כ"א  לתפעול ]],Table2[[#This Row],[משאבי כ"א  להטמעה]],Table2[[#This Row],[הערכת עלות]],Table2[[#This Row],[זמן ההטמעה המשוער]])/4))</f>
        <v>1.75</v>
      </c>
      <c r="J61" s="75" t="str">
        <f>IF(Table2[[#This Row],[שקלול כדאיות מספרי]]="","", IF(I61&gt;=$L$2,"שלב א",IF(I61&lt;4,IF(I61&gt;=$M$2, "שלב ב","שלב ג"))))</f>
        <v>שלב א</v>
      </c>
    </row>
    <row r="62" spans="1:10" ht="11.25" customHeight="1">
      <c r="A62" s="69" t="s">
        <v>1069</v>
      </c>
      <c r="B62" s="74" t="s">
        <v>1070</v>
      </c>
      <c r="C62" s="74" t="str">
        <f>Table2[[#This Row],[קיצור באנגלית]]</f>
        <v>Manual Code Review</v>
      </c>
      <c r="D62" s="75">
        <v>4</v>
      </c>
      <c r="E62" s="75">
        <v>2</v>
      </c>
      <c r="F62" s="75">
        <v>5</v>
      </c>
      <c r="G62" s="75">
        <v>2</v>
      </c>
      <c r="H62" s="75">
        <v>5</v>
      </c>
      <c r="I62" s="75">
        <f>IF($D62="","",+Table2[[#This Row],[תועלת המענה]]-(SUM(Table2[[#This Row],[משאבי כ"א  לתפעול ]],Table2[[#This Row],[משאבי כ"א  להטמעה]],Table2[[#This Row],[הערכת עלות]],Table2[[#This Row],[זמן ההטמעה המשוער]])/4))</f>
        <v>0.5</v>
      </c>
      <c r="J62" s="75" t="str">
        <f>IF(Table2[[#This Row],[שקלול כדאיות מספרי]]="","", IF(I62&gt;=$L$2,"שלב א",IF(I62&lt;4,IF(I62&gt;=$M$2, "שלב ב","שלב ג"))))</f>
        <v>שלב ב</v>
      </c>
    </row>
    <row r="63" spans="1:10" ht="11.25" customHeight="1">
      <c r="A63" s="69" t="s">
        <v>1071</v>
      </c>
      <c r="B63" s="74" t="s">
        <v>1072</v>
      </c>
      <c r="C63" s="74" t="str">
        <f>Table2[[#This Row],[קיצור באנגלית]]</f>
        <v>Secure by Design</v>
      </c>
      <c r="D63" s="75">
        <v>5</v>
      </c>
      <c r="E63" s="75">
        <v>3</v>
      </c>
      <c r="F63" s="75">
        <v>4</v>
      </c>
      <c r="G63" s="75">
        <v>2</v>
      </c>
      <c r="H63" s="75">
        <v>3</v>
      </c>
      <c r="I63" s="75">
        <f>IF($D63="","",+Table2[[#This Row],[תועלת המענה]]-(SUM(Table2[[#This Row],[משאבי כ"א  לתפעול ]],Table2[[#This Row],[משאבי כ"א  להטמעה]],Table2[[#This Row],[הערכת עלות]],Table2[[#This Row],[זמן ההטמעה המשוער]])/4))</f>
        <v>2</v>
      </c>
      <c r="J63" s="75" t="str">
        <f>IF(Table2[[#This Row],[שקלול כדאיות מספרי]]="","", IF(I63&gt;=$L$2,"שלב א",IF(I63&lt;4,IF(I63&gt;=$M$2, "שלב ב","שלב ג"))))</f>
        <v>שלב א</v>
      </c>
    </row>
    <row r="64" spans="1:10" ht="11.25" customHeight="1">
      <c r="A64" s="69" t="s">
        <v>1073</v>
      </c>
      <c r="B64" s="74" t="s">
        <v>1074</v>
      </c>
      <c r="C64" s="74" t="str">
        <f>Table2[[#This Row],[קיצור באנגלית]]</f>
        <v>Privacy by Design</v>
      </c>
      <c r="D64" s="75">
        <v>5</v>
      </c>
      <c r="E64" s="75">
        <v>3</v>
      </c>
      <c r="F64" s="75">
        <v>4</v>
      </c>
      <c r="G64" s="75">
        <v>2</v>
      </c>
      <c r="H64" s="75">
        <v>3</v>
      </c>
      <c r="I64" s="75">
        <f>IF($D64="","",+Table2[[#This Row],[תועלת המענה]]-(SUM(Table2[[#This Row],[משאבי כ"א  לתפעול ]],Table2[[#This Row],[משאבי כ"א  להטמעה]],Table2[[#This Row],[הערכת עלות]],Table2[[#This Row],[זמן ההטמעה המשוער]])/4))</f>
        <v>2</v>
      </c>
      <c r="J64" s="75" t="str">
        <f>IF(Table2[[#This Row],[שקלול כדאיות מספרי]]="","", IF(I64&gt;=$L$2,"שלב א",IF(I64&lt;4,IF(I64&gt;=$M$2, "שלב ב","שלב ג"))))</f>
        <v>שלב א</v>
      </c>
    </row>
    <row r="65" spans="1:10" ht="11.25" customHeight="1">
      <c r="A65" s="69" t="s">
        <v>1075</v>
      </c>
      <c r="B65" s="74" t="s">
        <v>1076</v>
      </c>
      <c r="C65" s="74" t="s">
        <v>1077</v>
      </c>
      <c r="D65" s="75">
        <v>3</v>
      </c>
      <c r="E65" s="75">
        <v>2</v>
      </c>
      <c r="F65" s="75">
        <v>2</v>
      </c>
      <c r="G65" s="75">
        <v>1</v>
      </c>
      <c r="H65" s="75">
        <v>2</v>
      </c>
      <c r="I65" s="75">
        <f>IF($D65="","",+Table2[[#This Row],[תועלת המענה]]-(SUM(Table2[[#This Row],[משאבי כ"א  לתפעול ]],Table2[[#This Row],[משאבי כ"א  להטמעה]],Table2[[#This Row],[הערכת עלות]],Table2[[#This Row],[זמן ההטמעה המשוער]])/4))</f>
        <v>1.25</v>
      </c>
      <c r="J65" s="75" t="str">
        <f>IF(Table2[[#This Row],[שקלול כדאיות מספרי]]="","", IF(I65&gt;=$L$2,"שלב א",IF(I65&lt;4,IF(I65&gt;=$M$2, "שלב ב","שלב ג"))))</f>
        <v>שלב ב</v>
      </c>
    </row>
    <row r="66" spans="1:10" ht="11.25" customHeight="1">
      <c r="A66" s="70" t="s">
        <v>1078</v>
      </c>
      <c r="B66" s="71"/>
      <c r="C66" s="71"/>
      <c r="D66" s="72"/>
      <c r="E66" s="72"/>
      <c r="F66" s="72"/>
      <c r="G66" s="72"/>
      <c r="H66" s="72"/>
      <c r="I66" s="72" t="str">
        <f>IF($D66="","",+Table2[[#This Row],[תועלת המענה]]-(SUM(Table2[[#This Row],[משאבי כ"א  לתפעול ]],Table2[[#This Row],[משאבי כ"א  להטמעה]],Table2[[#This Row],[הערכת עלות]],Table2[[#This Row],[זמן ההטמעה המשוער]])/4))</f>
        <v/>
      </c>
      <c r="J66" s="72" t="str">
        <f>IF(Table2[[#This Row],[שקלול כדאיות מספרי]]="","", IF(I66&gt;=$L$2,"שלב א",IF(I66&lt;4,IF(I66&gt;=$M$2, "שלב ב","שלב ג"))))</f>
        <v/>
      </c>
    </row>
    <row r="67" spans="1:10" ht="11.25" customHeight="1">
      <c r="A67" s="69" t="s">
        <v>1079</v>
      </c>
      <c r="B67" s="74" t="s">
        <v>1080</v>
      </c>
      <c r="C67" s="74" t="s">
        <v>1081</v>
      </c>
      <c r="D67" s="75">
        <v>4</v>
      </c>
      <c r="E67" s="75">
        <v>3</v>
      </c>
      <c r="F67" s="75">
        <v>4</v>
      </c>
      <c r="G67" s="75">
        <v>2</v>
      </c>
      <c r="H67" s="75">
        <v>2</v>
      </c>
      <c r="I67" s="75">
        <f>IF($D67="","",+Table2[[#This Row],[תועלת המענה]]-(SUM(Table2[[#This Row],[משאבי כ"א  לתפעול ]],Table2[[#This Row],[משאבי כ"א  להטמעה]],Table2[[#This Row],[הערכת עלות]],Table2[[#This Row],[זמן ההטמעה המשוער]])/4))</f>
        <v>1.25</v>
      </c>
      <c r="J67" s="75" t="str">
        <f>IF(Table2[[#This Row],[שקלול כדאיות מספרי]]="","", IF(I67&gt;=$L$2,"שלב א",IF(I67&lt;4,IF(I67&gt;=$M$2, "שלב ב","שלב ג"))))</f>
        <v>שלב ב</v>
      </c>
    </row>
    <row r="68" spans="1:10" ht="11.25" customHeight="1">
      <c r="A68" s="69" t="s">
        <v>1082</v>
      </c>
      <c r="B68" s="74" t="s">
        <v>1083</v>
      </c>
      <c r="C68" s="74" t="s">
        <v>1084</v>
      </c>
      <c r="D68" s="75">
        <v>3</v>
      </c>
      <c r="E68" s="75">
        <v>2</v>
      </c>
      <c r="F68" s="75">
        <v>4</v>
      </c>
      <c r="G68" s="75">
        <v>2</v>
      </c>
      <c r="H68" s="75">
        <v>2</v>
      </c>
      <c r="I68" s="75">
        <f>IF($D68="","",+Table2[[#This Row],[תועלת המענה]]-(SUM(Table2[[#This Row],[משאבי כ"א  לתפעול ]],Table2[[#This Row],[משאבי כ"א  להטמעה]],Table2[[#This Row],[הערכת עלות]],Table2[[#This Row],[זמן ההטמעה המשוער]])/4))</f>
        <v>0.5</v>
      </c>
      <c r="J68" s="75" t="str">
        <f>IF(Table2[[#This Row],[שקלול כדאיות מספרי]]="","", IF(I68&gt;=$L$2,"שלב א",IF(I68&lt;4,IF(I68&gt;=$M$2, "שלב ב","שלב ג"))))</f>
        <v>שלב ב</v>
      </c>
    </row>
    <row r="69" spans="1:10" ht="11.25" customHeight="1">
      <c r="A69" s="69" t="s">
        <v>1085</v>
      </c>
      <c r="B69" s="77" t="s">
        <v>1086</v>
      </c>
      <c r="C69" s="74" t="str">
        <f>Table2[[#This Row],[קיצור באנגלית]]</f>
        <v>C&amp;A - Certifaction &amp; Accreditation</v>
      </c>
      <c r="D69" s="75">
        <v>2</v>
      </c>
      <c r="E69" s="75">
        <v>4</v>
      </c>
      <c r="F69" s="75">
        <v>4</v>
      </c>
      <c r="G69" s="75">
        <v>3</v>
      </c>
      <c r="H69" s="75">
        <v>3</v>
      </c>
      <c r="I69" s="75">
        <f>IF($D69="","",+Table2[[#This Row],[תועלת המענה]]-(SUM(Table2[[#This Row],[משאבי כ"א  לתפעול ]],Table2[[#This Row],[משאבי כ"א  להטמעה]],Table2[[#This Row],[הערכת עלות]],Table2[[#This Row],[זמן ההטמעה המשוער]])/4))</f>
        <v>-1.5</v>
      </c>
      <c r="J69" s="75" t="str">
        <f>IF(Table2[[#This Row],[שקלול כדאיות מספרי]]="","", IF(I69&gt;=$L$2,"שלב א",IF(I69&lt;4,IF(I69&gt;=$M$2, "שלב ב","שלב ג"))))</f>
        <v>שלב ג</v>
      </c>
    </row>
    <row r="70" spans="1:10" ht="11.25" customHeight="1">
      <c r="A70" s="69" t="s">
        <v>1087</v>
      </c>
      <c r="B70" s="77" t="s">
        <v>1088</v>
      </c>
      <c r="C70" s="74" t="str">
        <f>Table2[[#This Row],[קיצור באנגלית]]</f>
        <v>Risk Assesment</v>
      </c>
      <c r="D70" s="75">
        <v>4</v>
      </c>
      <c r="E70" s="75">
        <v>3</v>
      </c>
      <c r="F70" s="75">
        <v>5</v>
      </c>
      <c r="G70" s="75">
        <v>2</v>
      </c>
      <c r="H70" s="75">
        <v>4</v>
      </c>
      <c r="I70" s="75">
        <f>IF($D70="","",+Table2[[#This Row],[תועלת המענה]]-(SUM(Table2[[#This Row],[משאבי כ"א  לתפעול ]],Table2[[#This Row],[משאבי כ"א  להטמעה]],Table2[[#This Row],[הערכת עלות]],Table2[[#This Row],[זמן ההטמעה המשוער]])/4))</f>
        <v>0.5</v>
      </c>
      <c r="J70" s="75" t="str">
        <f>IF(Table2[[#This Row],[שקלול כדאיות מספרי]]="","", IF(I70&gt;=$L$2,"שלב א",IF(I70&lt;4,IF(I70&gt;=$M$2, "שלב ב","שלב ג"))))</f>
        <v>שלב ב</v>
      </c>
    </row>
    <row r="71" spans="1:10" ht="11.25" customHeight="1">
      <c r="A71" s="69" t="s">
        <v>1089</v>
      </c>
      <c r="B71" s="77" t="s">
        <v>1090</v>
      </c>
      <c r="C71" s="74" t="str">
        <f>Table2[[#This Row],[קיצור באנגלית]]</f>
        <v>Security Policy &amp;  Compliance/Hygiene</v>
      </c>
      <c r="D71" s="75">
        <v>3</v>
      </c>
      <c r="E71" s="75">
        <v>3</v>
      </c>
      <c r="F71" s="75">
        <v>4</v>
      </c>
      <c r="G71" s="75">
        <v>2</v>
      </c>
      <c r="H71" s="75">
        <v>3</v>
      </c>
      <c r="I71" s="75">
        <f>IF($D71="","",+Table2[[#This Row],[תועלת המענה]]-(SUM(Table2[[#This Row],[משאבי כ"א  לתפעול ]],Table2[[#This Row],[משאבי כ"א  להטמעה]],Table2[[#This Row],[הערכת עלות]],Table2[[#This Row],[זמן ההטמעה המשוער]])/4))</f>
        <v>0</v>
      </c>
      <c r="J71" s="75" t="str">
        <f>IF(Table2[[#This Row],[שקלול כדאיות מספרי]]="","", IF(I71&gt;=$L$2,"שלב א",IF(I71&lt;4,IF(I71&gt;=$M$2, "שלב ב","שלב ג"))))</f>
        <v>שלב ג</v>
      </c>
    </row>
    <row r="72" spans="1:10" ht="11.25" customHeight="1">
      <c r="A72" s="69" t="s">
        <v>1091</v>
      </c>
      <c r="B72" s="77" t="s">
        <v>1092</v>
      </c>
      <c r="C72" s="74" t="s">
        <v>1093</v>
      </c>
      <c r="D72" s="75">
        <v>3</v>
      </c>
      <c r="E72" s="75">
        <v>3</v>
      </c>
      <c r="F72" s="75">
        <v>4</v>
      </c>
      <c r="G72" s="75">
        <v>2</v>
      </c>
      <c r="H72" s="75">
        <v>3</v>
      </c>
      <c r="I72" s="75">
        <f>IF($D72="","",+Table2[[#This Row],[תועלת המענה]]-(SUM(Table2[[#This Row],[משאבי כ"א  לתפעול ]],Table2[[#This Row],[משאבי כ"א  להטמעה]],Table2[[#This Row],[הערכת עלות]],Table2[[#This Row],[זמן ההטמעה המשוער]])/4))</f>
        <v>0</v>
      </c>
      <c r="J72" s="75" t="str">
        <f>IF(Table2[[#This Row],[שקלול כדאיות מספרי]]="","", IF(I72&gt;=$L$2,"שלב א",IF(I72&lt;4,IF(I72&gt;=$M$2, "שלב ב","שלב ג"))))</f>
        <v>שלב ג</v>
      </c>
    </row>
    <row r="73" spans="1:10" ht="11.25" customHeight="1">
      <c r="A73" s="69" t="s">
        <v>1094</v>
      </c>
      <c r="B73" s="77" t="s">
        <v>1095</v>
      </c>
      <c r="C73" s="74" t="str">
        <f>Table2[[#This Row],[קיצור באנגלית]]</f>
        <v>Information Security Awareness Training</v>
      </c>
      <c r="D73" s="75">
        <v>5</v>
      </c>
      <c r="E73" s="75">
        <v>2</v>
      </c>
      <c r="F73" s="75">
        <v>4</v>
      </c>
      <c r="G73" s="75">
        <v>2</v>
      </c>
      <c r="H73" s="75">
        <v>2</v>
      </c>
      <c r="I73" s="75">
        <f>IF($D73="","",+Table2[[#This Row],[תועלת המענה]]-(SUM(Table2[[#This Row],[משאבי כ"א  לתפעול ]],Table2[[#This Row],[משאבי כ"א  להטמעה]],Table2[[#This Row],[הערכת עלות]],Table2[[#This Row],[זמן ההטמעה המשוער]])/4))</f>
        <v>2.5</v>
      </c>
      <c r="J73" s="75" t="str">
        <f>IF(Table2[[#This Row],[שקלול כדאיות מספרי]]="","", IF(I73&gt;=$L$2,"שלב א",IF(I73&lt;4,IF(I73&gt;=$M$2, "שלב ב","שלב ג"))))</f>
        <v>שלב א</v>
      </c>
    </row>
    <row r="74" spans="1:10" ht="11.25" customHeight="1">
      <c r="A74" s="69" t="s">
        <v>1096</v>
      </c>
      <c r="B74" s="77" t="s">
        <v>1097</v>
      </c>
      <c r="C74" s="74" t="str">
        <f>Table2[[#This Row],[קיצור באנגלית]]</f>
        <v>External Attack Surface Analysis</v>
      </c>
      <c r="D74" s="75">
        <v>4</v>
      </c>
      <c r="E74" s="75">
        <v>2</v>
      </c>
      <c r="F74" s="75">
        <v>4</v>
      </c>
      <c r="G74" s="75">
        <v>2</v>
      </c>
      <c r="H74" s="75">
        <v>2</v>
      </c>
      <c r="I74" s="75">
        <f>IF($D74="","",+Table2[[#This Row],[תועלת המענה]]-(SUM(Table2[[#This Row],[משאבי כ"א  לתפעול ]],Table2[[#This Row],[משאבי כ"א  להטמעה]],Table2[[#This Row],[הערכת עלות]],Table2[[#This Row],[זמן ההטמעה המשוער]])/4))</f>
        <v>1.5</v>
      </c>
      <c r="J74" s="75" t="str">
        <f>IF(Table2[[#This Row],[שקלול כדאיות מספרי]]="","", IF(I74&gt;=$L$2,"שלב א",IF(I74&lt;4,IF(I74&gt;=$M$2, "שלב ב","שלב ג"))))</f>
        <v>שלב א</v>
      </c>
    </row>
    <row r="75" spans="1:10" ht="11.25" customHeight="1">
      <c r="A75" s="69" t="s">
        <v>1098</v>
      </c>
      <c r="B75" s="77" t="s">
        <v>1099</v>
      </c>
      <c r="C75" s="74" t="str">
        <f>Table2[[#This Row],[קיצור באנגלית]]</f>
        <v>Vulnerability Assessment</v>
      </c>
      <c r="D75" s="75">
        <v>5</v>
      </c>
      <c r="E75" s="75">
        <v>3</v>
      </c>
      <c r="F75" s="75">
        <v>4</v>
      </c>
      <c r="G75" s="75">
        <v>2</v>
      </c>
      <c r="H75" s="75">
        <v>3</v>
      </c>
      <c r="I75" s="75">
        <f>IF($D75="","",+Table2[[#This Row],[תועלת המענה]]-(SUM(Table2[[#This Row],[משאבי כ"א  לתפעול ]],Table2[[#This Row],[משאבי כ"א  להטמעה]],Table2[[#This Row],[הערכת עלות]],Table2[[#This Row],[זמן ההטמעה המשוער]])/4))</f>
        <v>2</v>
      </c>
      <c r="J75" s="75" t="str">
        <f>IF(Table2[[#This Row],[שקלול כדאיות מספרי]]="","", IF(I75&gt;=$L$2,"שלב א",IF(I75&lt;4,IF(I75&gt;=$M$2, "שלב ב","שלב ג"))))</f>
        <v>שלב א</v>
      </c>
    </row>
    <row r="76" spans="1:10" ht="11.25" customHeight="1">
      <c r="A76" s="69" t="s">
        <v>1100</v>
      </c>
      <c r="B76" s="77" t="s">
        <v>1101</v>
      </c>
      <c r="C76" s="74" t="str">
        <f>Table2[[#This Row],[קיצור באנגלית]]</f>
        <v>Audit</v>
      </c>
      <c r="D76" s="75">
        <v>3</v>
      </c>
      <c r="E76" s="75">
        <v>2</v>
      </c>
      <c r="F76" s="75">
        <v>4</v>
      </c>
      <c r="G76" s="75">
        <v>2</v>
      </c>
      <c r="H76" s="75">
        <v>2</v>
      </c>
      <c r="I76" s="75">
        <f>IF($D76="","",+Table2[[#This Row],[תועלת המענה]]-(SUM(Table2[[#This Row],[משאבי כ"א  לתפעול ]],Table2[[#This Row],[משאבי כ"א  להטמעה]],Table2[[#This Row],[הערכת עלות]],Table2[[#This Row],[זמן ההטמעה המשוער]])/4))</f>
        <v>0.5</v>
      </c>
      <c r="J76" s="75" t="str">
        <f>IF(Table2[[#This Row],[שקלול כדאיות מספרי]]="","", IF(I76&gt;=$L$2,"שלב א",IF(I76&lt;4,IF(I76&gt;=$M$2, "שלב ב","שלב ג"))))</f>
        <v>שלב ב</v>
      </c>
    </row>
    <row r="77" spans="1:10" ht="11.25" customHeight="1">
      <c r="A77" s="70" t="s">
        <v>1102</v>
      </c>
      <c r="B77" s="71"/>
      <c r="C77" s="71"/>
      <c r="D77" s="72"/>
      <c r="E77" s="72"/>
      <c r="F77" s="72"/>
      <c r="G77" s="72"/>
      <c r="H77" s="72"/>
      <c r="I77" s="72" t="str">
        <f>IF($D77="","",+Table2[[#This Row],[תועלת המענה]]-(SUM(Table2[[#This Row],[משאבי כ"א  לתפעול ]],Table2[[#This Row],[משאבי כ"א  להטמעה]],Table2[[#This Row],[הערכת עלות]],Table2[[#This Row],[זמן ההטמעה המשוער]])/4))</f>
        <v/>
      </c>
      <c r="J77" s="72" t="str">
        <f>IF(Table2[[#This Row],[שקלול כדאיות מספרי]]="","", IF(I77&gt;=$L$2,"שלב א",IF(I77&lt;4,IF(I77&gt;=$M$2, "שלב ב","שלב ג"))))</f>
        <v/>
      </c>
    </row>
    <row r="78" spans="1:10" ht="11.25" customHeight="1">
      <c r="A78" s="69" t="s">
        <v>1103</v>
      </c>
      <c r="B78" s="74" t="s">
        <v>1104</v>
      </c>
      <c r="C78" s="74" t="s">
        <v>1105</v>
      </c>
      <c r="D78" s="75">
        <v>5</v>
      </c>
      <c r="E78" s="75">
        <v>3</v>
      </c>
      <c r="F78" s="75">
        <v>5</v>
      </c>
      <c r="G78" s="75">
        <v>3</v>
      </c>
      <c r="H78" s="75">
        <v>3</v>
      </c>
      <c r="I78" s="75">
        <f>IF($D78="","",+Table2[[#This Row],[תועלת המענה]]-(SUM(Table2[[#This Row],[משאבי כ"א  לתפעול ]],Table2[[#This Row],[משאבי כ"א  להטמעה]],Table2[[#This Row],[הערכת עלות]],Table2[[#This Row],[זמן ההטמעה המשוער]])/4))</f>
        <v>1.5</v>
      </c>
      <c r="J78" s="75" t="str">
        <f>IF(Table2[[#This Row],[שקלול כדאיות מספרי]]="","", IF(I78&gt;=$L$2,"שלב א",IF(I78&lt;4,IF(I78&gt;=$M$2, "שלב ב","שלב ג"))))</f>
        <v>שלב א</v>
      </c>
    </row>
    <row r="79" spans="1:10" ht="11.25" customHeight="1">
      <c r="A79" s="69" t="s">
        <v>1106</v>
      </c>
      <c r="C79" s="74" t="s">
        <v>1107</v>
      </c>
      <c r="D79" s="75">
        <v>1</v>
      </c>
      <c r="E79" s="75">
        <v>3</v>
      </c>
      <c r="F79" s="75">
        <v>3</v>
      </c>
      <c r="G79" s="75">
        <v>1</v>
      </c>
      <c r="H79" s="75">
        <v>2</v>
      </c>
      <c r="I79" s="75">
        <f>IF($D79="","",+Table2[[#This Row],[תועלת המענה]]-(SUM(Table2[[#This Row],[משאבי כ"א  לתפעול ]],Table2[[#This Row],[משאבי כ"א  להטמעה]],Table2[[#This Row],[הערכת עלות]],Table2[[#This Row],[זמן ההטמעה המשוער]])/4))</f>
        <v>-1.25</v>
      </c>
      <c r="J79" s="75" t="str">
        <f>IF(Table2[[#This Row],[שקלול כדאיות מספרי]]="","", IF(I79&gt;=$L$2,"שלב א",IF(I79&lt;4,IF(I79&gt;=$M$2, "שלב ב","שלב ג"))))</f>
        <v>שלב ג</v>
      </c>
    </row>
    <row r="80" spans="1:10" ht="11.25" customHeight="1">
      <c r="A80" s="69" t="s">
        <v>1108</v>
      </c>
      <c r="B80" s="77" t="s">
        <v>1109</v>
      </c>
      <c r="C80" s="74" t="str">
        <f>Table2[[#This Row],[קיצור באנגלית]]</f>
        <v>Web Surfing Isolution Detonation Chamber</v>
      </c>
      <c r="D80" s="75">
        <v>5</v>
      </c>
      <c r="E80" s="75">
        <v>4</v>
      </c>
      <c r="F80" s="75">
        <v>4</v>
      </c>
      <c r="G80" s="75">
        <v>2</v>
      </c>
      <c r="H80" s="75">
        <v>1</v>
      </c>
      <c r="I80" s="75">
        <f>IF($D80="","",+Table2[[#This Row],[תועלת המענה]]-(SUM(Table2[[#This Row],[משאבי כ"א  לתפעול ]],Table2[[#This Row],[משאבי כ"א  להטמעה]],Table2[[#This Row],[הערכת עלות]],Table2[[#This Row],[זמן ההטמעה המשוער]])/4))</f>
        <v>2.25</v>
      </c>
      <c r="J80" s="75" t="str">
        <f>IF(Table2[[#This Row],[שקלול כדאיות מספרי]]="","", IF(I80&gt;=$L$2,"שלב א",IF(I80&lt;4,IF(I80&gt;=$M$2, "שלב ב","שלב ג"))))</f>
        <v>שלב א</v>
      </c>
    </row>
    <row r="81" spans="1:10" ht="11.25" customHeight="1">
      <c r="A81" s="70" t="s">
        <v>1110</v>
      </c>
      <c r="B81" s="71"/>
      <c r="C81" s="71"/>
      <c r="D81" s="72"/>
      <c r="E81" s="72"/>
      <c r="F81" s="72"/>
      <c r="G81" s="72"/>
      <c r="H81" s="72"/>
      <c r="I81" s="72" t="str">
        <f>IF($D81="","",+Table2[[#This Row],[תועלת המענה]]-(SUM(Table2[[#This Row],[משאבי כ"א  לתפעול ]],Table2[[#This Row],[משאבי כ"א  להטמעה]],Table2[[#This Row],[הערכת עלות]],Table2[[#This Row],[זמן ההטמעה המשוער]])/4))</f>
        <v/>
      </c>
      <c r="J81" s="72" t="str">
        <f>IF(Table2[[#This Row],[שקלול כדאיות מספרי]]="","", IF(I81&gt;=$L$2,"שלב א",IF(I81&lt;4,IF(I81&gt;=$M$2, "שלב ב","שלב ג"))))</f>
        <v/>
      </c>
    </row>
    <row r="82" spans="1:10" ht="11.25" customHeight="1">
      <c r="A82" s="69" t="s">
        <v>1111</v>
      </c>
      <c r="B82" s="74" t="s">
        <v>1112</v>
      </c>
      <c r="C82" s="74" t="s">
        <v>1113</v>
      </c>
      <c r="D82" s="75">
        <v>4</v>
      </c>
      <c r="E82" s="75">
        <v>5</v>
      </c>
      <c r="F82" s="75">
        <v>5</v>
      </c>
      <c r="G82" s="75">
        <v>2</v>
      </c>
      <c r="H82" s="75">
        <v>2</v>
      </c>
      <c r="I82" s="75">
        <f>IF($D82="","",+Table2[[#This Row],[תועלת המענה]]-(SUM(Table2[[#This Row],[משאבי כ"א  לתפעול ]],Table2[[#This Row],[משאבי כ"א  להטמעה]],Table2[[#This Row],[הערכת עלות]],Table2[[#This Row],[זמן ההטמעה המשוער]])/4))</f>
        <v>0.5</v>
      </c>
      <c r="J82" s="75" t="str">
        <f>IF(Table2[[#This Row],[שקלול כדאיות מספרי]]="","", IF(I82&gt;=$L$2,"שלב א",IF(I82&lt;4,IF(I82&gt;=$M$2, "שלב ב","שלב ג"))))</f>
        <v>שלב ב</v>
      </c>
    </row>
    <row r="83" spans="1:10" ht="11.25" customHeight="1">
      <c r="A83" s="69" t="s">
        <v>1114</v>
      </c>
      <c r="B83" s="74" t="s">
        <v>1115</v>
      </c>
      <c r="C83" s="74" t="s">
        <v>1116</v>
      </c>
      <c r="D83" s="75">
        <v>4</v>
      </c>
      <c r="E83" s="75">
        <v>5</v>
      </c>
      <c r="F83" s="75">
        <v>5</v>
      </c>
      <c r="G83" s="75">
        <v>2</v>
      </c>
      <c r="H83" s="75">
        <v>3</v>
      </c>
      <c r="I83" s="75">
        <f>IF($D83="","",+Table2[[#This Row],[תועלת המענה]]-(SUM(Table2[[#This Row],[משאבי כ"א  לתפעול ]],Table2[[#This Row],[משאבי כ"א  להטמעה]],Table2[[#This Row],[הערכת עלות]],Table2[[#This Row],[זמן ההטמעה המשוער]])/4))</f>
        <v>0.25</v>
      </c>
      <c r="J83" s="75" t="str">
        <f>IF(Table2[[#This Row],[שקלול כדאיות מספרי]]="","", IF(I83&gt;=$L$2,"שלב א",IF(I83&lt;4,IF(I83&gt;=$M$2, "שלב ב","שלב ג"))))</f>
        <v>שלב ג</v>
      </c>
    </row>
    <row r="84" spans="1:10" ht="11.25" customHeight="1">
      <c r="A84" s="69" t="s">
        <v>1117</v>
      </c>
      <c r="B84" s="74" t="s">
        <v>1118</v>
      </c>
      <c r="C84" s="74" t="s">
        <v>1119</v>
      </c>
      <c r="D84" s="75">
        <v>4</v>
      </c>
      <c r="E84" s="75">
        <v>4</v>
      </c>
      <c r="F84" s="75">
        <v>5</v>
      </c>
      <c r="G84" s="75">
        <v>2</v>
      </c>
      <c r="H84" s="75">
        <v>1</v>
      </c>
      <c r="I84" s="75">
        <f>IF($D84="","",+Table2[[#This Row],[תועלת המענה]]-(SUM(Table2[[#This Row],[משאבי כ"א  לתפעול ]],Table2[[#This Row],[משאבי כ"א  להטמעה]],Table2[[#This Row],[הערכת עלות]],Table2[[#This Row],[זמן ההטמעה המשוער]])/4))</f>
        <v>1</v>
      </c>
      <c r="J84" s="75" t="str">
        <f>IF(Table2[[#This Row],[שקלול כדאיות מספרי]]="","", IF(I84&gt;=$L$2,"שלב א",IF(I84&lt;4,IF(I84&gt;=$M$2, "שלב ב","שלב ג"))))</f>
        <v>שלב ב</v>
      </c>
    </row>
    <row r="85" spans="1:10" ht="11.25" customHeight="1">
      <c r="A85" s="70" t="s">
        <v>1120</v>
      </c>
      <c r="B85" s="71"/>
      <c r="C85" s="71"/>
      <c r="D85" s="72"/>
      <c r="E85" s="72"/>
      <c r="F85" s="72"/>
      <c r="G85" s="72"/>
      <c r="H85" s="72"/>
      <c r="I85" s="72" t="str">
        <f>IF($D85="","",+Table2[[#This Row],[תועלת המענה]]-(SUM(Table2[[#This Row],[משאבי כ"א  לתפעול ]],Table2[[#This Row],[משאבי כ"א  להטמעה]],Table2[[#This Row],[הערכת עלות]],Table2[[#This Row],[זמן ההטמעה המשוער]])/4))</f>
        <v/>
      </c>
      <c r="J85" s="72" t="str">
        <f>IF(Table2[[#This Row],[שקלול כדאיות מספרי]]="","", IF(I85&gt;=$L$2,"שלב א",IF(I85&lt;4,IF(I85&gt;=$M$2, "שלב ב","שלב ג"))))</f>
        <v/>
      </c>
    </row>
    <row r="86" spans="1:10" ht="11.25" customHeight="1">
      <c r="A86" s="69" t="s">
        <v>1121</v>
      </c>
      <c r="B86" s="74" t="s">
        <v>1122</v>
      </c>
      <c r="C86" s="74" t="s">
        <v>1123</v>
      </c>
      <c r="D86" s="75">
        <v>3</v>
      </c>
      <c r="E86" s="75">
        <v>5</v>
      </c>
      <c r="F86" s="75">
        <v>5</v>
      </c>
      <c r="G86" s="75">
        <v>3</v>
      </c>
      <c r="H86" s="75">
        <v>3</v>
      </c>
      <c r="I86" s="75">
        <f>IF($D86="","",+Table2[[#This Row],[תועלת המענה]]-(SUM(Table2[[#This Row],[משאבי כ"א  לתפעול ]],Table2[[#This Row],[משאבי כ"א  להטמעה]],Table2[[#This Row],[הערכת עלות]],Table2[[#This Row],[זמן ההטמעה המשוער]])/4))</f>
        <v>-1</v>
      </c>
      <c r="J86" s="75" t="str">
        <f>IF(Table2[[#This Row],[שקלול כדאיות מספרי]]="","", IF(I86&gt;=$L$2,"שלב א",IF(I86&lt;4,IF(I86&gt;=$M$2, "שלב ב","שלב ג"))))</f>
        <v>שלב ג</v>
      </c>
    </row>
    <row r="87" spans="1:10" ht="11.25" customHeight="1">
      <c r="A87" s="69" t="s">
        <v>1124</v>
      </c>
      <c r="B87" s="74" t="s">
        <v>1125</v>
      </c>
      <c r="C87" s="74" t="s">
        <v>1126</v>
      </c>
      <c r="D87" s="75">
        <v>5</v>
      </c>
      <c r="E87" s="75">
        <v>4</v>
      </c>
      <c r="F87" s="75">
        <v>5</v>
      </c>
      <c r="G87" s="75">
        <v>3</v>
      </c>
      <c r="H87" s="75">
        <v>2</v>
      </c>
      <c r="I87" s="75">
        <f>IF($D87="","",+Table2[[#This Row],[תועלת המענה]]-(SUM(Table2[[#This Row],[משאבי כ"א  לתפעול ]],Table2[[#This Row],[משאבי כ"א  להטמעה]],Table2[[#This Row],[הערכת עלות]],Table2[[#This Row],[זמן ההטמעה המשוער]])/4))</f>
        <v>1.5</v>
      </c>
      <c r="J87" s="75" t="str">
        <f>IF(Table2[[#This Row],[שקלול כדאיות מספרי]]="","", IF(I87&gt;=$L$2,"שלב א",IF(I87&lt;4,IF(I87&gt;=$M$2, "שלב ב","שלב ג"))))</f>
        <v>שלב א</v>
      </c>
    </row>
    <row r="88" spans="1:10" ht="11.25" customHeight="1">
      <c r="A88" s="69" t="s">
        <v>1127</v>
      </c>
      <c r="B88" s="74" t="s">
        <v>1128</v>
      </c>
      <c r="C88" s="74" t="s">
        <v>1129</v>
      </c>
      <c r="D88" s="75">
        <v>4</v>
      </c>
      <c r="E88" s="75">
        <v>1</v>
      </c>
      <c r="F88" s="75">
        <v>1</v>
      </c>
      <c r="G88" s="75">
        <v>2</v>
      </c>
      <c r="H88" s="75">
        <v>1</v>
      </c>
      <c r="I88" s="75">
        <f>IF($D88="","",+Table2[[#This Row],[תועלת המענה]]-(SUM(Table2[[#This Row],[משאבי כ"א  לתפעול ]],Table2[[#This Row],[משאבי כ"א  להטמעה]],Table2[[#This Row],[הערכת עלות]],Table2[[#This Row],[זמן ההטמעה המשוער]])/4))</f>
        <v>2.75</v>
      </c>
      <c r="J88" s="75" t="str">
        <f>IF(Table2[[#This Row],[שקלול כדאיות מספרי]]="","", IF(I88&gt;=$L$2,"שלב א",IF(I88&lt;4,IF(I88&gt;=$M$2, "שלב ב","שלב ג"))))</f>
        <v>שלב א</v>
      </c>
    </row>
    <row r="89" spans="1:10" ht="11.25" customHeight="1">
      <c r="A89" s="70" t="s">
        <v>1130</v>
      </c>
      <c r="B89" s="71"/>
      <c r="C89" s="71"/>
      <c r="D89" s="72"/>
      <c r="E89" s="72"/>
      <c r="F89" s="72"/>
      <c r="G89" s="72"/>
      <c r="H89" s="72"/>
      <c r="I89" s="72" t="str">
        <f>IF($D89="","",+Table2[[#This Row],[תועלת המענה]]-(SUM(Table2[[#This Row],[משאבי כ"א  לתפעול ]],Table2[[#This Row],[משאבי כ"א  להטמעה]],Table2[[#This Row],[הערכת עלות]],Table2[[#This Row],[זמן ההטמעה המשוער]])/4))</f>
        <v/>
      </c>
      <c r="J89" s="72" t="str">
        <f>IF(Table2[[#This Row],[שקלול כדאיות מספרי]]="","", IF(I89&gt;=$L$2,"שלב א",IF(I89&lt;4,IF(I89&gt;=$M$2, "שלב ב","שלב ג"))))</f>
        <v/>
      </c>
    </row>
    <row r="90" spans="1:10" ht="11.25" customHeight="1">
      <c r="A90" s="69" t="s">
        <v>1131</v>
      </c>
      <c r="B90" s="74" t="s">
        <v>1132</v>
      </c>
      <c r="C90" s="74" t="str">
        <f>Table2[[#This Row],[קיצור באנגלית]]</f>
        <v>Detonation Chamber</v>
      </c>
      <c r="D90" s="75">
        <v>3</v>
      </c>
      <c r="E90" s="75">
        <v>2</v>
      </c>
      <c r="F90" s="75">
        <v>4</v>
      </c>
      <c r="G90" s="75">
        <v>2</v>
      </c>
      <c r="H90" s="75">
        <v>1</v>
      </c>
      <c r="I90" s="75">
        <f>IF($D90="","",+Table2[[#This Row],[תועלת המענה]]-(SUM(Table2[[#This Row],[משאבי כ"א  לתפעול ]],Table2[[#This Row],[משאבי כ"א  להטמעה]],Table2[[#This Row],[הערכת עלות]],Table2[[#This Row],[זמן ההטמעה המשוער]])/4))</f>
        <v>0.75</v>
      </c>
      <c r="J90" s="75" t="str">
        <f>IF(Table2[[#This Row],[שקלול כדאיות מספרי]]="","", IF(I90&gt;=$L$2,"שלב א",IF(I90&lt;4,IF(I90&gt;=$M$2, "שלב ב","שלב ג"))))</f>
        <v>שלב ב</v>
      </c>
    </row>
    <row r="91" spans="1:10" ht="11.25" customHeight="1">
      <c r="A91" s="69" t="s">
        <v>1133</v>
      </c>
      <c r="B91" s="74" t="s">
        <v>1134</v>
      </c>
      <c r="C91" s="74" t="s">
        <v>1135</v>
      </c>
      <c r="D91" s="75">
        <v>3</v>
      </c>
      <c r="E91" s="75">
        <v>3</v>
      </c>
      <c r="F91" s="75">
        <v>5</v>
      </c>
      <c r="G91" s="75">
        <v>2</v>
      </c>
      <c r="H91" s="75">
        <v>2</v>
      </c>
      <c r="I91" s="75">
        <f>IF($D91="","",+Table2[[#This Row],[תועלת המענה]]-(SUM(Table2[[#This Row],[משאבי כ"א  לתפעול ]],Table2[[#This Row],[משאבי כ"א  להטמעה]],Table2[[#This Row],[הערכת עלות]],Table2[[#This Row],[זמן ההטמעה המשוער]])/4))</f>
        <v>0</v>
      </c>
      <c r="J91" s="75" t="str">
        <f>IF(Table2[[#This Row],[שקלול כדאיות מספרי]]="","", IF(I91&gt;=$L$2,"שלב א",IF(I91&lt;4,IF(I91&gt;=$M$2, "שלב ב","שלב ג"))))</f>
        <v>שלב ג</v>
      </c>
    </row>
    <row r="92" spans="1:10" ht="11.25" customHeight="1">
      <c r="A92" s="69" t="s">
        <v>1136</v>
      </c>
      <c r="B92" s="74" t="s">
        <v>1137</v>
      </c>
      <c r="C92" s="74" t="s">
        <v>1138</v>
      </c>
      <c r="D92" s="75">
        <v>3</v>
      </c>
      <c r="E92" s="75">
        <v>5</v>
      </c>
      <c r="F92" s="75">
        <v>1</v>
      </c>
      <c r="G92" s="75">
        <v>3</v>
      </c>
      <c r="H92" s="75">
        <v>2</v>
      </c>
      <c r="I92" s="75">
        <f>IF($D92="","",+Table2[[#This Row],[תועלת המענה]]-(SUM(Table2[[#This Row],[משאבי כ"א  לתפעול ]],Table2[[#This Row],[משאבי כ"א  להטמעה]],Table2[[#This Row],[הערכת עלות]],Table2[[#This Row],[זמן ההטמעה המשוער]])/4))</f>
        <v>0.25</v>
      </c>
      <c r="J92" s="75" t="str">
        <f>IF(Table2[[#This Row],[שקלול כדאיות מספרי]]="","", IF(I92&gt;=$L$2,"שלב א",IF(I92&lt;4,IF(I92&gt;=$M$2, "שלב ב","שלב ג"))))</f>
        <v>שלב ג</v>
      </c>
    </row>
    <row r="93" spans="1:10" ht="11.25" customHeight="1">
      <c r="A93" s="69" t="s">
        <v>1139</v>
      </c>
      <c r="B93" s="74" t="s">
        <v>1140</v>
      </c>
      <c r="C93" s="74" t="s">
        <v>1141</v>
      </c>
      <c r="D93" s="75">
        <v>3</v>
      </c>
      <c r="E93" s="75">
        <v>2</v>
      </c>
      <c r="F93" s="75">
        <v>3</v>
      </c>
      <c r="G93" s="75">
        <v>2</v>
      </c>
      <c r="H93" s="75">
        <v>1</v>
      </c>
      <c r="I93" s="75">
        <f>IF($D93="","",+Table2[[#This Row],[תועלת המענה]]-(SUM(Table2[[#This Row],[משאבי כ"א  לתפעול ]],Table2[[#This Row],[משאבי כ"א  להטמעה]],Table2[[#This Row],[הערכת עלות]],Table2[[#This Row],[זמן ההטמעה המשוער]])/4))</f>
        <v>1</v>
      </c>
      <c r="J93" s="75" t="str">
        <f>IF(Table2[[#This Row],[שקלול כדאיות מספרי]]="","", IF(I93&gt;=$L$2,"שלב א",IF(I93&lt;4,IF(I93&gt;=$M$2, "שלב ב","שלב ג"))))</f>
        <v>שלב ב</v>
      </c>
    </row>
    <row r="94" spans="1:10" ht="11.25" customHeight="1">
      <c r="A94" s="69" t="s">
        <v>1142</v>
      </c>
      <c r="B94" s="77" t="s">
        <v>1143</v>
      </c>
      <c r="C94" s="74" t="str">
        <f>Table2[[#This Row],[קיצור באנגלית]]</f>
        <v>SSL/TLS Interception</v>
      </c>
      <c r="D94" s="75">
        <v>4</v>
      </c>
      <c r="E94" s="75">
        <v>2</v>
      </c>
      <c r="F94" s="75">
        <v>2</v>
      </c>
      <c r="G94" s="75">
        <v>2</v>
      </c>
      <c r="H94" s="75">
        <v>1</v>
      </c>
      <c r="I94" s="75">
        <f>IF($D94="","",+Table2[[#This Row],[תועלת המענה]]-(SUM(Table2[[#This Row],[משאבי כ"א  לתפעול ]],Table2[[#This Row],[משאבי כ"א  להטמעה]],Table2[[#This Row],[הערכת עלות]],Table2[[#This Row],[זמן ההטמעה המשוער]])/4))</f>
        <v>2.25</v>
      </c>
      <c r="J94" s="75" t="str">
        <f>IF(Table2[[#This Row],[שקלול כדאיות מספרי]]="","", IF(I94&gt;=$L$2,"שלב א",IF(I94&lt;4,IF(I94&gt;=$M$2, "שלב ב","שלב ג"))))</f>
        <v>שלב א</v>
      </c>
    </row>
    <row r="95" spans="1:10" ht="11.25" customHeight="1">
      <c r="A95" s="69" t="s">
        <v>1144</v>
      </c>
      <c r="B95" s="77" t="s">
        <v>1145</v>
      </c>
      <c r="C95" s="74" t="s">
        <v>1146</v>
      </c>
      <c r="D95" s="75">
        <v>5</v>
      </c>
      <c r="E95" s="75">
        <v>2</v>
      </c>
      <c r="F95" s="75">
        <v>4</v>
      </c>
      <c r="G95" s="75">
        <v>3</v>
      </c>
      <c r="H95" s="75">
        <v>3</v>
      </c>
      <c r="I95" s="75">
        <f>IF($D95="","",+Table2[[#This Row],[תועלת המענה]]-(SUM(Table2[[#This Row],[משאבי כ"א  לתפעול ]],Table2[[#This Row],[משאבי כ"א  להטמעה]],Table2[[#This Row],[הערכת עלות]],Table2[[#This Row],[זמן ההטמעה המשוער]])/4))</f>
        <v>2</v>
      </c>
      <c r="J95" s="75" t="str">
        <f>IF(Table2[[#This Row],[שקלול כדאיות מספרי]]="","", IF(I95&gt;=$L$2,"שלב א",IF(I95&lt;4,IF(I95&gt;=$M$2, "שלב ב","שלב ג"))))</f>
        <v>שלב א</v>
      </c>
    </row>
    <row r="96" spans="1:10" ht="11.25" customHeight="1">
      <c r="A96" s="69" t="s">
        <v>1147</v>
      </c>
      <c r="B96" s="74" t="s">
        <v>1148</v>
      </c>
      <c r="C96" s="74" t="s">
        <v>1149</v>
      </c>
      <c r="D96" s="75">
        <v>5</v>
      </c>
      <c r="E96" s="75">
        <v>4</v>
      </c>
      <c r="F96" s="75">
        <v>1</v>
      </c>
      <c r="G96" s="75">
        <v>3</v>
      </c>
      <c r="H96" s="75">
        <v>1</v>
      </c>
      <c r="I96" s="75">
        <f>IF($D96="","",+Table2[[#This Row],[תועלת המענה]]-(SUM(Table2[[#This Row],[משאבי כ"א  לתפעול ]],Table2[[#This Row],[משאבי כ"א  להטמעה]],Table2[[#This Row],[הערכת עלות]],Table2[[#This Row],[זמן ההטמעה המשוער]])/4))</f>
        <v>2.75</v>
      </c>
      <c r="J96" s="75" t="str">
        <f>IF(Table2[[#This Row],[שקלול כדאיות מספרי]]="","", IF(I96&gt;=$L$2,"שלב א",IF(I96&lt;4,IF(I96&gt;=$M$2, "שלב ב","שלב ג"))))</f>
        <v>שלב א</v>
      </c>
    </row>
    <row r="97" spans="1:10" ht="11.25" customHeight="1">
      <c r="A97" s="69" t="s">
        <v>1150</v>
      </c>
      <c r="B97" s="77" t="s">
        <v>1151</v>
      </c>
      <c r="C97" s="74" t="str">
        <f>Table2[[#This Row],[קיצור באנגלית]]</f>
        <v>Secure File Transfer</v>
      </c>
      <c r="D97" s="75">
        <v>4</v>
      </c>
      <c r="E97" s="75">
        <v>3</v>
      </c>
      <c r="F97" s="75">
        <v>2</v>
      </c>
      <c r="G97" s="75">
        <v>3</v>
      </c>
      <c r="H97" s="75">
        <v>2</v>
      </c>
      <c r="I97" s="75">
        <f>IF($D97="","",+Table2[[#This Row],[תועלת המענה]]-(SUM(Table2[[#This Row],[משאבי כ"א  לתפעול ]],Table2[[#This Row],[משאבי כ"א  להטמעה]],Table2[[#This Row],[הערכת עלות]],Table2[[#This Row],[זמן ההטמעה המשוער]])/4))</f>
        <v>1.5</v>
      </c>
      <c r="J97" s="75" t="str">
        <f>IF(Table2[[#This Row],[שקלול כדאיות מספרי]]="","", IF(I97&gt;=$L$2,"שלב א",IF(I97&lt;4,IF(I97&gt;=$M$2, "שלב ב","שלב ג"))))</f>
        <v>שלב א</v>
      </c>
    </row>
    <row r="98" spans="1:10" ht="11.25" customHeight="1">
      <c r="A98" s="69" t="s">
        <v>1152</v>
      </c>
      <c r="B98" s="77" t="s">
        <v>1153</v>
      </c>
      <c r="C98" s="74" t="s">
        <v>1154</v>
      </c>
      <c r="D98" s="75">
        <v>4</v>
      </c>
      <c r="E98" s="75">
        <v>2</v>
      </c>
      <c r="F98" s="75">
        <v>2</v>
      </c>
      <c r="G98" s="75">
        <v>2</v>
      </c>
      <c r="H98" s="75">
        <v>1</v>
      </c>
      <c r="I98" s="75">
        <f>IF($D98="","",+Table2[[#This Row],[תועלת המענה]]-(SUM(Table2[[#This Row],[משאבי כ"א  לתפעול ]],Table2[[#This Row],[משאבי כ"א  להטמעה]],Table2[[#This Row],[הערכת עלות]],Table2[[#This Row],[זמן ההטמעה המשוער]])/4))</f>
        <v>2.25</v>
      </c>
      <c r="J98" s="75" t="str">
        <f>IF(Table2[[#This Row],[שקלול כדאיות מספרי]]="","", IF(I98&gt;=$L$2,"שלב א",IF(I98&lt;4,IF(I98&gt;=$M$2, "שלב ב","שלב ג"))))</f>
        <v>שלב א</v>
      </c>
    </row>
    <row r="99" spans="1:10" ht="11.25" customHeight="1">
      <c r="A99" s="69" t="s">
        <v>1155</v>
      </c>
      <c r="B99" s="77" t="s">
        <v>1156</v>
      </c>
      <c r="C99" s="74" t="str">
        <f>Table2[[#This Row],[קיצור באנגלית]]</f>
        <v>Hardening</v>
      </c>
      <c r="D99" s="75">
        <v>5</v>
      </c>
      <c r="E99" s="75">
        <v>5</v>
      </c>
      <c r="F99" s="75">
        <v>4</v>
      </c>
      <c r="G99" s="75">
        <v>3</v>
      </c>
      <c r="H99" s="75">
        <v>3</v>
      </c>
      <c r="I99" s="75">
        <f>IF($D99="","",+Table2[[#This Row],[תועלת המענה]]-(SUM(Table2[[#This Row],[משאבי כ"א  לתפעול ]],Table2[[#This Row],[משאבי כ"א  להטמעה]],Table2[[#This Row],[הערכת עלות]],Table2[[#This Row],[זמן ההטמעה המשוער]])/4))</f>
        <v>1.25</v>
      </c>
      <c r="J99" s="75" t="str">
        <f>IF(Table2[[#This Row],[שקלול כדאיות מספרי]]="","", IF(I99&gt;=$L$2,"שלב א",IF(I99&lt;4,IF(I99&gt;=$M$2, "שלב ב","שלב ג"))))</f>
        <v>שלב ב</v>
      </c>
    </row>
    <row r="100" spans="1:10" ht="11.25" customHeight="1">
      <c r="A100" s="70" t="s">
        <v>1157</v>
      </c>
      <c r="B100" s="71"/>
      <c r="C100" s="71"/>
      <c r="D100" s="72"/>
      <c r="E100" s="72"/>
      <c r="F100" s="72"/>
      <c r="G100" s="72"/>
      <c r="H100" s="72"/>
      <c r="I100" s="72" t="str">
        <f>IF($D100="","",+Table2[[#This Row],[תועלת המענה]]-(SUM(Table2[[#This Row],[משאבי כ"א  לתפעול ]],Table2[[#This Row],[משאבי כ"א  להטמעה]],Table2[[#This Row],[הערכת עלות]],Table2[[#This Row],[זמן ההטמעה המשוער]])/4))</f>
        <v/>
      </c>
      <c r="J100" s="72" t="str">
        <f>IF(Table2[[#This Row],[שקלול כדאיות מספרי]]="","", IF(I100&gt;=$L$2,"שלב א",IF(I100&lt;4,IF(I100&gt;=$M$2, "שלב ב","שלב ג"))))</f>
        <v/>
      </c>
    </row>
    <row r="101" spans="1:10" ht="11.25" customHeight="1">
      <c r="A101" s="69" t="s">
        <v>1158</v>
      </c>
      <c r="B101" s="74" t="s">
        <v>1159</v>
      </c>
      <c r="C101" s="74" t="s">
        <v>1160</v>
      </c>
      <c r="D101" s="75">
        <v>3</v>
      </c>
      <c r="E101" s="75">
        <v>5</v>
      </c>
      <c r="F101" s="75">
        <v>3</v>
      </c>
      <c r="G101" s="75">
        <v>4</v>
      </c>
      <c r="H101" s="75">
        <v>3</v>
      </c>
      <c r="I101" s="75">
        <f>IF($D101="","",+Table2[[#This Row],[תועלת המענה]]-(SUM(Table2[[#This Row],[משאבי כ"א  לתפעול ]],Table2[[#This Row],[משאבי כ"א  להטמעה]],Table2[[#This Row],[הערכת עלות]],Table2[[#This Row],[זמן ההטמעה המשוער]])/4))</f>
        <v>-0.75</v>
      </c>
      <c r="J101" s="75" t="str">
        <f>IF(Table2[[#This Row],[שקלול כדאיות מספרי]]="","", IF(I101&gt;=$L$2,"שלב א",IF(I101&lt;4,IF(I101&gt;=$M$2, "שלב ב","שלב ג"))))</f>
        <v>שלב ג</v>
      </c>
    </row>
    <row r="102" spans="1:10" ht="11.25" customHeight="1">
      <c r="A102" s="69" t="s">
        <v>1161</v>
      </c>
      <c r="B102" s="74" t="s">
        <v>1162</v>
      </c>
      <c r="C102" s="74" t="s">
        <v>1163</v>
      </c>
      <c r="D102" s="75">
        <v>3</v>
      </c>
      <c r="E102" s="75">
        <v>3</v>
      </c>
      <c r="F102" s="75">
        <v>2</v>
      </c>
      <c r="G102" s="75">
        <v>3</v>
      </c>
      <c r="H102" s="75">
        <v>5</v>
      </c>
      <c r="I102" s="75">
        <f>IF($D102="","",+Table2[[#This Row],[תועלת המענה]]-(SUM(Table2[[#This Row],[משאבי כ"א  לתפעול ]],Table2[[#This Row],[משאבי כ"א  להטמעה]],Table2[[#This Row],[הערכת עלות]],Table2[[#This Row],[זמן ההטמעה המשוער]])/4))</f>
        <v>-0.25</v>
      </c>
      <c r="J102" s="75" t="str">
        <f>IF(Table2[[#This Row],[שקלול כדאיות מספרי]]="","", IF(I102&gt;=$L$2,"שלב א",IF(I102&lt;4,IF(I102&gt;=$M$2, "שלב ב","שלב ג"))))</f>
        <v>שלב ג</v>
      </c>
    </row>
    <row r="103" spans="1:10" ht="11.25" customHeight="1">
      <c r="A103" s="69" t="s">
        <v>1164</v>
      </c>
      <c r="B103" s="74" t="s">
        <v>1165</v>
      </c>
      <c r="C103" s="74" t="s">
        <v>1166</v>
      </c>
      <c r="D103" s="75">
        <v>4</v>
      </c>
      <c r="E103" s="75">
        <v>4</v>
      </c>
      <c r="F103" s="75">
        <v>2</v>
      </c>
      <c r="G103" s="75">
        <v>3</v>
      </c>
      <c r="H103" s="75">
        <v>2</v>
      </c>
      <c r="I103" s="75">
        <f>IF($D103="","",+Table2[[#This Row],[תועלת המענה]]-(SUM(Table2[[#This Row],[משאבי כ"א  לתפעול ]],Table2[[#This Row],[משאבי כ"א  להטמעה]],Table2[[#This Row],[הערכת עלות]],Table2[[#This Row],[זמן ההטמעה המשוער]])/4))</f>
        <v>1.25</v>
      </c>
      <c r="J103" s="75" t="str">
        <f>IF(Table2[[#This Row],[שקלול כדאיות מספרי]]="","", IF(I103&gt;=$L$2,"שלב א",IF(I103&lt;4,IF(I103&gt;=$M$2, "שלב ב","שלב ג"))))</f>
        <v>שלב ב</v>
      </c>
    </row>
    <row r="104" spans="1:10" ht="11.25" customHeight="1">
      <c r="A104" s="69" t="s">
        <v>1167</v>
      </c>
      <c r="B104" s="74" t="s">
        <v>1168</v>
      </c>
      <c r="C104" s="74" t="s">
        <v>1169</v>
      </c>
      <c r="D104" s="75">
        <v>2</v>
      </c>
      <c r="E104" s="75">
        <v>1</v>
      </c>
      <c r="F104" s="75">
        <v>1</v>
      </c>
      <c r="G104" s="75">
        <v>1</v>
      </c>
      <c r="H104" s="75">
        <v>1</v>
      </c>
      <c r="I104" s="75">
        <f>IF($D104="","",+Table2[[#This Row],[תועלת המענה]]-(SUM(Table2[[#This Row],[משאבי כ"א  לתפעול ]],Table2[[#This Row],[משאבי כ"א  להטמעה]],Table2[[#This Row],[הערכת עלות]],Table2[[#This Row],[זמן ההטמעה המשוער]])/4))</f>
        <v>1</v>
      </c>
      <c r="J104" s="75" t="str">
        <f>IF(Table2[[#This Row],[שקלול כדאיות מספרי]]="","", IF(I104&gt;=$L$2,"שלב א",IF(I104&lt;4,IF(I104&gt;=$M$2, "שלב ב","שלב ג"))))</f>
        <v>שלב ב</v>
      </c>
    </row>
    <row r="105" spans="1:10" ht="11.25" customHeight="1">
      <c r="A105" s="69" t="s">
        <v>1170</v>
      </c>
      <c r="B105" s="74" t="s">
        <v>1171</v>
      </c>
      <c r="C105" s="74" t="s">
        <v>1172</v>
      </c>
      <c r="D105" s="75">
        <v>4</v>
      </c>
      <c r="E105" s="75">
        <v>4</v>
      </c>
      <c r="F105" s="75">
        <v>3</v>
      </c>
      <c r="G105" s="75">
        <v>3</v>
      </c>
      <c r="H105" s="75">
        <v>4</v>
      </c>
      <c r="I105" s="75">
        <f>IF($D105="","",+Table2[[#This Row],[תועלת המענה]]-(SUM(Table2[[#This Row],[משאבי כ"א  לתפעול ]],Table2[[#This Row],[משאבי כ"א  להטמעה]],Table2[[#This Row],[הערכת עלות]],Table2[[#This Row],[זמן ההטמעה המשוער]])/4))</f>
        <v>0.5</v>
      </c>
      <c r="J105" s="75" t="str">
        <f>IF(Table2[[#This Row],[שקלול כדאיות מספרי]]="","", IF(I105&gt;=$L$2,"שלב א",IF(I105&lt;4,IF(I105&gt;=$M$2, "שלב ב","שלב ג"))))</f>
        <v>שלב ב</v>
      </c>
    </row>
    <row r="106" spans="1:10" ht="11.25" customHeight="1">
      <c r="A106" s="69" t="s">
        <v>1173</v>
      </c>
      <c r="B106" s="74" t="s">
        <v>1174</v>
      </c>
      <c r="C106" s="74" t="str">
        <f>Table2[[#This Row],[קיצור באנגלית]]</f>
        <v>Messaging and Alerting System</v>
      </c>
      <c r="D106" s="75">
        <v>3</v>
      </c>
      <c r="E106" s="75">
        <v>2</v>
      </c>
      <c r="F106" s="75">
        <v>2</v>
      </c>
      <c r="G106" s="75">
        <v>2</v>
      </c>
      <c r="H106" s="75">
        <v>1</v>
      </c>
      <c r="I106" s="75">
        <f>IF($D106="","",+Table2[[#This Row],[תועלת המענה]]-(SUM(Table2[[#This Row],[משאבי כ"א  לתפעול ]],Table2[[#This Row],[משאבי כ"א  להטמעה]],Table2[[#This Row],[הערכת עלות]],Table2[[#This Row],[זמן ההטמעה המשוער]])/4))</f>
        <v>1.25</v>
      </c>
      <c r="J106" s="75" t="str">
        <f>IF(Table2[[#This Row],[שקלול כדאיות מספרי]]="","", IF(I106&gt;=$L$2,"שלב א",IF(I106&lt;4,IF(I106&gt;=$M$2, "שלב ב","שלב ג"))))</f>
        <v>שלב ב</v>
      </c>
    </row>
    <row r="107" spans="1:10" ht="11.25" customHeight="1">
      <c r="A107" s="69" t="s">
        <v>1175</v>
      </c>
      <c r="B107" s="77" t="s">
        <v>1176</v>
      </c>
      <c r="C107" s="74" t="str">
        <f>Table2[[#This Row],[קיצור באנגלית]]</f>
        <v>Threat Hunting System</v>
      </c>
      <c r="D107" s="75">
        <v>4</v>
      </c>
      <c r="E107" s="75">
        <v>5</v>
      </c>
      <c r="F107" s="75">
        <v>4</v>
      </c>
      <c r="G107" s="75">
        <v>3</v>
      </c>
      <c r="H107" s="75">
        <v>4</v>
      </c>
      <c r="I107" s="75">
        <f>IF($D107="","",+Table2[[#This Row],[תועלת המענה]]-(SUM(Table2[[#This Row],[משאבי כ"א  לתפעול ]],Table2[[#This Row],[משאבי כ"א  להטמעה]],Table2[[#This Row],[הערכת עלות]],Table2[[#This Row],[זמן ההטמעה המשוער]])/4))</f>
        <v>0</v>
      </c>
      <c r="J107" s="75" t="str">
        <f>IF(Table2[[#This Row],[שקלול כדאיות מספרי]]="","", IF(I107&gt;=$L$2,"שלב א",IF(I107&lt;4,IF(I107&gt;=$M$2, "שלב ב","שלב ג"))))</f>
        <v>שלב ג</v>
      </c>
    </row>
    <row r="108" spans="1:10" ht="11.25" customHeight="1">
      <c r="A108" s="69" t="s">
        <v>1177</v>
      </c>
      <c r="B108" s="74" t="s">
        <v>1178</v>
      </c>
      <c r="C108" s="74" t="str">
        <f>Table2[[#This Row],[קיצור באנגלית]]</f>
        <v>Enable Logs</v>
      </c>
      <c r="D108" s="75">
        <v>3</v>
      </c>
      <c r="E108" s="75">
        <v>3</v>
      </c>
      <c r="F108" s="75">
        <v>1</v>
      </c>
      <c r="G108" s="75">
        <v>2</v>
      </c>
      <c r="H108" s="75">
        <v>2</v>
      </c>
      <c r="I108" s="75">
        <f>IF($D108="","",+Table2[[#This Row],[תועלת המענה]]-(SUM(Table2[[#This Row],[משאבי כ"א  לתפעול ]],Table2[[#This Row],[משאבי כ"א  להטמעה]],Table2[[#This Row],[הערכת עלות]],Table2[[#This Row],[זמן ההטמעה המשוער]])/4))</f>
        <v>1</v>
      </c>
      <c r="J108" s="75" t="str">
        <f>IF(Table2[[#This Row],[שקלול כדאיות מספרי]]="","", IF(I108&gt;=$L$2,"שלב א",IF(I108&lt;4,IF(I108&gt;=$M$2, "שלב ב","שלב ג"))))</f>
        <v>שלב ב</v>
      </c>
    </row>
    <row r="109" spans="1:10" ht="11.25" customHeight="1">
      <c r="A109" s="69" t="s">
        <v>1179</v>
      </c>
      <c r="B109" s="77" t="s">
        <v>1180</v>
      </c>
      <c r="C109" s="74" t="str">
        <f>Table2[[#This Row],[קיצור באנגלית]]</f>
        <v>Security Dasboard</v>
      </c>
      <c r="D109" s="75">
        <v>3</v>
      </c>
      <c r="E109" s="75">
        <v>4</v>
      </c>
      <c r="F109" s="75">
        <v>1</v>
      </c>
      <c r="G109" s="75">
        <v>3</v>
      </c>
      <c r="H109" s="75">
        <v>2</v>
      </c>
      <c r="I109" s="75">
        <f>IF($D109="","",+Table2[[#This Row],[תועלת המענה]]-(SUM(Table2[[#This Row],[משאבי כ"א  לתפעול ]],Table2[[#This Row],[משאבי כ"א  להטמעה]],Table2[[#This Row],[הערכת עלות]],Table2[[#This Row],[זמן ההטמעה המשוער]])/4))</f>
        <v>0.5</v>
      </c>
      <c r="J109" s="75" t="str">
        <f>IF(Table2[[#This Row],[שקלול כדאיות מספרי]]="","", IF(I109&gt;=$L$2,"שלב א",IF(I109&lt;4,IF(I109&gt;=$M$2, "שלב ב","שלב ג"))))</f>
        <v>שלב ב</v>
      </c>
    </row>
    <row r="110" spans="1:10" ht="11.25" customHeight="1">
      <c r="A110" s="76" t="s">
        <v>1181</v>
      </c>
      <c r="B110" s="77" t="s">
        <v>1182</v>
      </c>
      <c r="C110" s="74" t="str">
        <f>Table2[[#This Row],[קיצור באנגלית]]</f>
        <v>Reliable Time Server</v>
      </c>
      <c r="D110" s="75">
        <v>3</v>
      </c>
      <c r="E110" s="75">
        <v>2</v>
      </c>
      <c r="F110" s="75">
        <v>1</v>
      </c>
      <c r="G110" s="75">
        <v>1</v>
      </c>
      <c r="H110" s="75">
        <v>1</v>
      </c>
      <c r="I110" s="75">
        <f>IF($D110="","",+Table2[[#This Row],[תועלת המענה]]-(SUM(Table2[[#This Row],[משאבי כ"א  לתפעול ]],Table2[[#This Row],[משאבי כ"א  להטמעה]],Table2[[#This Row],[הערכת עלות]],Table2[[#This Row],[זמן ההטמעה המשוער]])/4))</f>
        <v>1.75</v>
      </c>
      <c r="J110" s="75" t="str">
        <f>IF(Table2[[#This Row],[שקלול כדאיות מספרי]]="","", IF(I110&gt;=$L$2,"שלב א",IF(I110&lt;4,IF(I110&gt;=$M$2, "שלב ב","שלב ג"))))</f>
        <v>שלב א</v>
      </c>
    </row>
    <row r="111" spans="1:10" ht="11.25" customHeight="1">
      <c r="A111" s="70" t="s">
        <v>1183</v>
      </c>
      <c r="B111" s="71"/>
      <c r="C111" s="71"/>
      <c r="D111" s="72"/>
      <c r="E111" s="72"/>
      <c r="F111" s="72"/>
      <c r="G111" s="72"/>
      <c r="H111" s="72"/>
      <c r="I111" s="72" t="str">
        <f>IF($D111="","",+Table2[[#This Row],[תועלת המענה]]-(SUM(Table2[[#This Row],[משאבי כ"א  לתפעול ]],Table2[[#This Row],[משאבי כ"א  להטמעה]],Table2[[#This Row],[הערכת עלות]],Table2[[#This Row],[זמן ההטמעה המשוער]])/4))</f>
        <v/>
      </c>
      <c r="J111" s="72" t="str">
        <f>IF(Table2[[#This Row],[שקלול כדאיות מספרי]]="","", IF(I111&gt;=$L$2,"שלב א",IF(I111&lt;4,IF(I111&gt;=$M$2, "שלב ב","שלב ג"))))</f>
        <v/>
      </c>
    </row>
    <row r="112" spans="1:10" ht="11.25" customHeight="1">
      <c r="A112" s="69" t="s">
        <v>1184</v>
      </c>
      <c r="B112" s="74" t="s">
        <v>1185</v>
      </c>
      <c r="C112" s="74" t="s">
        <v>1186</v>
      </c>
      <c r="D112" s="75">
        <v>5</v>
      </c>
      <c r="E112" s="75">
        <v>5</v>
      </c>
      <c r="F112" s="75">
        <v>1</v>
      </c>
      <c r="G112" s="75">
        <v>3</v>
      </c>
      <c r="H112" s="75">
        <v>2</v>
      </c>
      <c r="I112" s="75">
        <f>IF($D112="","",+Table2[[#This Row],[תועלת המענה]]-(SUM(Table2[[#This Row],[משאבי כ"א  לתפעול ]],Table2[[#This Row],[משאבי כ"א  להטמעה]],Table2[[#This Row],[הערכת עלות]],Table2[[#This Row],[זמן ההטמעה המשוער]])/4))</f>
        <v>2.25</v>
      </c>
      <c r="J112" s="75" t="str">
        <f>IF(Table2[[#This Row],[שקלול כדאיות מספרי]]="","", IF(I112&gt;=$L$2,"שלב א",IF(I112&lt;4,IF(I112&gt;=$M$2, "שלב ב","שלב ג"))))</f>
        <v>שלב א</v>
      </c>
    </row>
    <row r="113" spans="1:10" ht="11.25" customHeight="1">
      <c r="A113" s="69" t="s">
        <v>1187</v>
      </c>
      <c r="B113" s="74" t="s">
        <v>1188</v>
      </c>
      <c r="C113" s="74" t="str">
        <f>Table2[[#This Row],[קיצור באנגלית]]</f>
        <v>Encryption At Rest</v>
      </c>
      <c r="D113" s="75">
        <v>3</v>
      </c>
      <c r="E113" s="75">
        <v>4</v>
      </c>
      <c r="F113" s="75">
        <v>4</v>
      </c>
      <c r="G113" s="75">
        <v>3</v>
      </c>
      <c r="H113" s="75">
        <v>2</v>
      </c>
      <c r="I113" s="75">
        <f>IF($D113="","",+Table2[[#This Row],[תועלת המענה]]-(SUM(Table2[[#This Row],[משאבי כ"א  לתפעול ]],Table2[[#This Row],[משאבי כ"א  להטמעה]],Table2[[#This Row],[הערכת עלות]],Table2[[#This Row],[זמן ההטמעה המשוער]])/4))</f>
        <v>-0.25</v>
      </c>
      <c r="J113" s="75" t="str">
        <f>IF(Table2[[#This Row],[שקלול כדאיות מספרי]]="","", IF(I113&gt;=$L$2,"שלב א",IF(I113&lt;4,IF(I113&gt;=$M$2, "שלב ב","שלב ג"))))</f>
        <v>שלב ג</v>
      </c>
    </row>
    <row r="114" spans="1:10" ht="11.25" customHeight="1">
      <c r="A114" s="69" t="s">
        <v>1189</v>
      </c>
      <c r="B114" s="74" t="s">
        <v>1190</v>
      </c>
      <c r="C114" s="74" t="str">
        <f>Table2[[#This Row],[קיצור באנגלית]]</f>
        <v>Encryption In Transit</v>
      </c>
      <c r="D114" s="75">
        <v>3</v>
      </c>
      <c r="E114" s="75">
        <v>3</v>
      </c>
      <c r="F114" s="75">
        <v>2</v>
      </c>
      <c r="G114" s="75">
        <v>2</v>
      </c>
      <c r="H114" s="75">
        <v>1</v>
      </c>
      <c r="I114" s="75">
        <f>IF($D114="","",+Table2[[#This Row],[תועלת המענה]]-(SUM(Table2[[#This Row],[משאבי כ"א  לתפעול ]],Table2[[#This Row],[משאבי כ"א  להטמעה]],Table2[[#This Row],[הערכת עלות]],Table2[[#This Row],[זמן ההטמעה המשוער]])/4))</f>
        <v>1</v>
      </c>
      <c r="J114" s="75" t="str">
        <f>IF(Table2[[#This Row],[שקלול כדאיות מספרי]]="","", IF(I114&gt;=$L$2,"שלב א",IF(I114&lt;4,IF(I114&gt;=$M$2, "שלב ב","שלב ג"))))</f>
        <v>שלב ב</v>
      </c>
    </row>
    <row r="115" spans="1:10" ht="11.25" customHeight="1">
      <c r="A115" s="69" t="s">
        <v>1191</v>
      </c>
      <c r="B115" s="74" t="s">
        <v>1192</v>
      </c>
      <c r="C115" s="74" t="str">
        <f>Table2[[#This Row],[קיצור באנגלית]]</f>
        <v>Encryption During Processing</v>
      </c>
      <c r="D115" s="75">
        <v>5</v>
      </c>
      <c r="E115" s="75">
        <v>4</v>
      </c>
      <c r="F115" s="75">
        <v>3</v>
      </c>
      <c r="G115" s="75">
        <v>2</v>
      </c>
      <c r="H115" s="75">
        <v>2</v>
      </c>
      <c r="I115" s="75">
        <f>IF($D115="","",+Table2[[#This Row],[תועלת המענה]]-(SUM(Table2[[#This Row],[משאבי כ"א  לתפעול ]],Table2[[#This Row],[משאבי כ"א  להטמעה]],Table2[[#This Row],[הערכת עלות]],Table2[[#This Row],[זמן ההטמעה המשוער]])/4))</f>
        <v>2.25</v>
      </c>
      <c r="J115" s="75" t="str">
        <f>IF(Table2[[#This Row],[שקלול כדאיות מספרי]]="","", IF(I115&gt;=$L$2,"שלב א",IF(I115&lt;4,IF(I115&gt;=$M$2, "שלב ב","שלב ג"))))</f>
        <v>שלב א</v>
      </c>
    </row>
    <row r="116" spans="1:10" ht="11.25" customHeight="1">
      <c r="A116" s="69" t="s">
        <v>1193</v>
      </c>
      <c r="B116" s="74" t="s">
        <v>1194</v>
      </c>
      <c r="C116" s="74" t="s">
        <v>1195</v>
      </c>
      <c r="D116" s="75">
        <v>3</v>
      </c>
      <c r="E116" s="75">
        <v>5</v>
      </c>
      <c r="F116" s="75">
        <v>1</v>
      </c>
      <c r="G116" s="75">
        <v>3</v>
      </c>
      <c r="H116" s="75">
        <v>4</v>
      </c>
      <c r="I116" s="75">
        <f>IF($D116="","",+Table2[[#This Row],[תועלת המענה]]-(SUM(Table2[[#This Row],[משאבי כ"א  לתפעול ]],Table2[[#This Row],[משאבי כ"א  להטמעה]],Table2[[#This Row],[הערכת עלות]],Table2[[#This Row],[זמן ההטמעה המשוער]])/4))</f>
        <v>-0.25</v>
      </c>
      <c r="J116" s="75" t="str">
        <f>IF(Table2[[#This Row],[שקלול כדאיות מספרי]]="","", IF(I116&gt;=$L$2,"שלב א",IF(I116&lt;4,IF(I116&gt;=$M$2, "שלב ב","שלב ג"))))</f>
        <v>שלב ג</v>
      </c>
    </row>
    <row r="117" spans="1:10" ht="11.25" customHeight="1">
      <c r="A117" s="70" t="s">
        <v>1196</v>
      </c>
      <c r="B117" s="71"/>
      <c r="C117" s="71"/>
      <c r="D117" s="72"/>
      <c r="E117" s="72"/>
      <c r="F117" s="72"/>
      <c r="G117" s="72"/>
      <c r="H117" s="72"/>
      <c r="I117" s="72" t="str">
        <f>IF($D117="","",+Table2[[#This Row],[תועלת המענה]]-(SUM(Table2[[#This Row],[משאבי כ"א  לתפעול ]],Table2[[#This Row],[משאבי כ"א  להטמעה]],Table2[[#This Row],[הערכת עלות]],Table2[[#This Row],[זמן ההטמעה המשוער]])/4))</f>
        <v/>
      </c>
      <c r="J117" s="72" t="str">
        <f>IF(Table2[[#This Row],[שקלול כדאיות מספרי]]="","", IF(I117&gt;=$L$2,"שלב א",IF(I117&lt;4,IF(I117&gt;=$M$2, "שלב ב","שלב ג"))))</f>
        <v/>
      </c>
    </row>
    <row r="118" spans="1:10" ht="11.25" customHeight="1">
      <c r="A118" s="69" t="s">
        <v>1197</v>
      </c>
      <c r="B118" s="77" t="s">
        <v>1198</v>
      </c>
      <c r="C118" s="74" t="str">
        <f>Table2[[#This Row],[קיצור באנגלית]]</f>
        <v>Zones Classification</v>
      </c>
      <c r="D118" s="75">
        <v>5</v>
      </c>
      <c r="E118" s="75">
        <v>3</v>
      </c>
      <c r="F118" s="75">
        <v>3</v>
      </c>
      <c r="G118" s="75">
        <v>4</v>
      </c>
      <c r="H118" s="75">
        <v>1</v>
      </c>
      <c r="I118" s="75">
        <f>IF($D118="","",+Table2[[#This Row],[תועלת המענה]]-(SUM(Table2[[#This Row],[משאבי כ"א  לתפעול ]],Table2[[#This Row],[משאבי כ"א  להטמעה]],Table2[[#This Row],[הערכת עלות]],Table2[[#This Row],[זמן ההטמעה המשוער]])/4))</f>
        <v>2.25</v>
      </c>
      <c r="J118" s="75" t="str">
        <f>IF(Table2[[#This Row],[שקלול כדאיות מספרי]]="","", IF(I118&gt;=$L$2,"שלב א",IF(I118&lt;4,IF(I118&gt;=$M$2, "שלב ב","שלב ג"))))</f>
        <v>שלב א</v>
      </c>
    </row>
    <row r="119" spans="1:10" ht="11.25" customHeight="1">
      <c r="A119" s="69" t="s">
        <v>1199</v>
      </c>
      <c r="B119" s="77" t="s">
        <v>1200</v>
      </c>
      <c r="C119" s="74" t="str">
        <f>Table2[[#This Row],[קיצור באנגלית]]</f>
        <v>Digital ID Card</v>
      </c>
      <c r="D119" s="75">
        <v>4</v>
      </c>
      <c r="E119" s="75">
        <v>3</v>
      </c>
      <c r="F119" s="75">
        <v>1</v>
      </c>
      <c r="G119" s="75">
        <v>2</v>
      </c>
      <c r="H119" s="75">
        <v>1</v>
      </c>
      <c r="I119" s="75">
        <f>IF($D119="","",+Table2[[#This Row],[תועלת המענה]]-(SUM(Table2[[#This Row],[משאבי כ"א  לתפעול ]],Table2[[#This Row],[משאבי כ"א  להטמעה]],Table2[[#This Row],[הערכת עלות]],Table2[[#This Row],[זמן ההטמעה המשוער]])/4))</f>
        <v>2.25</v>
      </c>
      <c r="J119" s="75" t="str">
        <f>IF(Table2[[#This Row],[שקלול כדאיות מספרי]]="","", IF(I119&gt;=$L$2,"שלב א",IF(I119&lt;4,IF(I119&gt;=$M$2, "שלב ב","שלב ג"))))</f>
        <v>שלב א</v>
      </c>
    </row>
    <row r="120" spans="1:10" ht="11.25" customHeight="1">
      <c r="A120" s="69" t="s">
        <v>1201</v>
      </c>
      <c r="B120" s="77" t="s">
        <v>1202</v>
      </c>
      <c r="C120" s="74" t="str">
        <f>Table2[[#This Row],[קיצור באנגלית]]</f>
        <v>Security Guard</v>
      </c>
      <c r="D120" s="75">
        <v>5</v>
      </c>
      <c r="E120" s="75">
        <v>1</v>
      </c>
      <c r="F120" s="75">
        <v>5</v>
      </c>
      <c r="G120" s="75">
        <v>1</v>
      </c>
      <c r="H120" s="75">
        <v>5</v>
      </c>
      <c r="I120" s="75">
        <f>IF($D120="","",+Table2[[#This Row],[תועלת המענה]]-(SUM(Table2[[#This Row],[משאבי כ"א  לתפעול ]],Table2[[#This Row],[משאבי כ"א  להטמעה]],Table2[[#This Row],[הערכת עלות]],Table2[[#This Row],[זמן ההטמעה המשוער]])/4))</f>
        <v>2</v>
      </c>
      <c r="J120" s="75" t="str">
        <f>IF(Table2[[#This Row],[שקלול כדאיות מספרי]]="","", IF(I120&gt;=$L$2,"שלב א",IF(I120&lt;4,IF(I120&gt;=$M$2, "שלב ב","שלב ג"))))</f>
        <v>שלב א</v>
      </c>
    </row>
    <row r="121" spans="1:10" ht="11.25" customHeight="1">
      <c r="A121" s="69" t="s">
        <v>1203</v>
      </c>
      <c r="B121" s="77" t="s">
        <v>1204</v>
      </c>
      <c r="C121" s="74" t="str">
        <f>Table2[[#This Row],[קיצור באנגלית]]</f>
        <v>Fire Detection and Extinguishing Systems</v>
      </c>
      <c r="D121" s="75">
        <v>5</v>
      </c>
      <c r="E121" s="75">
        <v>2</v>
      </c>
      <c r="F121" s="75">
        <v>4</v>
      </c>
      <c r="G121" s="75">
        <v>2</v>
      </c>
      <c r="H121" s="75">
        <v>1</v>
      </c>
      <c r="I121" s="75">
        <f>IF($D121="","",+Table2[[#This Row],[תועלת המענה]]-(SUM(Table2[[#This Row],[משאבי כ"א  לתפעול ]],Table2[[#This Row],[משאבי כ"א  להטמעה]],Table2[[#This Row],[הערכת עלות]],Table2[[#This Row],[זמן ההטמעה המשוער]])/4))</f>
        <v>2.75</v>
      </c>
      <c r="J121" s="75" t="str">
        <f>IF(Table2[[#This Row],[שקלול כדאיות מספרי]]="","", IF(I121&gt;=$L$2,"שלב א",IF(I121&lt;4,IF(I121&gt;=$M$2, "שלב ב","שלב ג"))))</f>
        <v>שלב א</v>
      </c>
    </row>
    <row r="122" spans="1:10" ht="11.25" customHeight="1">
      <c r="A122" s="69" t="s">
        <v>1205</v>
      </c>
      <c r="B122" s="77" t="s">
        <v>1206</v>
      </c>
      <c r="C122" s="74" t="str">
        <f>Table2[[#This Row],[קיצור באנגלית]]</f>
        <v>Monitoring and Control</v>
      </c>
      <c r="D122" s="75">
        <v>3</v>
      </c>
      <c r="E122" s="75">
        <v>5</v>
      </c>
      <c r="F122" s="75">
        <v>3</v>
      </c>
      <c r="G122" s="75">
        <v>4</v>
      </c>
      <c r="H122" s="75">
        <v>3</v>
      </c>
      <c r="I122" s="75">
        <f>IF($D122="","",+Table2[[#This Row],[תועלת המענה]]-(SUM(Table2[[#This Row],[משאבי כ"א  לתפעול ]],Table2[[#This Row],[משאבי כ"א  להטמעה]],Table2[[#This Row],[הערכת עלות]],Table2[[#This Row],[זמן ההטמעה המשוער]])/4))</f>
        <v>-0.75</v>
      </c>
      <c r="J122" s="75" t="str">
        <f>IF(Table2[[#This Row],[שקלול כדאיות מספרי]]="","", IF(I122&gt;=$L$2,"שלב א",IF(I122&lt;4,IF(I122&gt;=$M$2, "שלב ב","שלב ג"))))</f>
        <v>שלב ג</v>
      </c>
    </row>
    <row r="123" spans="1:10" ht="11.25" customHeight="1">
      <c r="A123" s="69" t="s">
        <v>1207</v>
      </c>
      <c r="B123" s="77" t="s">
        <v>1208</v>
      </c>
      <c r="C123" s="74" t="str">
        <f>Table2[[#This Row],[קיצור באנגלית]]</f>
        <v>Alarm Systems</v>
      </c>
      <c r="D123" s="75">
        <v>5</v>
      </c>
      <c r="E123" s="75">
        <v>2</v>
      </c>
      <c r="F123" s="75">
        <v>1</v>
      </c>
      <c r="G123" s="75">
        <v>1</v>
      </c>
      <c r="H123" s="75">
        <v>1</v>
      </c>
      <c r="I123" s="75">
        <f>IF($D123="","",+Table2[[#This Row],[תועלת המענה]]-(SUM(Table2[[#This Row],[משאבי כ"א  לתפעול ]],Table2[[#This Row],[משאבי כ"א  להטמעה]],Table2[[#This Row],[הערכת עלות]],Table2[[#This Row],[זמן ההטמעה המשוער]])/4))</f>
        <v>3.75</v>
      </c>
      <c r="J123" s="75" t="str">
        <f>IF(Table2[[#This Row],[שקלול כדאיות מספרי]]="","", IF(I123&gt;=$L$2,"שלב א",IF(I123&lt;4,IF(I123&gt;=$M$2, "שלב ב","שלב ג"))))</f>
        <v>שלב א</v>
      </c>
    </row>
    <row r="124" spans="1:10" ht="11.25" customHeight="1">
      <c r="A124" s="69" t="s">
        <v>1209</v>
      </c>
      <c r="B124" s="77" t="s">
        <v>1210</v>
      </c>
      <c r="C124" s="74" t="str">
        <f>Table2[[#This Row],[קיצור באנגלית]]</f>
        <v>Surveillance Cameras</v>
      </c>
      <c r="D124" s="75">
        <v>4</v>
      </c>
      <c r="E124" s="75">
        <v>3</v>
      </c>
      <c r="F124" s="75">
        <v>3</v>
      </c>
      <c r="G124" s="75">
        <v>3</v>
      </c>
      <c r="H124" s="75">
        <v>2</v>
      </c>
      <c r="I124" s="75">
        <f>IF($D124="","",+Table2[[#This Row],[תועלת המענה]]-(SUM(Table2[[#This Row],[משאבי כ"א  לתפעול ]],Table2[[#This Row],[משאבי כ"א  להטמעה]],Table2[[#This Row],[הערכת עלות]],Table2[[#This Row],[זמן ההטמעה המשוער]])/4))</f>
        <v>1.25</v>
      </c>
      <c r="J124" s="75" t="str">
        <f>IF(Table2[[#This Row],[שקלול כדאיות מספרי]]="","", IF(I124&gt;=$L$2,"שלב א",IF(I124&lt;4,IF(I124&gt;=$M$2, "שלב ב","שלב ג"))))</f>
        <v>שלב ב</v>
      </c>
    </row>
    <row r="125" spans="1:10" ht="11.25" customHeight="1">
      <c r="A125" s="69" t="s">
        <v>1211</v>
      </c>
      <c r="B125" s="77" t="s">
        <v>1212</v>
      </c>
      <c r="C125" s="74" t="str">
        <f>Table2[[#This Row],[קיצור באנגלית]]</f>
        <v>Records Storage</v>
      </c>
      <c r="D125" s="75">
        <v>4</v>
      </c>
      <c r="E125" s="75">
        <v>3</v>
      </c>
      <c r="F125" s="75">
        <v>2</v>
      </c>
      <c r="G125" s="75">
        <v>2</v>
      </c>
      <c r="H125" s="75">
        <v>2</v>
      </c>
      <c r="I125" s="75">
        <f>IF($D125="","",+Table2[[#This Row],[תועלת המענה]]-(SUM(Table2[[#This Row],[משאבי כ"א  לתפעול ]],Table2[[#This Row],[משאבי כ"א  להטמעה]],Table2[[#This Row],[הערכת עלות]],Table2[[#This Row],[זמן ההטמעה המשוער]])/4))</f>
        <v>1.75</v>
      </c>
      <c r="J125" s="75" t="str">
        <f>IF(Table2[[#This Row],[שקלול כדאיות מספרי]]="","", IF(I125&gt;=$L$2,"שלב א",IF(I125&lt;4,IF(I125&gt;=$M$2, "שלב ב","שלב ג"))))</f>
        <v>שלב א</v>
      </c>
    </row>
    <row r="126" spans="1:10" ht="11.25" customHeight="1">
      <c r="A126" s="69" t="s">
        <v>1213</v>
      </c>
      <c r="B126" s="77" t="s">
        <v>1214</v>
      </c>
      <c r="C126" s="74" t="str">
        <f>Table2[[#This Row],[קיצור באנגלית]]</f>
        <v>Clear Desk &amp; Clear Screen Policy</v>
      </c>
      <c r="D126" s="75">
        <v>3</v>
      </c>
      <c r="E126" s="75">
        <v>3</v>
      </c>
      <c r="F126" s="75">
        <v>2</v>
      </c>
      <c r="G126" s="75">
        <v>1</v>
      </c>
      <c r="H126" s="75">
        <v>1</v>
      </c>
      <c r="I126" s="75">
        <f>IF($D126="","",+Table2[[#This Row],[תועלת המענה]]-(SUM(Table2[[#This Row],[משאבי כ"א  לתפעול ]],Table2[[#This Row],[משאבי כ"א  להטמעה]],Table2[[#This Row],[הערכת עלות]],Table2[[#This Row],[זמן ההטמעה המשוער]])/4))</f>
        <v>1.25</v>
      </c>
      <c r="J126" s="75" t="str">
        <f>IF(Table2[[#This Row],[שקלול כדאיות מספרי]]="","", IF(I126&gt;=$L$2,"שלב א",IF(I126&lt;4,IF(I126&gt;=$M$2, "שלב ב","שלב ג"))))</f>
        <v>שלב ב</v>
      </c>
    </row>
    <row r="127" spans="1:10" ht="11.25" customHeight="1">
      <c r="A127" s="69" t="s">
        <v>1215</v>
      </c>
      <c r="B127" s="77" t="s">
        <v>1216</v>
      </c>
      <c r="C127" s="74" t="str">
        <f>Table2[[#This Row],[קיצור באנגלית]]</f>
        <v>UPS System</v>
      </c>
      <c r="D127" s="75">
        <v>4</v>
      </c>
      <c r="E127" s="75">
        <v>2</v>
      </c>
      <c r="F127" s="75">
        <v>4</v>
      </c>
      <c r="G127" s="75">
        <v>2</v>
      </c>
      <c r="H127" s="75">
        <v>1</v>
      </c>
      <c r="I127" s="75">
        <f>IF($D127="","",+Table2[[#This Row],[תועלת המענה]]-(SUM(Table2[[#This Row],[משאבי כ"א  לתפעול ]],Table2[[#This Row],[משאבי כ"א  להטמעה]],Table2[[#This Row],[הערכת עלות]],Table2[[#This Row],[זמן ההטמעה המשוער]])/4))</f>
        <v>1.75</v>
      </c>
      <c r="J127" s="75" t="str">
        <f>IF(Table2[[#This Row],[שקלול כדאיות מספרי]]="","", IF(I127&gt;=$L$2,"שלב א",IF(I127&lt;4,IF(I127&gt;=$M$2, "שלב ב","שלב ג"))))</f>
        <v>שלב א</v>
      </c>
    </row>
    <row r="128" spans="1:10" ht="11.25" customHeight="1">
      <c r="A128" s="69" t="s">
        <v>1217</v>
      </c>
      <c r="B128" s="77" t="s">
        <v>1218</v>
      </c>
      <c r="C128" s="74" t="str">
        <f>Table2[[#This Row],[קיצור באנגלית]]</f>
        <v>Redundant Power Lines</v>
      </c>
      <c r="D128" s="75">
        <v>3</v>
      </c>
      <c r="E128" s="75">
        <v>2</v>
      </c>
      <c r="F128" s="75">
        <v>4</v>
      </c>
      <c r="G128" s="75">
        <v>2</v>
      </c>
      <c r="H128" s="75">
        <v>1</v>
      </c>
      <c r="I128" s="75">
        <f>IF($D128="","",+Table2[[#This Row],[תועלת המענה]]-(SUM(Table2[[#This Row],[משאבי כ"א  לתפעול ]],Table2[[#This Row],[משאבי כ"א  להטמעה]],Table2[[#This Row],[הערכת עלות]],Table2[[#This Row],[זמן ההטמעה המשוער]])/4))</f>
        <v>0.75</v>
      </c>
      <c r="J128" s="75" t="str">
        <f>IF(Table2[[#This Row],[שקלול כדאיות מספרי]]="","", IF(I128&gt;=$L$2,"שלב א",IF(I128&lt;4,IF(I128&gt;=$M$2, "שלב ב","שלב ג"))))</f>
        <v>שלב ב</v>
      </c>
    </row>
    <row r="129" spans="1:10" ht="11.25" customHeight="1">
      <c r="A129" s="69" t="s">
        <v>1219</v>
      </c>
      <c r="B129" s="77" t="s">
        <v>1220</v>
      </c>
      <c r="C129" s="74" t="str">
        <f>Table2[[#This Row],[קיצור באנגלית]]</f>
        <v>Disaster Recovery Site</v>
      </c>
      <c r="D129" s="75">
        <v>5</v>
      </c>
      <c r="E129" s="75">
        <v>5</v>
      </c>
      <c r="F129" s="75">
        <v>5</v>
      </c>
      <c r="G129" s="75">
        <v>5</v>
      </c>
      <c r="H129" s="75">
        <v>5</v>
      </c>
      <c r="I129" s="75">
        <f>IF($D129="","",+Table2[[#This Row],[תועלת המענה]]-(SUM(Table2[[#This Row],[משאבי כ"א  לתפעול ]],Table2[[#This Row],[משאבי כ"א  להטמעה]],Table2[[#This Row],[הערכת עלות]],Table2[[#This Row],[זמן ההטמעה המשוער]])/4))</f>
        <v>0</v>
      </c>
      <c r="J129" s="75" t="str">
        <f>IF(Table2[[#This Row],[שקלול כדאיות מספרי]]="","", IF(I129&gt;=$L$2,"שלב א",IF(I129&lt;4,IF(I129&gt;=$M$2, "שלב ב","שלב ג"))))</f>
        <v>שלב ג</v>
      </c>
    </row>
    <row r="130" spans="1:10" ht="11.25" customHeight="1">
      <c r="A130" s="76" t="s">
        <v>1221</v>
      </c>
      <c r="B130" s="77" t="s">
        <v>1222</v>
      </c>
      <c r="C130" s="74" t="str">
        <f>Table2[[#This Row],[קיצור באנגלית]]</f>
        <v>Equipment shredding</v>
      </c>
      <c r="D130" s="75">
        <v>3</v>
      </c>
      <c r="E130" s="75">
        <v>2</v>
      </c>
      <c r="F130" s="75">
        <v>2</v>
      </c>
      <c r="G130" s="75">
        <v>1</v>
      </c>
      <c r="H130" s="75">
        <v>1</v>
      </c>
      <c r="I130" s="75">
        <f>IF($D130="","",+Table2[[#This Row],[תועלת המענה]]-(SUM(Table2[[#This Row],[משאבי כ"א  לתפעול ]],Table2[[#This Row],[משאבי כ"א  להטמעה]],Table2[[#This Row],[הערכת עלות]],Table2[[#This Row],[זמן ההטמעה המשוער]])/4))</f>
        <v>1.5</v>
      </c>
      <c r="J130" s="75" t="str">
        <f>IF(Table2[[#This Row],[שקלול כדאיות מספרי]]="","", IF(I130&gt;=$L$2,"שלב א",IF(I130&lt;4,IF(I130&gt;=$M$2, "שלב ב","שלב ג"))))</f>
        <v>שלב א</v>
      </c>
    </row>
    <row r="131" spans="1:10" ht="11.25" customHeight="1">
      <c r="A131" s="76" t="s">
        <v>1223</v>
      </c>
      <c r="B131" s="77" t="s">
        <v>1224</v>
      </c>
      <c r="C131" s="74" t="str">
        <f>Table2[[#This Row],[קיצור באנגלית]]</f>
        <v>Paper shreding</v>
      </c>
      <c r="D131" s="75">
        <v>4</v>
      </c>
      <c r="E131" s="75">
        <v>2</v>
      </c>
      <c r="F131" s="75">
        <v>2</v>
      </c>
      <c r="G131" s="75">
        <v>2</v>
      </c>
      <c r="H131" s="75">
        <v>2</v>
      </c>
      <c r="I131" s="75">
        <f>IF($D131="","",+Table2[[#This Row],[תועלת המענה]]-(SUM(Table2[[#This Row],[משאבי כ"א  לתפעול ]],Table2[[#This Row],[משאבי כ"א  להטמעה]],Table2[[#This Row],[הערכת עלות]],Table2[[#This Row],[זמן ההטמעה המשוער]])/4))</f>
        <v>2</v>
      </c>
      <c r="J131" s="75" t="str">
        <f>IF(Table2[[#This Row],[שקלול כדאיות מספרי]]="","", IF(I131&gt;=$L$2,"שלב א",IF(I131&lt;4,IF(I131&gt;=$M$2, "שלב ב","שלב ג"))))</f>
        <v>שלב א</v>
      </c>
    </row>
    <row r="132" spans="1:10" ht="11.25" customHeight="1">
      <c r="A132" s="69" t="s">
        <v>1225</v>
      </c>
      <c r="B132" s="74" t="s">
        <v>1226</v>
      </c>
      <c r="C132" s="74" t="s">
        <v>1227</v>
      </c>
      <c r="D132" s="75">
        <v>4</v>
      </c>
      <c r="E132" s="75">
        <v>3</v>
      </c>
      <c r="F132" s="75">
        <v>2</v>
      </c>
      <c r="G132" s="75">
        <v>2</v>
      </c>
      <c r="H132" s="75">
        <v>1</v>
      </c>
      <c r="I132" s="75">
        <f>IF($D132="","",+Table2[[#This Row],[תועלת המענה]]-(SUM(Table2[[#This Row],[משאבי כ"א  לתפעול ]],Table2[[#This Row],[משאבי כ"א  להטמעה]],Table2[[#This Row],[הערכת עלות]],Table2[[#This Row],[זמן ההטמעה המשוער]])/4))</f>
        <v>2</v>
      </c>
      <c r="J132" s="75" t="str">
        <f>IF(Table2[[#This Row],[שקלול כדאיות מספרי]]="","", IF(I132&gt;=$L$2,"שלב א",IF(I132&lt;4,IF(I132&gt;=$M$2, "שלב ב","שלב ג"))))</f>
        <v>שלב א</v>
      </c>
    </row>
    <row r="133" spans="1:10" ht="11.25" customHeight="1">
      <c r="A133" s="70" t="s">
        <v>1228</v>
      </c>
      <c r="B133" s="71"/>
      <c r="C133" s="71"/>
      <c r="D133" s="72"/>
      <c r="E133" s="72"/>
      <c r="F133" s="72"/>
      <c r="G133" s="72"/>
      <c r="H133" s="72"/>
      <c r="I133" s="72" t="str">
        <f>IF($D133="","",+Table2[[#This Row],[תועלת המענה]]-(SUM(Table2[[#This Row],[משאבי כ"א  לתפעול ]],Table2[[#This Row],[משאבי כ"א  להטמעה]],Table2[[#This Row],[הערכת עלות]],Table2[[#This Row],[זמן ההטמעה המשוער]])/4))</f>
        <v/>
      </c>
      <c r="J133" s="72" t="str">
        <f>IF(Table2[[#This Row],[שקלול כדאיות מספרי]]="","", IF(I133&gt;=$L$2,"שלב א",IF(I133&lt;4,IF(I133&gt;=$M$2, "שלב ב","שלב ג"))))</f>
        <v/>
      </c>
    </row>
    <row r="134" spans="1:10" ht="11.25" customHeight="1">
      <c r="A134" s="69" t="s">
        <v>1229</v>
      </c>
      <c r="B134" s="77" t="s">
        <v>1230</v>
      </c>
      <c r="C134" s="74" t="s">
        <v>1231</v>
      </c>
      <c r="D134" s="75">
        <v>4</v>
      </c>
      <c r="E134" s="75">
        <v>3</v>
      </c>
      <c r="F134" s="75">
        <v>4</v>
      </c>
      <c r="G134" s="75">
        <v>2</v>
      </c>
      <c r="H134" s="75">
        <v>3</v>
      </c>
      <c r="I134" s="75">
        <f>IF($D134="","",+Table2[[#This Row],[תועלת המענה]]-(SUM(Table2[[#This Row],[משאבי כ"א  לתפעול ]],Table2[[#This Row],[משאבי כ"א  להטמעה]],Table2[[#This Row],[הערכת עלות]],Table2[[#This Row],[זמן ההטמעה המשוער]])/4))</f>
        <v>1</v>
      </c>
      <c r="J134" s="75" t="str">
        <f>IF(Table2[[#This Row],[שקלול כדאיות מספרי]]="","", IF(I134&gt;=$L$2,"שלב א",IF(I134&lt;4,IF(I134&gt;=$M$2, "שלב ב","שלב ג"))))</f>
        <v>שלב ב</v>
      </c>
    </row>
    <row r="135" spans="1:10" ht="11.25" customHeight="1">
      <c r="A135" s="69" t="s">
        <v>1232</v>
      </c>
      <c r="B135" s="77" t="s">
        <v>1233</v>
      </c>
      <c r="C135" s="77" t="s">
        <v>1234</v>
      </c>
      <c r="D135" s="75">
        <v>4</v>
      </c>
      <c r="E135" s="75">
        <v>2</v>
      </c>
      <c r="F135" s="75">
        <v>2</v>
      </c>
      <c r="G135" s="75">
        <v>2</v>
      </c>
      <c r="H135" s="75">
        <v>2</v>
      </c>
      <c r="I135" s="75">
        <f>IF($D135="","",+Table2[[#This Row],[תועלת המענה]]-(SUM(Table2[[#This Row],[משאבי כ"א  לתפעול ]],Table2[[#This Row],[משאבי כ"א  להטמעה]],Table2[[#This Row],[הערכת עלות]],Table2[[#This Row],[זמן ההטמעה המשוער]])/4))</f>
        <v>2</v>
      </c>
      <c r="J135" s="75" t="str">
        <f>IF(Table2[[#This Row],[שקלול כדאיות מספרי]]="","", IF(I135&gt;=$L$2,"שלב א",IF(I135&lt;4,IF(I135&gt;=$M$2, "שלב ב","שלב ג"))))</f>
        <v>שלב א</v>
      </c>
    </row>
    <row r="136" spans="1:10" ht="11.25" customHeight="1">
      <c r="A136" s="69" t="s">
        <v>1235</v>
      </c>
      <c r="B136" s="77" t="s">
        <v>1236</v>
      </c>
      <c r="C136" s="77" t="str">
        <f>Table2[[#This Row],[קיצור באנגלית]]</f>
        <v>Remote Access Compliance/Hygiene</v>
      </c>
      <c r="D136" s="75">
        <v>4</v>
      </c>
      <c r="E136" s="75">
        <v>2</v>
      </c>
      <c r="F136" s="75">
        <v>2</v>
      </c>
      <c r="G136" s="75">
        <v>2</v>
      </c>
      <c r="H136" s="75">
        <v>2</v>
      </c>
      <c r="I136" s="75">
        <f>IF($D136="","",+Table2[[#This Row],[תועלת המענה]]-(SUM(Table2[[#This Row],[משאבי כ"א  לתפעול ]],Table2[[#This Row],[משאבי כ"א  להטמעה]],Table2[[#This Row],[הערכת עלות]],Table2[[#This Row],[זמן ההטמעה המשוער]])/4))</f>
        <v>2</v>
      </c>
      <c r="J136" s="75" t="str">
        <f>IF(Table2[[#This Row],[שקלול כדאיות מספרי]]="","", IF(I136&gt;=$L$2,"שלב א",IF(I136&lt;4,IF(I136&gt;=$M$2, "שלב ב","שלב ג"))))</f>
        <v>שלב א</v>
      </c>
    </row>
    <row r="137" spans="1:10" ht="11.25" customHeight="1">
      <c r="A137" s="70" t="s">
        <v>1237</v>
      </c>
      <c r="B137" s="71"/>
      <c r="C137" s="71"/>
      <c r="D137" s="72"/>
      <c r="E137" s="72"/>
      <c r="F137" s="72"/>
      <c r="G137" s="72"/>
      <c r="H137" s="72"/>
      <c r="I137" s="72" t="str">
        <f>IF($D137="","",+Table2[[#This Row],[תועלת המענה]]-(SUM(Table2[[#This Row],[משאבי כ"א  לתפעול ]],Table2[[#This Row],[משאבי כ"א  להטמעה]],Table2[[#This Row],[הערכת עלות]],Table2[[#This Row],[זמן ההטמעה המשוער]])/4))</f>
        <v/>
      </c>
      <c r="J137" s="72" t="str">
        <f>IF(Table2[[#This Row],[שקלול כדאיות מספרי]]="","", IF(I137&gt;=$L$2,"שלב א",IF(I137&lt;4,IF(I137&gt;=$M$2, "שלב ב","שלב ג"))))</f>
        <v/>
      </c>
    </row>
    <row r="138" spans="1:10" ht="11.25" customHeight="1">
      <c r="A138" s="69" t="s">
        <v>1238</v>
      </c>
      <c r="B138" s="77" t="s">
        <v>1239</v>
      </c>
      <c r="C138" s="74" t="str">
        <f>Table2[[#This Row],[קיצור באנגלית]]</f>
        <v>Human Resorces Information Security</v>
      </c>
      <c r="D138" s="75">
        <v>4</v>
      </c>
      <c r="E138" s="75">
        <v>3</v>
      </c>
      <c r="F138" s="75">
        <v>2</v>
      </c>
      <c r="G138" s="75">
        <v>2</v>
      </c>
      <c r="H138" s="75">
        <v>2</v>
      </c>
      <c r="I138" s="75">
        <f>IF($D138="","",+Table2[[#This Row],[תועלת המענה]]-(SUM(Table2[[#This Row],[משאבי כ"א  לתפעול ]],Table2[[#This Row],[משאבי כ"א  להטמעה]],Table2[[#This Row],[הערכת עלות]],Table2[[#This Row],[זמן ההטמעה המשוער]])/4))</f>
        <v>1.75</v>
      </c>
      <c r="J138" s="75" t="str">
        <f>IF(Table2[[#This Row],[שקלול כדאיות מספרי]]="","", IF(I138&gt;=$L$2,"שלב א",IF(I138&lt;4,IF(I138&gt;=$M$2, "שלב ב","שלב ג"))))</f>
        <v>שלב א</v>
      </c>
    </row>
    <row r="139" spans="1:10" ht="11.25" customHeight="1">
      <c r="A139" s="69" t="s">
        <v>1240</v>
      </c>
      <c r="B139" s="77" t="s">
        <v>1241</v>
      </c>
      <c r="C139" s="74" t="str">
        <f>Table2[[#This Row],[קיצור באנגלית]]</f>
        <v>Supply Chain Security</v>
      </c>
      <c r="D139" s="75">
        <v>5</v>
      </c>
      <c r="E139" s="75">
        <v>4</v>
      </c>
      <c r="F139" s="75">
        <v>3</v>
      </c>
      <c r="G139" s="75">
        <v>3</v>
      </c>
      <c r="H139" s="75">
        <v>2</v>
      </c>
      <c r="I139" s="75">
        <f>IF($D139="","",+Table2[[#This Row],[תועלת המענה]]-(SUM(Table2[[#This Row],[משאבי כ"א  לתפעול ]],Table2[[#This Row],[משאבי כ"א  להטמעה]],Table2[[#This Row],[הערכת עלות]],Table2[[#This Row],[זמן ההטמעה המשוער]])/4))</f>
        <v>2</v>
      </c>
      <c r="J139" s="75" t="str">
        <f>IF(Table2[[#This Row],[שקלול כדאיות מספרי]]="","", IF(I139&gt;=$L$2,"שלב א",IF(I139&lt;4,IF(I139&gt;=$M$2, "שלב ב","שלב ג"))))</f>
        <v>שלב א</v>
      </c>
    </row>
    <row r="140" spans="1:10" ht="11.25" customHeight="1">
      <c r="A140" s="69" t="s">
        <v>1242</v>
      </c>
      <c r="B140" s="77" t="s">
        <v>1243</v>
      </c>
      <c r="C140" s="74" t="str">
        <f>Table2[[#This Row],[קיצור באנגלית]]</f>
        <v>Backups</v>
      </c>
      <c r="D140" s="75">
        <v>5</v>
      </c>
      <c r="E140" s="75">
        <v>2</v>
      </c>
      <c r="F140" s="75">
        <v>3</v>
      </c>
      <c r="G140" s="75">
        <v>3</v>
      </c>
      <c r="H140" s="75">
        <v>2</v>
      </c>
      <c r="I140" s="75">
        <f>IF($D140="","",+Table2[[#This Row],[תועלת המענה]]-(SUM(Table2[[#This Row],[משאבי כ"א  לתפעול ]],Table2[[#This Row],[משאבי כ"א  להטמעה]],Table2[[#This Row],[הערכת עלות]],Table2[[#This Row],[זמן ההטמעה המשוער]])/4))</f>
        <v>2.5</v>
      </c>
      <c r="J140" s="75" t="str">
        <f>IF(Table2[[#This Row],[שקלול כדאיות מספרי]]="","", IF(I140&gt;=$L$2,"שלב א",IF(I140&lt;4,IF(I140&gt;=$M$2, "שלב ב","שלב ג"))))</f>
        <v>שלב א</v>
      </c>
    </row>
    <row r="141" spans="1:10" ht="11.25" customHeight="1">
      <c r="A141" s="69" t="s">
        <v>1244</v>
      </c>
      <c r="B141" s="77" t="s">
        <v>1245</v>
      </c>
      <c r="C141" s="74" t="str">
        <f>Table2[[#This Row],[קיצור באנגלית]]</f>
        <v>SDLC and Change Management</v>
      </c>
      <c r="D141" s="75">
        <v>4</v>
      </c>
      <c r="E141" s="75">
        <v>5</v>
      </c>
      <c r="F141" s="75">
        <v>4</v>
      </c>
      <c r="G141" s="75">
        <v>3</v>
      </c>
      <c r="H141" s="75">
        <v>3</v>
      </c>
      <c r="I141" s="75">
        <f>IF($D141="","",+Table2[[#This Row],[תועלת המענה]]-(SUM(Table2[[#This Row],[משאבי כ"א  לתפעול ]],Table2[[#This Row],[משאבי כ"א  להטמעה]],Table2[[#This Row],[הערכת עלות]],Table2[[#This Row],[זמן ההטמעה המשוער]])/4))</f>
        <v>0.25</v>
      </c>
      <c r="J141" s="75" t="str">
        <f>IF(Table2[[#This Row],[שקלול כדאיות מספרי]]="","", IF(I141&gt;=$L$2,"שלב א",IF(I141&lt;4,IF(I141&gt;=$M$2, "שלב ב","שלב ג"))))</f>
        <v>שלב ג</v>
      </c>
    </row>
    <row r="142" spans="1:10" ht="11.25" customHeight="1">
      <c r="A142" s="69" t="s">
        <v>1246</v>
      </c>
      <c r="B142" s="77" t="s">
        <v>1247</v>
      </c>
      <c r="C142" s="74" t="str">
        <f>Table2[[#This Row],[קיצור באנגלית]]</f>
        <v>Access Control Management</v>
      </c>
      <c r="D142" s="75">
        <v>5</v>
      </c>
      <c r="E142" s="75">
        <v>3</v>
      </c>
      <c r="F142" s="75">
        <v>2</v>
      </c>
      <c r="G142" s="75">
        <v>3</v>
      </c>
      <c r="H142" s="75">
        <v>1</v>
      </c>
      <c r="I142" s="75">
        <f>IF($D142="","",+Table2[[#This Row],[תועלת המענה]]-(SUM(Table2[[#This Row],[משאבי כ"א  לתפעול ]],Table2[[#This Row],[משאבי כ"א  להטמעה]],Table2[[#This Row],[הערכת עלות]],Table2[[#This Row],[זמן ההטמעה המשוער]])/4))</f>
        <v>2.75</v>
      </c>
      <c r="J142" s="75" t="str">
        <f>IF(Table2[[#This Row],[שקלול כדאיות מספרי]]="","", IF(I142&gt;=$L$2,"שלב א",IF(I142&lt;4,IF(I142&gt;=$M$2, "שלב ב","שלב ג"))))</f>
        <v>שלב א</v>
      </c>
    </row>
    <row r="143" spans="1:10" ht="11.25" customHeight="1">
      <c r="A143" s="69" t="s">
        <v>1248</v>
      </c>
      <c r="B143" s="77" t="s">
        <v>1249</v>
      </c>
      <c r="C143" s="74" t="str">
        <f>Table2[[#This Row],[קיצור באנגלית]]</f>
        <v>Remote Access Security</v>
      </c>
      <c r="D143" s="75">
        <v>4</v>
      </c>
      <c r="E143" s="75">
        <v>3</v>
      </c>
      <c r="F143" s="75">
        <v>2</v>
      </c>
      <c r="G143" s="75">
        <v>2</v>
      </c>
      <c r="H143" s="75">
        <v>1</v>
      </c>
      <c r="I143" s="75">
        <f>IF($D143="","",+Table2[[#This Row],[תועלת המענה]]-(SUM(Table2[[#This Row],[משאבי כ"א  לתפעול ]],Table2[[#This Row],[משאבי כ"א  להטמעה]],Table2[[#This Row],[הערכת עלות]],Table2[[#This Row],[זמן ההטמעה המשוער]])/4))</f>
        <v>2</v>
      </c>
      <c r="J143" s="75" t="str">
        <f>IF(Table2[[#This Row],[שקלול כדאיות מספרי]]="","", IF(I143&gt;=$L$2,"שלב א",IF(I143&lt;4,IF(I143&gt;=$M$2, "שלב ב","שלב ג"))))</f>
        <v>שלב א</v>
      </c>
    </row>
    <row r="144" spans="1:10" ht="11.25" customHeight="1">
      <c r="A144" s="69" t="s">
        <v>1250</v>
      </c>
      <c r="B144" s="77" t="s">
        <v>1251</v>
      </c>
      <c r="C144" s="74" t="str">
        <f>Table2[[#This Row],[קיצור באנגלית]]</f>
        <v>Digital Records Security Management</v>
      </c>
      <c r="D144" s="75">
        <v>4</v>
      </c>
      <c r="E144" s="75">
        <v>5</v>
      </c>
      <c r="F144" s="75">
        <v>4</v>
      </c>
      <c r="G144" s="75">
        <v>3</v>
      </c>
      <c r="H144" s="75">
        <v>4</v>
      </c>
      <c r="I144" s="75">
        <f>IF($D144="","",+Table2[[#This Row],[תועלת המענה]]-(SUM(Table2[[#This Row],[משאבי כ"א  לתפעול ]],Table2[[#This Row],[משאבי כ"א  להטמעה]],Table2[[#This Row],[הערכת עלות]],Table2[[#This Row],[זמן ההטמעה המשוער]])/4))</f>
        <v>0</v>
      </c>
      <c r="J144" s="75" t="str">
        <f>IF(Table2[[#This Row],[שקלול כדאיות מספרי]]="","", IF(I144&gt;=$L$2,"שלב א",IF(I144&lt;4,IF(I144&gt;=$M$2, "שלב ב","שלב ג"))))</f>
        <v>שלב ג</v>
      </c>
    </row>
    <row r="145" spans="1:10" ht="11.25" customHeight="1">
      <c r="A145" s="69" t="s">
        <v>1252</v>
      </c>
      <c r="B145" s="77" t="s">
        <v>1253</v>
      </c>
      <c r="C145" s="74" t="str">
        <f>Table2[[#This Row],[קיצור באנגלית]]</f>
        <v>Asset Management</v>
      </c>
      <c r="D145" s="75">
        <v>4</v>
      </c>
      <c r="E145" s="75">
        <v>2</v>
      </c>
      <c r="F145" s="75">
        <v>2</v>
      </c>
      <c r="G145" s="75">
        <v>2</v>
      </c>
      <c r="H145" s="75">
        <v>3</v>
      </c>
      <c r="I145" s="75">
        <f>IF($D145="","",+Table2[[#This Row],[תועלת המענה]]-(SUM(Table2[[#This Row],[משאבי כ"א  לתפעול ]],Table2[[#This Row],[משאבי כ"א  להטמעה]],Table2[[#This Row],[הערכת עלות]],Table2[[#This Row],[זמן ההטמעה המשוער]])/4))</f>
        <v>1.75</v>
      </c>
      <c r="J145" s="75" t="str">
        <f>IF(Table2[[#This Row],[שקלול כדאיות מספרי]]="","", IF(I145&gt;=$L$2,"שלב א",IF(I145&lt;4,IF(I145&gt;=$M$2, "שלב ב","שלב ג"))))</f>
        <v>שלב א</v>
      </c>
    </row>
    <row r="146" spans="1:10" ht="11.25" customHeight="1">
      <c r="A146" s="69" t="s">
        <v>1254</v>
      </c>
      <c r="B146" s="77" t="s">
        <v>1255</v>
      </c>
      <c r="C146" s="74" t="str">
        <f>Table2[[#This Row],[קיצור באנגלית]]</f>
        <v>Awareness Training Program</v>
      </c>
      <c r="D146" s="75">
        <v>5</v>
      </c>
      <c r="E146" s="75">
        <v>2</v>
      </c>
      <c r="F146" s="75">
        <v>2</v>
      </c>
      <c r="G146" s="75">
        <v>2</v>
      </c>
      <c r="H146" s="75">
        <v>5</v>
      </c>
      <c r="I146" s="75">
        <f>IF($D146="","",+Table2[[#This Row],[תועלת המענה]]-(SUM(Table2[[#This Row],[משאבי כ"א  לתפעול ]],Table2[[#This Row],[משאבי כ"א  להטמעה]],Table2[[#This Row],[הערכת עלות]],Table2[[#This Row],[זמן ההטמעה המשוער]])/4))</f>
        <v>2.25</v>
      </c>
      <c r="J146" s="75" t="str">
        <f>IF(Table2[[#This Row],[שקלול כדאיות מספרי]]="","", IF(I146&gt;=$L$2,"שלב א",IF(I146&lt;4,IF(I146&gt;=$M$2, "שלב ב","שלב ג"))))</f>
        <v>שלב א</v>
      </c>
    </row>
    <row r="147" spans="1:10" ht="11.25" customHeight="1">
      <c r="A147" s="69" t="s">
        <v>1256</v>
      </c>
      <c r="B147" s="77" t="s">
        <v>1257</v>
      </c>
      <c r="C147" s="74" t="str">
        <f>Table2[[#This Row],[קיצור באנגלית]]</f>
        <v>Internal Audits Plan</v>
      </c>
      <c r="D147" s="75">
        <v>3</v>
      </c>
      <c r="E147" s="75">
        <v>1</v>
      </c>
      <c r="F147" s="75">
        <v>2</v>
      </c>
      <c r="G147" s="75">
        <v>2</v>
      </c>
      <c r="H147" s="75">
        <v>2</v>
      </c>
      <c r="I147" s="75">
        <f>IF($D147="","",+Table2[[#This Row],[תועלת המענה]]-(SUM(Table2[[#This Row],[משאבי כ"א  לתפעול ]],Table2[[#This Row],[משאבי כ"א  להטמעה]],Table2[[#This Row],[הערכת עלות]],Table2[[#This Row],[זמן ההטמעה המשוער]])/4))</f>
        <v>1.25</v>
      </c>
      <c r="J147" s="75" t="str">
        <f>IF(Table2[[#This Row],[שקלול כדאיות מספרי]]="","", IF(I147&gt;=$L$2,"שלב א",IF(I147&lt;4,IF(I147&gt;=$M$2, "שלב ב","שלב ג"))))</f>
        <v>שלב ב</v>
      </c>
    </row>
    <row r="148" spans="1:10" ht="11.25" customHeight="1">
      <c r="A148" s="69" t="s">
        <v>1258</v>
      </c>
      <c r="B148" s="77" t="s">
        <v>1259</v>
      </c>
      <c r="C148" s="74" t="str">
        <f>Table2[[#This Row],[קיצור באנגלית]]</f>
        <v>Business Continuity Plan / Disaster Recovery Plan</v>
      </c>
      <c r="D148" s="75">
        <v>5</v>
      </c>
      <c r="E148" s="75">
        <v>5</v>
      </c>
      <c r="F148" s="75">
        <v>4</v>
      </c>
      <c r="G148" s="75">
        <v>5</v>
      </c>
      <c r="H148" s="75">
        <v>5</v>
      </c>
      <c r="I148" s="75">
        <f>IF($D148="","",+Table2[[#This Row],[תועלת המענה]]-(SUM(Table2[[#This Row],[משאבי כ"א  לתפעול ]],Table2[[#This Row],[משאבי כ"א  להטמעה]],Table2[[#This Row],[הערכת עלות]],Table2[[#This Row],[זמן ההטמעה המשוער]])/4))</f>
        <v>0.25</v>
      </c>
      <c r="J148" s="75" t="str">
        <f>IF(Table2[[#This Row],[שקלול כדאיות מספרי]]="","", IF(I148&gt;=$L$2,"שלב א",IF(I148&lt;4,IF(I148&gt;=$M$2, "שלב ב","שלב ג"))))</f>
        <v>שלב ג</v>
      </c>
    </row>
    <row r="149" spans="1:10" ht="11.25" customHeight="1">
      <c r="A149" s="69" t="s">
        <v>1260</v>
      </c>
      <c r="B149" s="77" t="s">
        <v>1261</v>
      </c>
      <c r="C149" s="74" t="str">
        <f>Table2[[#This Row],[קיצור באנגלית]]</f>
        <v>Training/Exercise</v>
      </c>
      <c r="D149" s="75">
        <v>5</v>
      </c>
      <c r="E149" s="75">
        <v>3</v>
      </c>
      <c r="F149" s="75">
        <v>4</v>
      </c>
      <c r="G149" s="75">
        <v>3</v>
      </c>
      <c r="H149" s="75">
        <v>5</v>
      </c>
      <c r="I149" s="75">
        <f>IF($D149="","",+Table2[[#This Row],[תועלת המענה]]-(SUM(Table2[[#This Row],[משאבי כ"א  לתפעול ]],Table2[[#This Row],[משאבי כ"א  להטמעה]],Table2[[#This Row],[הערכת עלות]],Table2[[#This Row],[זמן ההטמעה המשוער]])/4))</f>
        <v>1.25</v>
      </c>
      <c r="J149" s="75" t="str">
        <f>IF(Table2[[#This Row],[שקלול כדאיות מספרי]]="","", IF(I149&gt;=$L$2,"שלב א",IF(I149&lt;4,IF(I149&gt;=$M$2, "שלב ב","שלב ג"))))</f>
        <v>שלב ב</v>
      </c>
    </row>
    <row r="150" spans="1:10" ht="11.25" customHeight="1">
      <c r="A150" s="70" t="s">
        <v>1262</v>
      </c>
      <c r="B150" s="71"/>
      <c r="C150" s="71"/>
      <c r="D150" s="72"/>
      <c r="E150" s="72"/>
      <c r="F150" s="72"/>
      <c r="G150" s="72"/>
      <c r="H150" s="72"/>
      <c r="I150" s="72" t="str">
        <f>IF($D150="","",+Table2[[#This Row],[תועלת המענה]]-(SUM(Table2[[#This Row],[משאבי כ"א  לתפעול ]],Table2[[#This Row],[משאבי כ"א  להטמעה]],Table2[[#This Row],[הערכת עלות]],Table2[[#This Row],[זמן ההטמעה המשוער]])/4))</f>
        <v/>
      </c>
      <c r="J150" s="72" t="str">
        <f>IF(Table2[[#This Row],[שקלול כדאיות מספרי]]="","", IF(I150&gt;=$L$2,"שלב א",IF(I150&lt;4,IF(I150&gt;=$M$2, "שלב ב","שלב ג"))))</f>
        <v/>
      </c>
    </row>
    <row r="151" spans="1:10" ht="11.25" customHeight="1">
      <c r="A151" s="76" t="s">
        <v>1263</v>
      </c>
      <c r="B151" s="77" t="s">
        <v>1264</v>
      </c>
      <c r="C151" s="74" t="str">
        <f>Table2[[#This Row],[קיצור באנגלית]]</f>
        <v>INCD Supply Chain Compliance</v>
      </c>
      <c r="D151" s="75">
        <v>3</v>
      </c>
      <c r="E151" s="75">
        <v>3</v>
      </c>
      <c r="F151" s="75">
        <v>3</v>
      </c>
      <c r="G151" s="75">
        <v>2</v>
      </c>
      <c r="H151" s="75">
        <v>3</v>
      </c>
      <c r="I151" s="75">
        <f>IF($D151="","",+Table2[[#This Row],[תועלת המענה]]-(SUM(Table2[[#This Row],[משאבי כ"א  לתפעול ]],Table2[[#This Row],[משאבי כ"א  להטמעה]],Table2[[#This Row],[הערכת עלות]],Table2[[#This Row],[זמן ההטמעה המשוער]])/4))</f>
        <v>0.25</v>
      </c>
      <c r="J151" s="75" t="str">
        <f>IF(Table2[[#This Row],[שקלול כדאיות מספרי]]="","", IF(I151&gt;=$L$2,"שלב א",IF(I151&lt;4,IF(I151&gt;=$M$2, "שלב ב","שלב ג"))))</f>
        <v>שלב ג</v>
      </c>
    </row>
    <row r="152" spans="1:10" ht="11.25" customHeight="1">
      <c r="A152" s="69" t="s">
        <v>1265</v>
      </c>
      <c r="B152" s="77" t="s">
        <v>1266</v>
      </c>
      <c r="C152" s="74" t="str">
        <f>Table2[[#This Row],[קיצור באנגלית]]</f>
        <v>Legal Aggrement (including SLA)</v>
      </c>
      <c r="D152" s="75">
        <v>5</v>
      </c>
      <c r="E152" s="75">
        <v>1</v>
      </c>
      <c r="F152" s="75">
        <v>1</v>
      </c>
      <c r="G152" s="75">
        <v>1</v>
      </c>
      <c r="H152" s="75">
        <v>1</v>
      </c>
      <c r="I152" s="75">
        <f>IF($D152="","",+Table2[[#This Row],[תועלת המענה]]-(SUM(Table2[[#This Row],[משאבי כ"א  לתפעול ]],Table2[[#This Row],[משאבי כ"א  להטמעה]],Table2[[#This Row],[הערכת עלות]],Table2[[#This Row],[זמן ההטמעה המשוער]])/4))</f>
        <v>4</v>
      </c>
      <c r="J152" s="75" t="str">
        <f>IF(Table2[[#This Row],[שקלול כדאיות מספרי]]="","", IF(I152&gt;=$L$2,"שלב א",IF(I152&lt;4,IF(I152&gt;=$M$2, "שלב ב","שלב ג"))))</f>
        <v>שלב א</v>
      </c>
    </row>
    <row r="153" spans="1:10" ht="11.25" customHeight="1">
      <c r="A153" s="69" t="s">
        <v>1267</v>
      </c>
      <c r="B153" s="77" t="s">
        <v>1268</v>
      </c>
      <c r="C153" s="74" t="str">
        <f>Table2[[#This Row],[קיצור באנגלית]]</f>
        <v>On Site Audit</v>
      </c>
      <c r="D153" s="75">
        <v>2</v>
      </c>
      <c r="E153" s="75">
        <v>2</v>
      </c>
      <c r="F153" s="75">
        <v>3</v>
      </c>
      <c r="G153" s="75">
        <v>1</v>
      </c>
      <c r="H153" s="75">
        <v>2</v>
      </c>
      <c r="I153" s="75">
        <f>IF($D153="","",+Table2[[#This Row],[תועלת המענה]]-(SUM(Table2[[#This Row],[משאבי כ"א  לתפעול ]],Table2[[#This Row],[משאבי כ"א  להטמעה]],Table2[[#This Row],[הערכת עלות]],Table2[[#This Row],[זמן ההטמעה המשוער]])/4))</f>
        <v>0</v>
      </c>
      <c r="J153" s="75" t="str">
        <f>IF(Table2[[#This Row],[שקלול כדאיות מספרי]]="","", IF(I153&gt;=$L$2,"שלב א",IF(I153&lt;4,IF(I153&gt;=$M$2, "שלב ב","שלב ג"))))</f>
        <v>שלב ג</v>
      </c>
    </row>
    <row r="154" spans="1:10" ht="11.25" customHeight="1">
      <c r="A154" s="70" t="s">
        <v>1269</v>
      </c>
      <c r="B154" s="71"/>
      <c r="C154" s="71"/>
      <c r="D154" s="72"/>
      <c r="E154" s="72"/>
      <c r="F154" s="72"/>
      <c r="G154" s="72"/>
      <c r="H154" s="72"/>
      <c r="I154" s="72" t="str">
        <f>IF($D154="","",+Table2[[#This Row],[תועלת המענה]]-(SUM(Table2[[#This Row],[משאבי כ"א  לתפעול ]],Table2[[#This Row],[משאבי כ"א  להטמעה]],Table2[[#This Row],[הערכת עלות]],Table2[[#This Row],[זמן ההטמעה המשוער]])/4))</f>
        <v/>
      </c>
      <c r="J154" s="72" t="str">
        <f>IF(Table2[[#This Row],[שקלול כדאיות מספרי]]="","", IF(I154&gt;=$L$2,"שלב א",IF(I154&lt;4,IF(I154&gt;=$M$2, "שלב ב","שלב ג"))))</f>
        <v/>
      </c>
    </row>
    <row r="155" spans="1:10" ht="11.25" customHeight="1">
      <c r="A155" s="69" t="s">
        <v>1270</v>
      </c>
      <c r="B155" s="77" t="s">
        <v>1271</v>
      </c>
      <c r="C155" s="74" t="s">
        <v>1272</v>
      </c>
      <c r="D155" s="75">
        <v>4</v>
      </c>
      <c r="E155" s="75">
        <v>2</v>
      </c>
      <c r="F155" s="75">
        <v>4</v>
      </c>
      <c r="G155" s="75">
        <v>1</v>
      </c>
      <c r="H155" s="75">
        <v>1</v>
      </c>
      <c r="I155" s="75">
        <f>IF($D155="","",+Table2[[#This Row],[תועלת המענה]]-(SUM(Table2[[#This Row],[משאבי כ"א  לתפעול ]],Table2[[#This Row],[משאבי כ"א  להטמעה]],Table2[[#This Row],[הערכת עלות]],Table2[[#This Row],[זמן ההטמעה המשוער]])/4))</f>
        <v>2</v>
      </c>
      <c r="J155" s="75" t="str">
        <f>IF(Table2[[#This Row],[שקלול כדאיות מספרי]]="","", IF(I155&gt;=$L$2,"שלב א",IF(I155&lt;4,IF(I155&gt;=$M$2, "שלב ב","שלב ג"))))</f>
        <v>שלב א</v>
      </c>
    </row>
    <row r="156" spans="1:10" ht="11.25" customHeight="1">
      <c r="A156" s="69" t="s">
        <v>1273</v>
      </c>
      <c r="B156" s="77" t="s">
        <v>1274</v>
      </c>
      <c r="C156" s="74" t="s">
        <v>1275</v>
      </c>
      <c r="D156" s="75">
        <v>3</v>
      </c>
      <c r="E156" s="75">
        <v>2</v>
      </c>
      <c r="F156" s="75">
        <v>1</v>
      </c>
      <c r="G156" s="75">
        <v>1</v>
      </c>
      <c r="H156" s="75">
        <v>1</v>
      </c>
      <c r="I156" s="75">
        <f>IF($D156="","",+Table2[[#This Row],[תועלת המענה]]-(SUM(Table2[[#This Row],[משאבי כ"א  לתפעול ]],Table2[[#This Row],[משאבי כ"א  להטמעה]],Table2[[#This Row],[הערכת עלות]],Table2[[#This Row],[זמן ההטמעה המשוער]])/4))</f>
        <v>1.75</v>
      </c>
      <c r="J156" s="75" t="str">
        <f>IF(Table2[[#This Row],[שקלול כדאיות מספרי]]="","", IF(I156&gt;=$L$2,"שלב א",IF(I156&lt;4,IF(I156&gt;=$M$2, "שלב ב","שלב ג"))))</f>
        <v>שלב א</v>
      </c>
    </row>
    <row r="157" spans="1:10" ht="11.25" customHeight="1">
      <c r="A157" s="69" t="s">
        <v>1276</v>
      </c>
      <c r="B157" s="77" t="s">
        <v>1277</v>
      </c>
      <c r="C157" s="74" t="s">
        <v>1278</v>
      </c>
      <c r="D157" s="75">
        <v>3</v>
      </c>
      <c r="E157" s="75">
        <v>2</v>
      </c>
      <c r="F157" s="75">
        <v>4</v>
      </c>
      <c r="G157" s="75">
        <v>1</v>
      </c>
      <c r="H157" s="75">
        <v>1</v>
      </c>
      <c r="I157" s="75">
        <f>IF($D157="","",+Table2[[#This Row],[תועלת המענה]]-(SUM(Table2[[#This Row],[משאבי כ"א  לתפעול ]],Table2[[#This Row],[משאבי כ"א  להטמעה]],Table2[[#This Row],[הערכת עלות]],Table2[[#This Row],[זמן ההטמעה המשוער]])/4))</f>
        <v>1</v>
      </c>
      <c r="J157" s="75" t="str">
        <f>IF(Table2[[#This Row],[שקלול כדאיות מספרי]]="","", IF(I157&gt;=$L$2,"שלב א",IF(I157&lt;4,IF(I157&gt;=$M$2, "שלב ב","שלב ג"))))</f>
        <v>שלב ב</v>
      </c>
    </row>
    <row r="158" spans="1:10" ht="11.25" customHeight="1">
      <c r="A158" s="69" t="s">
        <v>1279</v>
      </c>
      <c r="B158" s="77" t="s">
        <v>1280</v>
      </c>
      <c r="C158" s="74" t="s">
        <v>1281</v>
      </c>
      <c r="D158" s="75">
        <v>2</v>
      </c>
      <c r="E158" s="75">
        <v>2</v>
      </c>
      <c r="F158" s="75">
        <v>3</v>
      </c>
      <c r="G158" s="75">
        <v>1</v>
      </c>
      <c r="H158" s="75">
        <v>1</v>
      </c>
      <c r="I158" s="75">
        <f>IF($D158="","",+Table2[[#This Row],[תועלת המענה]]-(SUM(Table2[[#This Row],[משאבי כ"א  לתפעול ]],Table2[[#This Row],[משאבי כ"א  להטמעה]],Table2[[#This Row],[הערכת עלות]],Table2[[#This Row],[זמן ההטמעה המשוער]])/4))</f>
        <v>0.25</v>
      </c>
      <c r="J158" s="75" t="str">
        <f>IF(Table2[[#This Row],[שקלול כדאיות מספרי]]="","", IF(I158&gt;=$L$2,"שלב א",IF(I158&lt;4,IF(I158&gt;=$M$2, "שלב ב","שלב ג"))))</f>
        <v>שלב ג</v>
      </c>
    </row>
    <row r="159" spans="1:10" ht="11.25" customHeight="1">
      <c r="A159" s="69" t="s">
        <v>1282</v>
      </c>
      <c r="B159" s="77" t="s">
        <v>1283</v>
      </c>
      <c r="C159" s="74" t="s">
        <v>1284</v>
      </c>
      <c r="D159" s="75">
        <v>2</v>
      </c>
      <c r="E159" s="75">
        <v>2</v>
      </c>
      <c r="F159" s="75">
        <v>3</v>
      </c>
      <c r="G159" s="75">
        <v>1</v>
      </c>
      <c r="H159" s="75">
        <v>1</v>
      </c>
      <c r="I159" s="75">
        <f>IF($D159="","",+Table2[[#This Row],[תועלת המענה]]-(SUM(Table2[[#This Row],[משאבי כ"א  לתפעול ]],Table2[[#This Row],[משאבי כ"א  להטמעה]],Table2[[#This Row],[הערכת עלות]],Table2[[#This Row],[זמן ההטמעה המשוער]])/4))</f>
        <v>0.25</v>
      </c>
      <c r="J159" s="75" t="str">
        <f>IF(Table2[[#This Row],[שקלול כדאיות מספרי]]="","", IF(I159&gt;=$L$2,"שלב א",IF(I159&lt;4,IF(I159&gt;=$M$2, "שלב ב","שלב ג"))))</f>
        <v>שלב ג</v>
      </c>
    </row>
    <row r="160" spans="1:10" ht="11.25" customHeight="1">
      <c r="A160" s="70" t="s">
        <v>1285</v>
      </c>
      <c r="B160" s="71"/>
      <c r="C160" s="71"/>
      <c r="D160" s="72"/>
      <c r="E160" s="72"/>
      <c r="F160" s="72"/>
      <c r="G160" s="72"/>
      <c r="H160" s="72"/>
      <c r="I160" s="72" t="str">
        <f>IF($D160="","",+Table2[[#This Row],[תועלת המענה]]-(SUM(Table2[[#This Row],[משאבי כ"א  לתפעול ]],Table2[[#This Row],[משאבי כ"א  להטמעה]],Table2[[#This Row],[הערכת עלות]],Table2[[#This Row],[זמן ההטמעה המשוער]])/4))</f>
        <v/>
      </c>
      <c r="J160" s="72" t="str">
        <f>IF(Table2[[#This Row],[שקלול כדאיות מספרי]]="","", IF(I160&gt;=$L$2,"שלב א",IF(I160&lt;4,IF(I160&gt;=$M$2, "שלב ב","שלב ג"))))</f>
        <v/>
      </c>
    </row>
    <row r="161" spans="1:10" ht="11.25" customHeight="1">
      <c r="A161" s="69" t="s">
        <v>62</v>
      </c>
      <c r="B161" s="77" t="s">
        <v>1286</v>
      </c>
      <c r="C161" s="77" t="str">
        <f>Table2[[#This Row],[קיצור באנגלית]]</f>
        <v>Cyber Insurance</v>
      </c>
      <c r="D161" s="75">
        <v>2</v>
      </c>
      <c r="E161" s="75">
        <v>2</v>
      </c>
      <c r="F161" s="75">
        <v>3</v>
      </c>
      <c r="G161" s="75">
        <v>2</v>
      </c>
      <c r="H161" s="75">
        <v>1</v>
      </c>
      <c r="I161" s="75">
        <f>IF($D161="","",+Table2[[#This Row],[תועלת המענה]]-(SUM(Table2[[#This Row],[משאבי כ"א  לתפעול ]],Table2[[#This Row],[משאבי כ"א  להטמעה]],Table2[[#This Row],[הערכת עלות]],Table2[[#This Row],[זמן ההטמעה המשוער]])/4))</f>
        <v>0</v>
      </c>
      <c r="J161" s="75" t="str">
        <f>IF(Table2[[#This Row],[שקלול כדאיות מספרי]]="","", IF(I161&gt;=$L$2,"שלב א",IF(I161&lt;4,IF(I161&gt;=$M$2, "שלב ב","שלב ג"))))</f>
        <v>שלב ג</v>
      </c>
    </row>
    <row r="162" spans="1:10" ht="11.25" customHeight="1">
      <c r="A162" s="76" t="s">
        <v>1287</v>
      </c>
      <c r="B162" s="77" t="s">
        <v>1288</v>
      </c>
      <c r="C162" s="74" t="s">
        <v>1289</v>
      </c>
      <c r="D162" s="75">
        <v>3</v>
      </c>
      <c r="E162" s="75">
        <v>1</v>
      </c>
      <c r="F162" s="75">
        <v>3</v>
      </c>
      <c r="G162" s="75">
        <v>1</v>
      </c>
      <c r="H162" s="75">
        <v>1</v>
      </c>
      <c r="I162" s="75">
        <f>IF($D162="","",+Table2[[#This Row],[תועלת המענה]]-(SUM(Table2[[#This Row],[משאבי כ"א  לתפעול ]],Table2[[#This Row],[משאבי כ"א  להטמעה]],Table2[[#This Row],[הערכת עלות]],Table2[[#This Row],[זמן ההטמעה המשוער]])/4))</f>
        <v>1.5</v>
      </c>
      <c r="J162" s="75" t="str">
        <f>IF(Table2[[#This Row],[שקלול כדאיות מספרי]]="","", IF(I162&gt;=$L$2,"שלב א",IF(I162&lt;4,IF(I162&gt;=$M$2, "שלב ב","שלב ג"))))</f>
        <v>שלב א</v>
      </c>
    </row>
    <row r="163" spans="1:10" ht="11.25" customHeight="1">
      <c r="A163" s="76" t="s">
        <v>1290</v>
      </c>
      <c r="B163" s="77" t="s">
        <v>1291</v>
      </c>
      <c r="C163" s="77" t="s">
        <v>1292</v>
      </c>
      <c r="D163" s="75">
        <v>2</v>
      </c>
      <c r="E163" s="75">
        <v>1</v>
      </c>
      <c r="F163" s="75">
        <v>3</v>
      </c>
      <c r="G163" s="75">
        <v>2</v>
      </c>
      <c r="H163" s="75">
        <v>1</v>
      </c>
      <c r="I163" s="75">
        <f>IF($D163="","",+Table2[[#This Row],[תועלת המענה]]-(SUM(Table2[[#This Row],[משאבי כ"א  לתפעול ]],Table2[[#This Row],[משאבי כ"א  להטמעה]],Table2[[#This Row],[הערכת עלות]],Table2[[#This Row],[זמן ההטמעה המשוער]])/4))</f>
        <v>0.25</v>
      </c>
      <c r="J163" s="75" t="str">
        <f>IF(Table2[[#This Row],[שקלול כדאיות מספרי]]="","", IF(I163&gt;=$L$2,"שלב א",IF(I163&lt;4,IF(I163&gt;=$M$2, "שלב ב","שלב ג"))))</f>
        <v>שלב ג</v>
      </c>
    </row>
    <row r="164" spans="1:10" ht="11.25" customHeight="1">
      <c r="A164" s="76" t="s">
        <v>1293</v>
      </c>
      <c r="B164" s="77" t="s">
        <v>1294</v>
      </c>
      <c r="C164" s="77" t="s">
        <v>1295</v>
      </c>
      <c r="D164" s="75">
        <v>4</v>
      </c>
      <c r="E164" s="75">
        <v>3</v>
      </c>
      <c r="F164" s="75">
        <v>3</v>
      </c>
      <c r="G164" s="75">
        <v>2</v>
      </c>
      <c r="H164" s="75">
        <v>3</v>
      </c>
      <c r="I164" s="75">
        <f>IF($D164="","",+Table2[[#This Row],[תועלת המענה]]-(SUM(Table2[[#This Row],[משאבי כ"א  לתפעול ]],Table2[[#This Row],[משאבי כ"א  להטמעה]],Table2[[#This Row],[הערכת עלות]],Table2[[#This Row],[זמן ההטמעה המשוער]])/4))</f>
        <v>1.25</v>
      </c>
      <c r="J164" s="75" t="str">
        <f>IF(Table2[[#This Row],[שקלול כדאיות מספרי]]="","", IF(I164&gt;=$L$2,"שלב א",IF(I164&lt;4,IF(I164&gt;=$M$2, "שלב ב","שלב ג"))))</f>
        <v>שלב ב</v>
      </c>
    </row>
    <row r="165" spans="1:10" ht="11.25" customHeight="1">
      <c r="A165" s="76" t="s">
        <v>1296</v>
      </c>
      <c r="B165" s="77" t="s">
        <v>1297</v>
      </c>
      <c r="C165" s="74" t="str">
        <f>Table2[[#This Row],[קיצור באנגלית]]</f>
        <v>Managed SIEM Service</v>
      </c>
      <c r="D165" s="75">
        <v>4</v>
      </c>
      <c r="E165" s="75">
        <v>5</v>
      </c>
      <c r="F165" s="75">
        <v>3</v>
      </c>
      <c r="G165" s="75">
        <v>3</v>
      </c>
      <c r="H165" s="75">
        <v>5</v>
      </c>
      <c r="I165" s="75">
        <f>IF($D165="","",+Table2[[#This Row],[תועלת המענה]]-(SUM(Table2[[#This Row],[משאבי כ"א  לתפעול ]],Table2[[#This Row],[משאבי כ"א  להטמעה]],Table2[[#This Row],[הערכת עלות]],Table2[[#This Row],[זמן ההטמעה המשוער]])/4))</f>
        <v>0</v>
      </c>
      <c r="J165" s="75" t="str">
        <f>IF(Table2[[#This Row],[שקלול כדאיות מספרי]]="","", IF(I165&gt;=$L$2,"שלב א",IF(I165&lt;4,IF(I165&gt;=$M$2, "שלב ב","שלב ג"))))</f>
        <v>שלב ג</v>
      </c>
    </row>
    <row r="166" spans="1:10" ht="11.25" customHeight="1">
      <c r="A166" s="76" t="s">
        <v>1298</v>
      </c>
      <c r="B166" s="77" t="s">
        <v>1299</v>
      </c>
      <c r="C166" s="74" t="str">
        <f>Table2[[#This Row],[קיצור באנגלית]]</f>
        <v>CASB - Mail Threat Protection</v>
      </c>
      <c r="D166" s="75">
        <v>4</v>
      </c>
      <c r="E166" s="75">
        <v>1</v>
      </c>
      <c r="F166" s="75">
        <v>4</v>
      </c>
      <c r="G166" s="75">
        <v>2</v>
      </c>
      <c r="H166" s="75">
        <v>2</v>
      </c>
      <c r="I166" s="75">
        <f>IF($D166="","",+Table2[[#This Row],[תועלת המענה]]-(SUM(Table2[[#This Row],[משאבי כ"א  לתפעול ]],Table2[[#This Row],[משאבי כ"א  להטמעה]],Table2[[#This Row],[הערכת עלות]],Table2[[#This Row],[זמן ההטמעה המשוער]])/4))</f>
        <v>1.75</v>
      </c>
      <c r="J166" s="75" t="str">
        <f>IF(Table2[[#This Row],[שקלול כדאיות מספרי]]="","", IF(I166&gt;=$L$2,"שלב א",IF(I166&lt;4,IF(I166&gt;=$M$2, "שלב ב","שלב ג"))))</f>
        <v>שלב א</v>
      </c>
    </row>
    <row r="167" spans="1:10" ht="11.25" customHeight="1">
      <c r="A167" s="76" t="s">
        <v>1300</v>
      </c>
      <c r="B167" s="77" t="s">
        <v>1301</v>
      </c>
      <c r="C167" s="74" t="str">
        <f>Table2[[#This Row],[קיצור באנגלית]]</f>
        <v>CASB - Web Surfing Threat Protection</v>
      </c>
      <c r="D167" s="75">
        <v>4</v>
      </c>
      <c r="E167" s="75">
        <v>2</v>
      </c>
      <c r="F167" s="75">
        <v>4</v>
      </c>
      <c r="G167" s="75">
        <v>2</v>
      </c>
      <c r="H167" s="75">
        <v>2</v>
      </c>
      <c r="I167" s="75">
        <f>IF($D167="","",+Table2[[#This Row],[תועלת המענה]]-(SUM(Table2[[#This Row],[משאבי כ"א  לתפעול ]],Table2[[#This Row],[משאבי כ"א  להטמעה]],Table2[[#This Row],[הערכת עלות]],Table2[[#This Row],[זמן ההטמעה המשוער]])/4))</f>
        <v>1.5</v>
      </c>
      <c r="J167" s="75" t="str">
        <f>IF(Table2[[#This Row],[שקלול כדאיות מספרי]]="","", IF(I167&gt;=$L$2,"שלב א",IF(I167&lt;4,IF(I167&gt;=$M$2, "שלב ב","שלב ג"))))</f>
        <v>שלב א</v>
      </c>
    </row>
    <row r="168" spans="1:10" ht="11.25" customHeight="1">
      <c r="A168" s="76" t="s">
        <v>1302</v>
      </c>
      <c r="B168" s="77" t="s">
        <v>1303</v>
      </c>
      <c r="C168" s="74" t="s">
        <v>1304</v>
      </c>
      <c r="D168" s="75">
        <v>4</v>
      </c>
      <c r="E168" s="75">
        <v>3</v>
      </c>
      <c r="F168" s="75">
        <v>4</v>
      </c>
      <c r="G168" s="75">
        <v>2</v>
      </c>
      <c r="H168" s="75">
        <v>2</v>
      </c>
      <c r="I168" s="75">
        <f>IF($D168="","",+Table2[[#This Row],[תועלת המענה]]-(SUM(Table2[[#This Row],[משאבי כ"א  לתפעול ]],Table2[[#This Row],[משאבי כ"א  להטמעה]],Table2[[#This Row],[הערכת עלות]],Table2[[#This Row],[זמן ההטמעה המשוער]])/4))</f>
        <v>1.25</v>
      </c>
      <c r="J168" s="75" t="str">
        <f>IF(Table2[[#This Row],[שקלול כדאיות מספרי]]="","", IF(I168&gt;=$L$2,"שלב א",IF(I168&lt;4,IF(I168&gt;=$M$2, "שלב ב","שלב ג"))))</f>
        <v>שלב ב</v>
      </c>
    </row>
    <row r="169" spans="1:10" ht="11.25" customHeight="1">
      <c r="A169" s="76" t="s">
        <v>1305</v>
      </c>
      <c r="B169" s="77" t="s">
        <v>1306</v>
      </c>
      <c r="C169" s="74" t="str">
        <f>Table2[[#This Row],[קיצור באנגלית]]</f>
        <v>DDoS Protection as Service</v>
      </c>
      <c r="D169" s="75">
        <v>5</v>
      </c>
      <c r="E169" s="75">
        <v>2</v>
      </c>
      <c r="F169" s="75">
        <v>4</v>
      </c>
      <c r="G169" s="75">
        <v>2</v>
      </c>
      <c r="H169" s="75">
        <v>2</v>
      </c>
      <c r="I169" s="75">
        <f>IF($D169="","",+Table2[[#This Row],[תועלת המענה]]-(SUM(Table2[[#This Row],[משאבי כ"א  לתפעול ]],Table2[[#This Row],[משאבי כ"א  להטמעה]],Table2[[#This Row],[הערכת עלות]],Table2[[#This Row],[זמן ההטמעה המשוער]])/4))</f>
        <v>2.5</v>
      </c>
      <c r="J169" s="75" t="str">
        <f>IF(Table2[[#This Row],[שקלול כדאיות מספרי]]="","", IF(I169&gt;=$L$2,"שלב א",IF(I169&lt;4,IF(I169&gt;=$M$2, "שלב ב","שלב ג"))))</f>
        <v>שלב א</v>
      </c>
    </row>
    <row r="170" spans="1:10" ht="11.25" customHeight="1">
      <c r="A170" s="76" t="s">
        <v>1307</v>
      </c>
      <c r="B170" s="77" t="s">
        <v>1308</v>
      </c>
      <c r="C170" s="77" t="s">
        <v>1309</v>
      </c>
      <c r="D170" s="75">
        <v>3</v>
      </c>
      <c r="E170" s="75">
        <v>2</v>
      </c>
      <c r="F170" s="75">
        <v>4</v>
      </c>
      <c r="G170" s="75">
        <v>2</v>
      </c>
      <c r="H170" s="75">
        <v>3</v>
      </c>
      <c r="I170" s="75">
        <f>IF($D170="","",+Table2[[#This Row],[תועלת המענה]]-(SUM(Table2[[#This Row],[משאבי כ"א  לתפעול ]],Table2[[#This Row],[משאבי כ"א  להטמעה]],Table2[[#This Row],[הערכת עלות]],Table2[[#This Row],[זמן ההטמעה המשוער]])/4))</f>
        <v>0.25</v>
      </c>
      <c r="J170" s="75" t="str">
        <f>IF(Table2[[#This Row],[שקלול כדאיות מספרי]]="","", IF(I170&gt;=$L$2,"שלב א",IF(I170&lt;4,IF(I170&gt;=$M$2, "שלב ב","שלב ג"))))</f>
        <v>שלב ג</v>
      </c>
    </row>
    <row r="171" spans="1:10" ht="11.25" customHeight="1">
      <c r="A171" s="76" t="s">
        <v>1310</v>
      </c>
      <c r="B171" s="77" t="s">
        <v>1311</v>
      </c>
      <c r="C171" s="74" t="s">
        <v>1312</v>
      </c>
      <c r="D171" s="75">
        <v>4</v>
      </c>
      <c r="E171" s="75">
        <v>2</v>
      </c>
      <c r="F171" s="75">
        <v>4</v>
      </c>
      <c r="G171" s="75">
        <v>2</v>
      </c>
      <c r="H171" s="75">
        <v>2</v>
      </c>
      <c r="I171" s="75">
        <f>IF($D171="","",+Table2[[#This Row],[תועלת המענה]]-(SUM(Table2[[#This Row],[משאבי כ"א  לתפעול ]],Table2[[#This Row],[משאבי כ"א  להטמעה]],Table2[[#This Row],[הערכת עלות]],Table2[[#This Row],[זמן ההטמעה המשוער]])/4))</f>
        <v>1.5</v>
      </c>
      <c r="J171" s="75" t="str">
        <f>IF(Table2[[#This Row],[שקלול כדאיות מספרי]]="","", IF(I171&gt;=$L$2,"שלב א",IF(I171&lt;4,IF(I171&gt;=$M$2, "שלב ב","שלב ג"))))</f>
        <v>שלב א</v>
      </c>
    </row>
    <row r="172" spans="1:10" ht="11.25" customHeight="1">
      <c r="A172" s="76" t="s">
        <v>1313</v>
      </c>
      <c r="B172" s="77" t="s">
        <v>1314</v>
      </c>
      <c r="C172" s="74" t="str">
        <f>Table2[[#This Row],[קיצור באנגלית]]</f>
        <v>DLP as a Service</v>
      </c>
      <c r="D172" s="75">
        <v>3</v>
      </c>
      <c r="E172" s="75">
        <v>2</v>
      </c>
      <c r="F172" s="75">
        <v>4</v>
      </c>
      <c r="G172" s="75">
        <v>2</v>
      </c>
      <c r="H172" s="75">
        <v>4</v>
      </c>
      <c r="I172" s="75">
        <f>IF($D172="","",+Table2[[#This Row],[תועלת המענה]]-(SUM(Table2[[#This Row],[משאבי כ"א  לתפעול ]],Table2[[#This Row],[משאבי כ"א  להטמעה]],Table2[[#This Row],[הערכת עלות]],Table2[[#This Row],[זמן ההטמעה המשוער]])/4))</f>
        <v>0</v>
      </c>
      <c r="J172" s="75" t="str">
        <f>IF(Table2[[#This Row],[שקלול כדאיות מספרי]]="","", IF(I172&gt;=$L$2,"שלב א",IF(I172&lt;4,IF(I172&gt;=$M$2, "שלב ב","שלב ג"))))</f>
        <v>שלב ג</v>
      </c>
    </row>
    <row r="173" spans="1:10" ht="11.25" customHeight="1">
      <c r="A173" s="76" t="s">
        <v>1315</v>
      </c>
      <c r="B173" s="77" t="s">
        <v>1316</v>
      </c>
      <c r="C173" s="74" t="str">
        <f>Table2[[#This Row],[קיצור באנגלית]]</f>
        <v>Phising Tracking</v>
      </c>
      <c r="D173" s="75">
        <v>3</v>
      </c>
      <c r="E173" s="75">
        <v>1</v>
      </c>
      <c r="F173" s="75">
        <v>2</v>
      </c>
      <c r="G173" s="75">
        <v>1</v>
      </c>
      <c r="H173" s="75">
        <v>1</v>
      </c>
      <c r="I173" s="75">
        <f>IF($D173="","",+Table2[[#This Row],[תועלת המענה]]-(SUM(Table2[[#This Row],[משאבי כ"א  לתפעול ]],Table2[[#This Row],[משאבי כ"א  להטמעה]],Table2[[#This Row],[הערכת עלות]],Table2[[#This Row],[זמן ההטמעה המשוער]])/4))</f>
        <v>1.75</v>
      </c>
      <c r="J173" s="75" t="str">
        <f>IF(Table2[[#This Row],[שקלול כדאיות מספרי]]="","", IF(I173&gt;=$L$2,"שלב א",IF(I173&lt;4,IF(I173&gt;=$M$2, "שלב ב","שלב ג"))))</f>
        <v>שלב א</v>
      </c>
    </row>
    <row r="174" spans="1:10" ht="11.25" customHeight="1">
      <c r="A174" s="76" t="s">
        <v>1317</v>
      </c>
      <c r="B174" s="77" t="s">
        <v>1318</v>
      </c>
      <c r="C174" s="77" t="s">
        <v>1319</v>
      </c>
      <c r="D174" s="75">
        <v>4</v>
      </c>
      <c r="E174" s="75">
        <v>2</v>
      </c>
      <c r="F174" s="75">
        <v>3</v>
      </c>
      <c r="G174" s="75">
        <v>2</v>
      </c>
      <c r="H174" s="75">
        <v>2</v>
      </c>
      <c r="I174" s="75">
        <f>IF($D174="","",+Table2[[#This Row],[תועלת המענה]]-(SUM(Table2[[#This Row],[משאבי כ"א  לתפעול ]],Table2[[#This Row],[משאבי כ"א  להטמעה]],Table2[[#This Row],[הערכת עלות]],Table2[[#This Row],[זמן ההטמעה המשוער]])/4))</f>
        <v>1.75</v>
      </c>
      <c r="J174" s="75" t="str">
        <f>IF(Table2[[#This Row],[שקלול כדאיות מספרי]]="","", IF(I174&gt;=$L$2,"שלב א",IF(I174&lt;4,IF(I174&gt;=$M$2, "שלב ב","שלב ג"))))</f>
        <v>שלב א</v>
      </c>
    </row>
    <row r="175" spans="1:10" ht="11.25" customHeight="1">
      <c r="A175" s="76" t="s">
        <v>1320</v>
      </c>
      <c r="B175" s="77" t="s">
        <v>1321</v>
      </c>
      <c r="C175" s="74" t="str">
        <f>Table2[[#This Row],[קיצור באנגלית]]</f>
        <v>Network Segmentation and Segregation (e.g. Cloud NCACLs)</v>
      </c>
      <c r="D175" s="75">
        <v>4</v>
      </c>
      <c r="E175" s="75">
        <v>2</v>
      </c>
      <c r="F175" s="75">
        <v>4</v>
      </c>
      <c r="G175" s="75">
        <v>2</v>
      </c>
      <c r="H175" s="75">
        <v>2</v>
      </c>
      <c r="I175" s="75">
        <f>IF($D175="","",+Table2[[#This Row],[תועלת המענה]]-(SUM(Table2[[#This Row],[משאבי כ"א  לתפעול ]],Table2[[#This Row],[משאבי כ"א  להטמעה]],Table2[[#This Row],[הערכת עלות]],Table2[[#This Row],[זמן ההטמעה המשוער]])/4))</f>
        <v>1.5</v>
      </c>
      <c r="J175" s="75" t="str">
        <f>IF(Table2[[#This Row],[שקלול כדאיות מספרי]]="","", IF(I175&gt;=$L$2,"שלב א",IF(I175&lt;4,IF(I175&gt;=$M$2, "שלב ב","שלב ג"))))</f>
        <v>שלב א</v>
      </c>
    </row>
    <row r="176" spans="1:10" ht="11.25" customHeight="1">
      <c r="A176" s="76" t="s">
        <v>1322</v>
      </c>
      <c r="B176" s="77" t="s">
        <v>1323</v>
      </c>
      <c r="C176" s="77" t="s">
        <v>1220</v>
      </c>
      <c r="D176" s="75">
        <v>4</v>
      </c>
      <c r="E176" s="75">
        <v>3</v>
      </c>
      <c r="F176" s="75">
        <v>4</v>
      </c>
      <c r="G176" s="75">
        <v>3</v>
      </c>
      <c r="H176" s="75">
        <v>3</v>
      </c>
      <c r="I176" s="75">
        <f>IF($D176="","",+Table2[[#This Row],[תועלת המענה]]-(SUM(Table2[[#This Row],[משאבי כ"א  לתפעול ]],Table2[[#This Row],[משאבי כ"א  להטמעה]],Table2[[#This Row],[הערכת עלות]],Table2[[#This Row],[זמן ההטמעה המשוער]])/4))</f>
        <v>0.75</v>
      </c>
      <c r="J176" s="75" t="str">
        <f>IF(Table2[[#This Row],[שקלול כדאיות מספרי]]="","", IF(I176&gt;=$L$2,"שלב א",IF(I176&lt;4,IF(I176&gt;=$M$2, "שלב ב","שלב ג"))))</f>
        <v>שלב ב</v>
      </c>
    </row>
    <row r="177" spans="1:10" ht="11.25" customHeight="1">
      <c r="A177" s="76" t="s">
        <v>1324</v>
      </c>
      <c r="B177" s="77" t="s">
        <v>1325</v>
      </c>
      <c r="C177" s="77" t="s">
        <v>1326</v>
      </c>
      <c r="D177" s="75">
        <v>4</v>
      </c>
      <c r="E177" s="75">
        <v>2</v>
      </c>
      <c r="F177" s="75">
        <v>4</v>
      </c>
      <c r="G177" s="75">
        <v>2</v>
      </c>
      <c r="H177" s="75">
        <v>1</v>
      </c>
      <c r="I177" s="75">
        <f>IF($D177="","",+Table2[[#This Row],[תועלת המענה]]-(SUM(Table2[[#This Row],[משאבי כ"א  לתפעול ]],Table2[[#This Row],[משאבי כ"א  להטמעה]],Table2[[#This Row],[הערכת עלות]],Table2[[#This Row],[זמן ההטמעה המשוער]])/4))</f>
        <v>1.75</v>
      </c>
      <c r="J177" s="75" t="str">
        <f>IF(Table2[[#This Row],[שקלול כדאיות מספרי]]="","", IF(I177&gt;=$L$2,"שלב א",IF(I177&lt;4,IF(I177&gt;=$M$2, "שלב ב","שלב ג"))))</f>
        <v>שלב א</v>
      </c>
    </row>
    <row r="178" spans="1:10" ht="11.25" customHeight="1">
      <c r="A178" s="76" t="s">
        <v>1327</v>
      </c>
      <c r="B178" s="77" t="s">
        <v>1328</v>
      </c>
      <c r="C178" s="74" t="str">
        <f>Table2[[#This Row],[קיצור באנגלית]]</f>
        <v>Cloud Backup Service</v>
      </c>
      <c r="D178" s="75">
        <v>3</v>
      </c>
      <c r="E178" s="75">
        <v>3</v>
      </c>
      <c r="F178" s="75">
        <v>4</v>
      </c>
      <c r="G178" s="75">
        <v>2</v>
      </c>
      <c r="H178" s="75">
        <v>2</v>
      </c>
      <c r="I178" s="75">
        <f>IF($D178="","",+Table2[[#This Row],[תועלת המענה]]-(SUM(Table2[[#This Row],[משאבי כ"א  לתפעול ]],Table2[[#This Row],[משאבי כ"א  להטמעה]],Table2[[#This Row],[הערכת עלות]],Table2[[#This Row],[זמן ההטמעה המשוער]])/4))</f>
        <v>0.25</v>
      </c>
      <c r="J178" s="75" t="str">
        <f>IF(Table2[[#This Row],[שקלול כדאיות מספרי]]="","", IF(I178&gt;=$L$2,"שלב א",IF(I178&lt;4,IF(I178&gt;=$M$2, "שלב ב","שלב ג"))))</f>
        <v>שלב ג</v>
      </c>
    </row>
    <row r="179" spans="1:10" ht="11.25" customHeight="1"/>
    <row r="180" spans="1:10" ht="11.25" customHeight="1"/>
    <row r="181" spans="1:10" ht="11.25" customHeight="1"/>
    <row r="182" spans="1:10" ht="11.25" customHeight="1"/>
    <row r="183" spans="1:10" ht="11.25" customHeight="1"/>
    <row r="184" spans="1:10" ht="11.25" customHeight="1">
      <c r="B184" s="74" t="s">
        <v>1329</v>
      </c>
    </row>
    <row r="185" spans="1:10" ht="11.25" customHeight="1"/>
    <row r="186" spans="1:10" ht="11.25" customHeight="1"/>
    <row r="187" spans="1:10" ht="11.25" customHeight="1"/>
    <row r="188" spans="1:10" ht="11.25" customHeight="1"/>
    <row r="189" spans="1:10" ht="11.25" customHeight="1"/>
    <row r="190" spans="1:10" ht="11.25" customHeight="1"/>
    <row r="191" spans="1:10" ht="11.25" customHeight="1"/>
    <row r="192" spans="1:10" ht="11.25" customHeight="1"/>
    <row r="193" ht="11.25" customHeight="1"/>
    <row r="219" spans="1:2">
      <c r="A219" s="78" t="s">
        <v>1330</v>
      </c>
      <c r="B219" s="79" t="s">
        <v>1331</v>
      </c>
    </row>
    <row r="220" spans="1:2">
      <c r="A220" s="69" t="s">
        <v>1332</v>
      </c>
      <c r="B220" s="74" t="s">
        <v>1333</v>
      </c>
    </row>
    <row r="221" spans="1:2">
      <c r="A221" s="69" t="s">
        <v>1334</v>
      </c>
      <c r="B221" s="74" t="s">
        <v>1335</v>
      </c>
    </row>
    <row r="222" spans="1:2">
      <c r="A222" s="69" t="s">
        <v>1336</v>
      </c>
      <c r="B222" s="74" t="s">
        <v>1337</v>
      </c>
    </row>
    <row r="223" spans="1:2">
      <c r="A223" s="69" t="s">
        <v>1338</v>
      </c>
      <c r="B223" s="74" t="s">
        <v>1339</v>
      </c>
    </row>
    <row r="224" spans="1:2">
      <c r="A224" s="69" t="s">
        <v>1340</v>
      </c>
      <c r="B224" s="74" t="s">
        <v>1341</v>
      </c>
    </row>
  </sheetData>
  <conditionalFormatting sqref="A42:J46 A48:J55 A67:J76 A78:J80 A82:J84 A86:J88 A90:J99 A101:J110 A112:J116 A118:J132 A134:J136 A138:J149 A151:J153 A155:J159 A161:J194 A57:J65 A3:J15 A17:J23 A25:J40">
    <cfRule type="expression" dxfId="17" priority="1">
      <formula>IF($J3="שלב א",1,0)</formula>
    </cfRule>
    <cfRule type="expression" dxfId="16" priority="2">
      <formula>IF($J3="שלב ב",1,0)</formula>
    </cfRule>
    <cfRule type="expression" dxfId="15" priority="3">
      <formula>IF($J3="שלב ג",1,0)</formula>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7</vt:i4>
      </vt:variant>
    </vt:vector>
  </HeadingPairs>
  <TitlesOfParts>
    <vt:vector size="7" baseType="lpstr">
      <vt:lpstr>ראשי</vt:lpstr>
      <vt:lpstr>דפאות בסיסי</vt:lpstr>
      <vt:lpstr>דפאות מורחב</vt:lpstr>
      <vt:lpstr>בקרות תוהג</vt:lpstr>
      <vt:lpstr>מחשבון עזר לדוגמה</vt:lpstr>
      <vt:lpstr>מילון למחשבון</vt:lpstr>
      <vt:lpstr>תכנית עבודה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2021-07-19T11:07:17Z</dcterms:created>
  <dcterms:modified xsi:type="dcterms:W3CDTF">2021-10-28T09:52:34Z</dcterms:modified>
</cp:coreProperties>
</file>